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BEB1E71A-692B-4AD9-BDC0-338E5FBD8DD8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7" i="15" l="1"/>
  <c r="D5" i="8"/>
  <c r="E5" i="8"/>
  <c r="F5" i="8"/>
  <c r="D6" i="8"/>
  <c r="E6" i="8"/>
  <c r="F6" i="8"/>
  <c r="D7" i="8"/>
  <c r="E7" i="8"/>
  <c r="F7" i="8"/>
  <c r="D8" i="8"/>
  <c r="E8" i="8"/>
  <c r="F8" i="8"/>
  <c r="D9" i="8"/>
  <c r="E9" i="8"/>
  <c r="F9" i="8"/>
  <c r="D10" i="8"/>
  <c r="E10" i="8"/>
  <c r="F10" i="8"/>
  <c r="D11" i="8"/>
  <c r="E11" i="8"/>
  <c r="F11" i="8"/>
  <c r="D12" i="8"/>
  <c r="E12" i="8"/>
  <c r="F12" i="8"/>
  <c r="D13" i="8"/>
  <c r="E13" i="8"/>
  <c r="F13" i="8"/>
  <c r="D14" i="8"/>
  <c r="E14" i="8"/>
  <c r="F14" i="8"/>
  <c r="D15" i="8"/>
  <c r="E15" i="8"/>
  <c r="F15" i="8"/>
  <c r="D16" i="8"/>
  <c r="E16" i="8"/>
  <c r="F16" i="8"/>
  <c r="D17" i="8"/>
  <c r="E17" i="8"/>
  <c r="F17" i="8"/>
  <c r="D18" i="8"/>
  <c r="E18" i="8"/>
  <c r="F18" i="8"/>
  <c r="D19" i="8"/>
  <c r="E19" i="8"/>
  <c r="F19" i="8"/>
  <c r="D20" i="8"/>
  <c r="E20" i="8"/>
  <c r="F20" i="8"/>
  <c r="D21" i="8"/>
  <c r="E21" i="8"/>
  <c r="F21" i="8"/>
  <c r="D22" i="8"/>
  <c r="E22" i="8"/>
  <c r="F22" i="8"/>
  <c r="D23" i="8"/>
  <c r="E23" i="8"/>
  <c r="F23" i="8"/>
  <c r="D24" i="8"/>
  <c r="E24" i="8"/>
  <c r="F24" i="8"/>
  <c r="D25" i="8"/>
  <c r="E25" i="8"/>
  <c r="F25" i="8"/>
  <c r="D26" i="8"/>
  <c r="E26" i="8"/>
  <c r="F26" i="8"/>
  <c r="D27" i="8"/>
  <c r="E27" i="8"/>
  <c r="F27" i="8"/>
  <c r="D28" i="8"/>
  <c r="E28" i="8"/>
  <c r="F28" i="8"/>
  <c r="D29" i="8"/>
  <c r="E29" i="8"/>
  <c r="F29" i="8"/>
  <c r="D30" i="8"/>
  <c r="E30" i="8"/>
  <c r="F30" i="8"/>
  <c r="D31" i="8"/>
  <c r="E31" i="8"/>
  <c r="F31" i="8"/>
  <c r="D32" i="8"/>
  <c r="E32" i="8"/>
  <c r="F32" i="8"/>
  <c r="D33" i="8"/>
  <c r="E33" i="8"/>
  <c r="F33" i="8"/>
  <c r="D34" i="8"/>
  <c r="E34" i="8"/>
  <c r="F34" i="8"/>
  <c r="D35" i="8"/>
  <c r="E35" i="8"/>
  <c r="F35" i="8"/>
  <c r="D36" i="8"/>
  <c r="E36" i="8"/>
  <c r="F36" i="8"/>
  <c r="D37" i="8"/>
  <c r="E37" i="8"/>
  <c r="F37" i="8"/>
  <c r="D38" i="8"/>
  <c r="E38" i="8"/>
  <c r="F38" i="8"/>
  <c r="D39" i="8"/>
  <c r="E39" i="8"/>
  <c r="F39" i="8"/>
  <c r="D40" i="8"/>
  <c r="E40" i="8"/>
  <c r="F40" i="8"/>
  <c r="D41" i="8"/>
  <c r="E41" i="8"/>
  <c r="F41" i="8"/>
  <c r="D42" i="8"/>
  <c r="E42" i="8"/>
  <c r="F42" i="8"/>
  <c r="D43" i="8"/>
  <c r="E43" i="8"/>
  <c r="F43" i="8"/>
  <c r="D44" i="8"/>
  <c r="E44" i="8"/>
  <c r="F44" i="8"/>
  <c r="D45" i="8"/>
  <c r="E45" i="8"/>
  <c r="F45" i="8"/>
  <c r="D46" i="8"/>
  <c r="E46" i="8"/>
  <c r="F46" i="8"/>
  <c r="D47" i="8"/>
  <c r="E47" i="8"/>
  <c r="F47" i="8"/>
  <c r="D48" i="8"/>
  <c r="E48" i="8"/>
  <c r="F48" i="8"/>
  <c r="D49" i="8"/>
  <c r="E49" i="8"/>
  <c r="F49" i="8"/>
  <c r="D50" i="8"/>
  <c r="E50" i="8"/>
  <c r="F50" i="8"/>
  <c r="D51" i="8"/>
  <c r="E51" i="8"/>
  <c r="F51" i="8"/>
  <c r="D52" i="8"/>
  <c r="E52" i="8"/>
  <c r="F52" i="8"/>
  <c r="D53" i="8"/>
  <c r="E53" i="8"/>
  <c r="F53" i="8"/>
  <c r="D54" i="8"/>
  <c r="E54" i="8"/>
  <c r="F54" i="8"/>
  <c r="D55" i="8"/>
  <c r="E55" i="8"/>
  <c r="F55" i="8"/>
  <c r="D56" i="8"/>
  <c r="E56" i="8"/>
  <c r="F56" i="8"/>
  <c r="D57" i="8"/>
  <c r="E57" i="8"/>
  <c r="F57" i="8"/>
  <c r="D58" i="8"/>
  <c r="E58" i="8"/>
  <c r="F58" i="8"/>
  <c r="D59" i="8"/>
  <c r="E59" i="8"/>
  <c r="F59" i="8"/>
  <c r="D60" i="8"/>
  <c r="E60" i="8"/>
  <c r="F60" i="8"/>
  <c r="D61" i="8"/>
  <c r="E61" i="8"/>
  <c r="F61" i="8"/>
  <c r="D62" i="8"/>
  <c r="E62" i="8"/>
  <c r="F62" i="8"/>
  <c r="D63" i="8"/>
  <c r="E63" i="8"/>
  <c r="F63" i="8"/>
  <c r="D64" i="8"/>
  <c r="E64" i="8"/>
  <c r="F64" i="8"/>
  <c r="D65" i="8"/>
  <c r="E65" i="8"/>
  <c r="F65" i="8"/>
  <c r="D66" i="8"/>
  <c r="E66" i="8"/>
  <c r="F66" i="8"/>
  <c r="D67" i="8"/>
  <c r="E67" i="8"/>
  <c r="F67" i="8"/>
  <c r="D68" i="8"/>
  <c r="E68" i="8"/>
  <c r="F68" i="8"/>
  <c r="D69" i="8"/>
  <c r="E69" i="8"/>
  <c r="F69" i="8"/>
  <c r="D70" i="8"/>
  <c r="E70" i="8"/>
  <c r="F70" i="8"/>
  <c r="D71" i="8"/>
  <c r="E71" i="8"/>
  <c r="F71" i="8"/>
  <c r="D72" i="8"/>
  <c r="E72" i="8"/>
  <c r="F72" i="8"/>
  <c r="D73" i="8"/>
  <c r="E73" i="8"/>
  <c r="F73" i="8"/>
  <c r="D74" i="8"/>
  <c r="E74" i="8"/>
  <c r="F74" i="8"/>
  <c r="D75" i="8"/>
  <c r="E75" i="8"/>
  <c r="F75" i="8"/>
  <c r="D76" i="8"/>
  <c r="E76" i="8"/>
  <c r="F76" i="8"/>
  <c r="D77" i="8"/>
  <c r="E77" i="8"/>
  <c r="F77" i="8"/>
  <c r="D78" i="8"/>
  <c r="E78" i="8"/>
  <c r="F78" i="8"/>
  <c r="D79" i="8"/>
  <c r="E79" i="8"/>
  <c r="F79" i="8"/>
  <c r="D80" i="8"/>
  <c r="E80" i="8"/>
  <c r="F80" i="8"/>
  <c r="D81" i="8"/>
  <c r="E81" i="8"/>
  <c r="F81" i="8"/>
  <c r="D82" i="8"/>
  <c r="E82" i="8"/>
  <c r="F82" i="8"/>
  <c r="D83" i="8"/>
  <c r="E83" i="8"/>
  <c r="F83" i="8"/>
  <c r="D84" i="8"/>
  <c r="E84" i="8"/>
  <c r="F84" i="8"/>
  <c r="D85" i="8"/>
  <c r="E85" i="8"/>
  <c r="F85" i="8"/>
  <c r="D86" i="8"/>
  <c r="E86" i="8"/>
  <c r="F86" i="8"/>
  <c r="D87" i="8"/>
  <c r="E87" i="8"/>
  <c r="F87" i="8"/>
  <c r="D88" i="8"/>
  <c r="E88" i="8"/>
  <c r="F88" i="8"/>
  <c r="D89" i="8"/>
  <c r="E89" i="8"/>
  <c r="F89" i="8"/>
  <c r="D90" i="8"/>
  <c r="E90" i="8"/>
  <c r="F90" i="8"/>
  <c r="D91" i="8"/>
  <c r="E91" i="8"/>
  <c r="F91" i="8"/>
  <c r="D92" i="8"/>
  <c r="E92" i="8"/>
  <c r="F92" i="8"/>
  <c r="D93" i="8"/>
  <c r="E93" i="8"/>
  <c r="F93" i="8"/>
  <c r="D94" i="8"/>
  <c r="E94" i="8"/>
  <c r="F94" i="8"/>
  <c r="D95" i="8"/>
  <c r="E95" i="8"/>
  <c r="F95" i="8"/>
  <c r="D96" i="8"/>
  <c r="E96" i="8"/>
  <c r="F96" i="8"/>
  <c r="D97" i="8"/>
  <c r="E97" i="8"/>
  <c r="F97" i="8"/>
  <c r="D98" i="8"/>
  <c r="E98" i="8"/>
  <c r="F98" i="8"/>
  <c r="D99" i="8"/>
  <c r="E99" i="8"/>
  <c r="F99" i="8"/>
  <c r="D100" i="8"/>
  <c r="E100" i="8"/>
  <c r="F100" i="8"/>
  <c r="D101" i="8"/>
  <c r="E101" i="8"/>
  <c r="F101" i="8"/>
  <c r="D102" i="8"/>
  <c r="E102" i="8"/>
  <c r="F102" i="8"/>
  <c r="D103" i="8"/>
  <c r="E103" i="8"/>
  <c r="F103" i="8"/>
  <c r="D104" i="8"/>
  <c r="E104" i="8"/>
  <c r="F104" i="8"/>
  <c r="D105" i="8"/>
  <c r="E105" i="8"/>
  <c r="F105" i="8"/>
  <c r="D106" i="8"/>
  <c r="E106" i="8"/>
  <c r="F106" i="8"/>
  <c r="D107" i="8"/>
  <c r="E107" i="8"/>
  <c r="F107" i="8"/>
  <c r="D108" i="8"/>
  <c r="E108" i="8"/>
  <c r="F108" i="8"/>
  <c r="D109" i="8"/>
  <c r="E109" i="8"/>
  <c r="F109" i="8"/>
  <c r="D110" i="8"/>
  <c r="E110" i="8"/>
  <c r="F110" i="8"/>
  <c r="D111" i="8"/>
  <c r="E111" i="8"/>
  <c r="F111" i="8"/>
  <c r="D112" i="8"/>
  <c r="E112" i="8"/>
  <c r="F112" i="8"/>
  <c r="D113" i="8"/>
  <c r="E113" i="8"/>
  <c r="F113" i="8"/>
  <c r="D114" i="8"/>
  <c r="E114" i="8"/>
  <c r="F114" i="8"/>
  <c r="D115" i="8"/>
  <c r="E115" i="8"/>
  <c r="F115" i="8"/>
  <c r="D116" i="8"/>
  <c r="E116" i="8"/>
  <c r="F116" i="8"/>
  <c r="D117" i="8"/>
  <c r="E117" i="8"/>
  <c r="F117" i="8"/>
  <c r="D118" i="8"/>
  <c r="E118" i="8"/>
  <c r="F118" i="8"/>
  <c r="D119" i="8"/>
  <c r="E119" i="8"/>
  <c r="F119" i="8"/>
  <c r="D120" i="8"/>
  <c r="E120" i="8"/>
  <c r="F120" i="8"/>
  <c r="D121" i="8"/>
  <c r="E121" i="8"/>
  <c r="F121" i="8"/>
  <c r="D122" i="8"/>
  <c r="E122" i="8"/>
  <c r="F122" i="8"/>
  <c r="D123" i="8"/>
  <c r="E123" i="8"/>
  <c r="F123" i="8"/>
  <c r="D124" i="8"/>
  <c r="E124" i="8"/>
  <c r="F124" i="8"/>
  <c r="D125" i="8"/>
  <c r="E125" i="8"/>
  <c r="F125" i="8"/>
  <c r="D126" i="8"/>
  <c r="E126" i="8"/>
  <c r="F126" i="8"/>
  <c r="D127" i="8"/>
  <c r="E127" i="8"/>
  <c r="F127" i="8"/>
  <c r="D128" i="8"/>
  <c r="E128" i="8"/>
  <c r="F128" i="8"/>
  <c r="D129" i="8"/>
  <c r="E129" i="8"/>
  <c r="F129" i="8"/>
  <c r="D130" i="8"/>
  <c r="E130" i="8"/>
  <c r="F130" i="8"/>
  <c r="D131" i="8"/>
  <c r="E131" i="8"/>
  <c r="F131" i="8"/>
  <c r="D132" i="8"/>
  <c r="E132" i="8"/>
  <c r="F132" i="8"/>
  <c r="D133" i="8"/>
  <c r="E133" i="8"/>
  <c r="F133" i="8"/>
  <c r="D134" i="8"/>
  <c r="E134" i="8"/>
  <c r="F134" i="8"/>
  <c r="D135" i="8"/>
  <c r="E135" i="8"/>
  <c r="F135" i="8"/>
  <c r="D136" i="8"/>
  <c r="E136" i="8"/>
  <c r="F136" i="8"/>
  <c r="D137" i="8"/>
  <c r="E137" i="8"/>
  <c r="F137" i="8"/>
  <c r="D138" i="8"/>
  <c r="E138" i="8"/>
  <c r="F138" i="8"/>
  <c r="D139" i="8"/>
  <c r="E139" i="8"/>
  <c r="F139" i="8"/>
  <c r="D140" i="8"/>
  <c r="E140" i="8"/>
  <c r="F140" i="8"/>
  <c r="D141" i="8"/>
  <c r="E141" i="8"/>
  <c r="F141" i="8"/>
  <c r="D142" i="8"/>
  <c r="E142" i="8"/>
  <c r="F142" i="8"/>
  <c r="D143" i="8"/>
  <c r="E143" i="8"/>
  <c r="F143" i="8"/>
  <c r="D144" i="8"/>
  <c r="E144" i="8"/>
  <c r="F144" i="8"/>
  <c r="D145" i="8"/>
  <c r="E145" i="8"/>
  <c r="F145" i="8"/>
  <c r="D146" i="8"/>
  <c r="E146" i="8"/>
  <c r="F146" i="8"/>
  <c r="D147" i="8"/>
  <c r="E147" i="8"/>
  <c r="F147" i="8"/>
  <c r="D148" i="8"/>
  <c r="E148" i="8"/>
  <c r="F148" i="8"/>
  <c r="D149" i="8"/>
  <c r="E149" i="8"/>
  <c r="F149" i="8"/>
  <c r="D150" i="8"/>
  <c r="E150" i="8"/>
  <c r="F150" i="8"/>
  <c r="D151" i="8"/>
  <c r="E151" i="8"/>
  <c r="F151" i="8"/>
  <c r="D152" i="8"/>
  <c r="E152" i="8"/>
  <c r="F152" i="8"/>
  <c r="D153" i="8"/>
  <c r="E153" i="8"/>
  <c r="F153" i="8"/>
  <c r="D154" i="8"/>
  <c r="E154" i="8"/>
  <c r="F154" i="8"/>
  <c r="D155" i="8"/>
  <c r="E155" i="8"/>
  <c r="F155" i="8"/>
  <c r="D156" i="8"/>
  <c r="E156" i="8"/>
  <c r="F156" i="8"/>
  <c r="D157" i="8"/>
  <c r="E157" i="8"/>
  <c r="F157" i="8"/>
  <c r="D158" i="8"/>
  <c r="E158" i="8"/>
  <c r="F158" i="8"/>
  <c r="D159" i="8"/>
  <c r="E159" i="8"/>
  <c r="F159" i="8"/>
  <c r="D160" i="8"/>
  <c r="E160" i="8"/>
  <c r="F160" i="8"/>
  <c r="D161" i="8"/>
  <c r="E161" i="8"/>
  <c r="F161" i="8"/>
  <c r="D162" i="8"/>
  <c r="E162" i="8"/>
  <c r="F162" i="8"/>
  <c r="D163" i="8"/>
  <c r="E163" i="8"/>
  <c r="F163" i="8"/>
  <c r="D164" i="8"/>
  <c r="E164" i="8"/>
  <c r="F164" i="8"/>
  <c r="D165" i="8"/>
  <c r="E165" i="8"/>
  <c r="F165" i="8"/>
  <c r="D166" i="8"/>
  <c r="E166" i="8"/>
  <c r="F166" i="8"/>
  <c r="D167" i="8"/>
  <c r="E167" i="8"/>
  <c r="F167" i="8"/>
  <c r="D168" i="8"/>
  <c r="E168" i="8"/>
  <c r="F168" i="8"/>
  <c r="D169" i="8"/>
  <c r="E169" i="8"/>
  <c r="F169" i="8"/>
  <c r="D170" i="8"/>
  <c r="E170" i="8"/>
  <c r="F170" i="8"/>
  <c r="D171" i="8"/>
  <c r="E171" i="8"/>
  <c r="F171" i="8"/>
  <c r="D172" i="8"/>
  <c r="E172" i="8"/>
  <c r="F172" i="8"/>
  <c r="D173" i="8"/>
  <c r="E173" i="8"/>
  <c r="F173" i="8"/>
  <c r="D174" i="8"/>
  <c r="E174" i="8"/>
  <c r="F174" i="8"/>
  <c r="D175" i="8"/>
  <c r="E175" i="8"/>
  <c r="F175" i="8"/>
  <c r="D176" i="8"/>
  <c r="E176" i="8"/>
  <c r="F176" i="8"/>
  <c r="D177" i="8"/>
  <c r="E177" i="8"/>
  <c r="F177" i="8"/>
  <c r="D178" i="8"/>
  <c r="E178" i="8"/>
  <c r="F178" i="8"/>
  <c r="D179" i="8"/>
  <c r="E179" i="8"/>
  <c r="F179" i="8"/>
  <c r="D180" i="8"/>
  <c r="E180" i="8"/>
  <c r="F180" i="8"/>
  <c r="D181" i="8"/>
  <c r="E181" i="8"/>
  <c r="F181" i="8"/>
  <c r="D182" i="8"/>
  <c r="E182" i="8"/>
  <c r="F182" i="8"/>
  <c r="D183" i="8"/>
  <c r="E183" i="8"/>
  <c r="F183" i="8"/>
  <c r="D184" i="8"/>
  <c r="E184" i="8"/>
  <c r="F184" i="8"/>
  <c r="D185" i="8"/>
  <c r="E185" i="8"/>
  <c r="F185" i="8"/>
  <c r="D186" i="8"/>
  <c r="E186" i="8"/>
  <c r="F186" i="8"/>
  <c r="D187" i="8"/>
  <c r="E187" i="8"/>
  <c r="F187" i="8"/>
  <c r="D188" i="8"/>
  <c r="E188" i="8"/>
  <c r="F188" i="8"/>
  <c r="D189" i="8"/>
  <c r="E189" i="8"/>
  <c r="F189" i="8"/>
  <c r="D190" i="8"/>
  <c r="E190" i="8"/>
  <c r="F190" i="8"/>
  <c r="D191" i="8"/>
  <c r="E191" i="8"/>
  <c r="F191" i="8"/>
  <c r="D192" i="8"/>
  <c r="E192" i="8"/>
  <c r="F192" i="8"/>
  <c r="D193" i="8"/>
  <c r="E193" i="8"/>
  <c r="F193" i="8"/>
  <c r="D194" i="8"/>
  <c r="E194" i="8"/>
  <c r="F194" i="8"/>
  <c r="D195" i="8"/>
  <c r="E195" i="8"/>
  <c r="F195" i="8"/>
  <c r="D196" i="8"/>
  <c r="E196" i="8"/>
  <c r="F196" i="8"/>
  <c r="D197" i="8"/>
  <c r="E197" i="8"/>
  <c r="F197" i="8"/>
  <c r="D198" i="8"/>
  <c r="E198" i="8"/>
  <c r="F198" i="8"/>
  <c r="D199" i="8"/>
  <c r="E199" i="8"/>
  <c r="F199" i="8"/>
  <c r="D200" i="8"/>
  <c r="E200" i="8"/>
  <c r="F200" i="8"/>
  <c r="J129" i="14"/>
  <c r="J130" i="14"/>
  <c r="J131" i="14"/>
  <c r="J132" i="14"/>
  <c r="J133" i="14"/>
  <c r="J128" i="14"/>
  <c r="J127" i="14"/>
  <c r="D127" i="14"/>
  <c r="E127" i="14" s="1"/>
  <c r="G127" i="14"/>
  <c r="M127" i="14" s="1"/>
  <c r="N127" i="14"/>
  <c r="O127" i="14" s="1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G134" i="14"/>
  <c r="E2" i="14"/>
  <c r="D4" i="14"/>
  <c r="E4" i="14" s="1"/>
  <c r="D5" i="14"/>
  <c r="E5" i="14" s="1"/>
  <c r="D6" i="14"/>
  <c r="E6" i="14" s="1"/>
  <c r="D7" i="14"/>
  <c r="E7" i="14" s="1"/>
  <c r="D8" i="14"/>
  <c r="E8" i="14" s="1"/>
  <c r="D9" i="14"/>
  <c r="E9" i="14" s="1"/>
  <c r="D10" i="14"/>
  <c r="E10" i="14" s="1"/>
  <c r="D11" i="14"/>
  <c r="E11" i="14" s="1"/>
  <c r="D12" i="14"/>
  <c r="E12" i="14" s="1"/>
  <c r="D13" i="14"/>
  <c r="E13" i="14" s="1"/>
  <c r="D14" i="14"/>
  <c r="E14" i="14" s="1"/>
  <c r="D15" i="14"/>
  <c r="E15" i="14" s="1"/>
  <c r="D16" i="14"/>
  <c r="E16" i="14" s="1"/>
  <c r="D17" i="14"/>
  <c r="E17" i="14" s="1"/>
  <c r="D18" i="14"/>
  <c r="E18" i="14" s="1"/>
  <c r="D19" i="14"/>
  <c r="E19" i="14" s="1"/>
  <c r="D20" i="14"/>
  <c r="E20" i="14" s="1"/>
  <c r="D21" i="14"/>
  <c r="E21" i="14" s="1"/>
  <c r="D22" i="14"/>
  <c r="E22" i="14" s="1"/>
  <c r="D23" i="14"/>
  <c r="E23" i="14" s="1"/>
  <c r="D24" i="14"/>
  <c r="E24" i="14" s="1"/>
  <c r="D25" i="14"/>
  <c r="E25" i="14" s="1"/>
  <c r="D26" i="14"/>
  <c r="E26" i="14" s="1"/>
  <c r="D27" i="14"/>
  <c r="E27" i="14" s="1"/>
  <c r="D28" i="14"/>
  <c r="E28" i="14" s="1"/>
  <c r="D29" i="14"/>
  <c r="E29" i="14" s="1"/>
  <c r="D30" i="14"/>
  <c r="E30" i="14" s="1"/>
  <c r="D31" i="14"/>
  <c r="E31" i="14" s="1"/>
  <c r="D32" i="14"/>
  <c r="E32" i="14" s="1"/>
  <c r="D33" i="14"/>
  <c r="E33" i="14" s="1"/>
  <c r="D34" i="14"/>
  <c r="E34" i="14" s="1"/>
  <c r="D35" i="14"/>
  <c r="E35" i="14" s="1"/>
  <c r="D36" i="14"/>
  <c r="E36" i="14" s="1"/>
  <c r="D37" i="14"/>
  <c r="E37" i="14" s="1"/>
  <c r="D38" i="14"/>
  <c r="E38" i="14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E44" i="14" s="1"/>
  <c r="D45" i="14"/>
  <c r="E45" i="14" s="1"/>
  <c r="D46" i="14"/>
  <c r="E46" i="14" s="1"/>
  <c r="D47" i="14"/>
  <c r="E47" i="14" s="1"/>
  <c r="D48" i="14"/>
  <c r="E48" i="14" s="1"/>
  <c r="D49" i="14"/>
  <c r="E49" i="14" s="1"/>
  <c r="D50" i="14"/>
  <c r="E50" i="14" s="1"/>
  <c r="D51" i="14"/>
  <c r="E51" i="14" s="1"/>
  <c r="D52" i="14"/>
  <c r="E52" i="14" s="1"/>
  <c r="D53" i="14"/>
  <c r="E53" i="14" s="1"/>
  <c r="D54" i="14"/>
  <c r="E54" i="14" s="1"/>
  <c r="D55" i="14"/>
  <c r="E55" i="14" s="1"/>
  <c r="D56" i="14"/>
  <c r="E56" i="14" s="1"/>
  <c r="D57" i="14"/>
  <c r="E57" i="14" s="1"/>
  <c r="D58" i="14"/>
  <c r="E58" i="14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E64" i="14" s="1"/>
  <c r="D65" i="14"/>
  <c r="E65" i="14" s="1"/>
  <c r="D66" i="14"/>
  <c r="E66" i="14" s="1"/>
  <c r="D67" i="14"/>
  <c r="E67" i="14" s="1"/>
  <c r="D68" i="14"/>
  <c r="E68" i="14" s="1"/>
  <c r="D69" i="14"/>
  <c r="E69" i="14" s="1"/>
  <c r="D70" i="14"/>
  <c r="E70" i="14" s="1"/>
  <c r="D71" i="14"/>
  <c r="E71" i="14" s="1"/>
  <c r="D72" i="14"/>
  <c r="E72" i="14" s="1"/>
  <c r="D73" i="14"/>
  <c r="E73" i="14" s="1"/>
  <c r="D74" i="14"/>
  <c r="E74" i="14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E81" i="14" s="1"/>
  <c r="D82" i="14"/>
  <c r="E82" i="14" s="1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E91" i="14" s="1"/>
  <c r="D92" i="14"/>
  <c r="E92" i="14" s="1"/>
  <c r="D93" i="14"/>
  <c r="E93" i="14" s="1"/>
  <c r="D94" i="14"/>
  <c r="E94" i="14" s="1"/>
  <c r="D95" i="14"/>
  <c r="E95" i="14" s="1"/>
  <c r="D96" i="14"/>
  <c r="E96" i="14" s="1"/>
  <c r="D97" i="14"/>
  <c r="E97" i="14" s="1"/>
  <c r="D98" i="14"/>
  <c r="E98" i="14" s="1"/>
  <c r="D99" i="14"/>
  <c r="E99" i="14" s="1"/>
  <c r="D100" i="14"/>
  <c r="E100" i="14" s="1"/>
  <c r="D101" i="14"/>
  <c r="E101" i="14" s="1"/>
  <c r="D102" i="14"/>
  <c r="E102" i="14" s="1"/>
  <c r="D103" i="14"/>
  <c r="E103" i="14" s="1"/>
  <c r="D104" i="14"/>
  <c r="E104" i="14" s="1"/>
  <c r="D105" i="14"/>
  <c r="E105" i="14" s="1"/>
  <c r="D106" i="14"/>
  <c r="E106" i="14" s="1"/>
  <c r="D107" i="14"/>
  <c r="E107" i="14" s="1"/>
  <c r="D108" i="14"/>
  <c r="E108" i="14" s="1"/>
  <c r="D109" i="14"/>
  <c r="E109" i="14" s="1"/>
  <c r="D110" i="14"/>
  <c r="E110" i="14" s="1"/>
  <c r="D111" i="14"/>
  <c r="E111" i="14" s="1"/>
  <c r="D112" i="14"/>
  <c r="E112" i="14" s="1"/>
  <c r="D113" i="14"/>
  <c r="E113" i="14" s="1"/>
  <c r="D114" i="14"/>
  <c r="E114" i="14" s="1"/>
  <c r="D115" i="14"/>
  <c r="E115" i="14" s="1"/>
  <c r="D116" i="14"/>
  <c r="E116" i="14" s="1"/>
  <c r="D117" i="14"/>
  <c r="E117" i="14" s="1"/>
  <c r="D118" i="14"/>
  <c r="E118" i="14" s="1"/>
  <c r="D119" i="14"/>
  <c r="E119" i="14" s="1"/>
  <c r="D120" i="14"/>
  <c r="E120" i="14" s="1"/>
  <c r="D121" i="14"/>
  <c r="E121" i="14" s="1"/>
  <c r="D122" i="14"/>
  <c r="E122" i="14" s="1"/>
  <c r="D123" i="14"/>
  <c r="E123" i="14" s="1"/>
  <c r="D124" i="14"/>
  <c r="E124" i="14" s="1"/>
  <c r="D125" i="14"/>
  <c r="E125" i="14" s="1"/>
  <c r="D126" i="14"/>
  <c r="E126" i="14" s="1"/>
  <c r="D3" i="14"/>
  <c r="E3" i="14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6" i="23"/>
  <c r="B16" i="23" s="1" a="1"/>
  <c r="B16" i="23" s="1"/>
  <c r="D16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2" i="23"/>
  <c r="B22" i="23" s="1" a="1"/>
  <c r="B22" i="23" s="1"/>
  <c r="D22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7" i="23"/>
  <c r="B17" i="23" s="1" a="1"/>
  <c r="B17" i="23" s="1"/>
  <c r="D17" i="23"/>
  <c r="C21" i="23"/>
  <c r="B21" i="23" s="1" a="1"/>
  <c r="B21" i="23" s="1"/>
  <c r="D21" i="23"/>
  <c r="C23" i="23"/>
  <c r="B23" i="23" s="1" a="1"/>
  <c r="B23" i="23" s="1"/>
  <c r="D23" i="23"/>
  <c r="C57" i="23"/>
  <c r="B57" i="23" s="1" a="1"/>
  <c r="B57" i="23" s="1"/>
  <c r="D57" i="23"/>
  <c r="E57" i="23"/>
  <c r="F57" i="23"/>
  <c r="G57" i="23"/>
  <c r="C58" i="23"/>
  <c r="B58" i="23" s="1" a="1"/>
  <c r="B58" i="23" s="1"/>
  <c r="D58" i="23"/>
  <c r="E58" i="23"/>
  <c r="F58" i="23"/>
  <c r="G58" i="23"/>
  <c r="C59" i="23"/>
  <c r="B59" i="23" s="1" a="1"/>
  <c r="B59" i="23" s="1"/>
  <c r="D59" i="23"/>
  <c r="E59" i="23"/>
  <c r="F59" i="23"/>
  <c r="G59" i="23"/>
  <c r="C60" i="23"/>
  <c r="B60" i="23" s="1" a="1"/>
  <c r="B60" i="23" s="1"/>
  <c r="D60" i="23"/>
  <c r="E60" i="23"/>
  <c r="F60" i="23"/>
  <c r="G60" i="23"/>
  <c r="C61" i="23"/>
  <c r="B61" i="23" s="1" a="1"/>
  <c r="B61" i="23" s="1"/>
  <c r="D61" i="23"/>
  <c r="E61" i="23"/>
  <c r="F61" i="23"/>
  <c r="G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C90" i="23"/>
  <c r="B90" i="23" s="1" a="1"/>
  <c r="B90" i="23" s="1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C93" i="23"/>
  <c r="B93" i="23" s="1" a="1"/>
  <c r="B93" i="23" s="1"/>
  <c r="D93" i="23"/>
  <c r="E93" i="23"/>
  <c r="F93" i="23"/>
  <c r="G93" i="23"/>
  <c r="C94" i="23"/>
  <c r="B94" i="23" s="1" a="1"/>
  <c r="B94" i="23" s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C98" i="23"/>
  <c r="B98" i="23" s="1" a="1"/>
  <c r="B98" i="23" s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C101" i="23"/>
  <c r="B101" i="23" s="1" a="1"/>
  <c r="B101" i="23" s="1"/>
  <c r="D101" i="23"/>
  <c r="E101" i="23"/>
  <c r="F101" i="23"/>
  <c r="G101" i="23"/>
  <c r="C102" i="23"/>
  <c r="B102" i="23" s="1" a="1"/>
  <c r="B102" i="23" s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C109" i="23"/>
  <c r="B109" i="23" s="1" a="1"/>
  <c r="B109" i="23" s="1"/>
  <c r="D109" i="23"/>
  <c r="E109" i="23"/>
  <c r="F109" i="23"/>
  <c r="G109" i="23"/>
  <c r="C110" i="23"/>
  <c r="B110" i="23" s="1" a="1"/>
  <c r="B110" i="23" s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C114" i="23"/>
  <c r="B114" i="23" s="1" a="1"/>
  <c r="B114" i="23" s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C117" i="23"/>
  <c r="B117" i="23" s="1" a="1"/>
  <c r="B117" i="23" s="1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C126" i="23"/>
  <c r="B126" i="23" s="1" a="1"/>
  <c r="B126" i="23" s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C130" i="23"/>
  <c r="B130" i="23" s="1" a="1"/>
  <c r="B130" i="23" s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C133" i="23"/>
  <c r="B133" i="23" s="1" a="1"/>
  <c r="B133" i="23" s="1"/>
  <c r="D133" i="23"/>
  <c r="E133" i="23"/>
  <c r="F133" i="23"/>
  <c r="G133" i="23"/>
  <c r="C134" i="23"/>
  <c r="B134" i="23" s="1" a="1"/>
  <c r="B134" i="23" s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C141" i="23"/>
  <c r="B141" i="23" s="1" a="1"/>
  <c r="B141" i="23" s="1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C143" i="23"/>
  <c r="B143" i="23" s="1" a="1"/>
  <c r="B143" i="23" s="1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C146" i="23"/>
  <c r="B146" i="23" s="1" a="1"/>
  <c r="B146" i="23" s="1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C151" i="23"/>
  <c r="B151" i="23" s="1" a="1"/>
  <c r="B151" i="23" s="1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C158" i="23"/>
  <c r="B158" i="23" s="1" a="1"/>
  <c r="B158" i="23" s="1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C162" i="23"/>
  <c r="B162" i="23" s="1" a="1"/>
  <c r="B162" i="23" s="1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C165" i="23"/>
  <c r="B165" i="23" s="1" a="1"/>
  <c r="B165" i="23" s="1"/>
  <c r="D165" i="23"/>
  <c r="E165" i="23"/>
  <c r="F165" i="23"/>
  <c r="G165" i="23"/>
  <c r="C166" i="23"/>
  <c r="B166" i="23" s="1" a="1"/>
  <c r="B166" i="23" s="1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C173" i="23"/>
  <c r="B173" i="23" s="1" a="1"/>
  <c r="B173" i="23" s="1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C175" i="23"/>
  <c r="B175" i="23" s="1" a="1"/>
  <c r="B175" i="23" s="1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C178" i="23"/>
  <c r="B178" i="23" s="1" a="1"/>
  <c r="B178" i="23" s="1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C183" i="23"/>
  <c r="B183" i="23" s="1" a="1"/>
  <c r="B183" i="23" s="1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C186" i="23"/>
  <c r="B186" i="23" s="1" a="1"/>
  <c r="B186" i="23" s="1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C189" i="23"/>
  <c r="B189" i="23" s="1" a="1"/>
  <c r="B189" i="23" s="1"/>
  <c r="D189" i="23"/>
  <c r="E189" i="23"/>
  <c r="F189" i="23"/>
  <c r="G189" i="23"/>
  <c r="C190" i="23"/>
  <c r="B190" i="23" s="1" a="1"/>
  <c r="B190" i="23" s="1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5" i="23"/>
  <c r="B5" i="23" s="1" a="1"/>
  <c r="B5" i="23" s="1"/>
  <c r="C6" i="8"/>
  <c r="B6" i="8" s="1" a="1"/>
  <c r="B6" i="8" s="1"/>
  <c r="C7" i="8"/>
  <c r="B7" i="8" s="1" a="1"/>
  <c r="B7" i="8" s="1"/>
  <c r="C8" i="8"/>
  <c r="B8" i="8" s="1" a="1"/>
  <c r="B8" i="8" s="1"/>
  <c r="C9" i="8"/>
  <c r="B9" i="8" s="1" a="1"/>
  <c r="B9" i="8" s="1"/>
  <c r="C10" i="8"/>
  <c r="B10" i="8" s="1" a="1"/>
  <c r="B10" i="8" s="1"/>
  <c r="C11" i="8"/>
  <c r="B11" i="8" s="1" a="1"/>
  <c r="B11" i="8" s="1"/>
  <c r="C12" i="8"/>
  <c r="B12" i="8" s="1" a="1"/>
  <c r="B12" i="8" s="1"/>
  <c r="C13" i="8"/>
  <c r="B13" i="8" s="1" a="1"/>
  <c r="B13" i="8" s="1"/>
  <c r="C14" i="8"/>
  <c r="B14" i="8" s="1" a="1"/>
  <c r="B14" i="8" s="1"/>
  <c r="C15" i="8"/>
  <c r="B15" i="8" s="1" a="1"/>
  <c r="B15" i="8" s="1"/>
  <c r="C16" i="8"/>
  <c r="B16" i="8" s="1" a="1"/>
  <c r="B16" i="8" s="1"/>
  <c r="C17" i="8"/>
  <c r="B17" i="8" s="1" a="1"/>
  <c r="B17" i="8" s="1"/>
  <c r="C18" i="8"/>
  <c r="B18" i="8" s="1" a="1"/>
  <c r="B18" i="8" s="1"/>
  <c r="C19" i="8"/>
  <c r="B19" i="8" s="1" a="1"/>
  <c r="B19" i="8" s="1"/>
  <c r="C20" i="8"/>
  <c r="B20" i="8" s="1" a="1"/>
  <c r="B20" i="8" s="1"/>
  <c r="C21" i="8"/>
  <c r="B21" i="8" s="1" a="1"/>
  <c r="B21" i="8" s="1"/>
  <c r="C22" i="8"/>
  <c r="B22" i="8" s="1" a="1"/>
  <c r="B22" i="8" s="1"/>
  <c r="C23" i="8"/>
  <c r="B23" i="8" s="1" a="1"/>
  <c r="B23" i="8" s="1"/>
  <c r="C24" i="8"/>
  <c r="B24" i="8" s="1" a="1"/>
  <c r="B24" i="8" s="1"/>
  <c r="C25" i="8"/>
  <c r="B25" i="8" s="1" a="1"/>
  <c r="B25" i="8" s="1"/>
  <c r="C26" i="8"/>
  <c r="B26" i="8" s="1" a="1"/>
  <c r="B26" i="8" s="1"/>
  <c r="C27" i="8"/>
  <c r="B27" i="8" s="1" a="1"/>
  <c r="B27" i="8" s="1"/>
  <c r="C28" i="8"/>
  <c r="B28" i="8" s="1" a="1"/>
  <c r="B28" i="8" s="1"/>
  <c r="C29" i="8"/>
  <c r="B29" i="8" s="1" a="1"/>
  <c r="B29" i="8" s="1"/>
  <c r="C30" i="8"/>
  <c r="B30" i="8" s="1" a="1"/>
  <c r="B30" i="8" s="1"/>
  <c r="C31" i="8"/>
  <c r="B31" i="8" s="1" a="1"/>
  <c r="B31" i="8" s="1"/>
  <c r="C32" i="8"/>
  <c r="B32" i="8" s="1" a="1"/>
  <c r="B32" i="8" s="1"/>
  <c r="C33" i="8"/>
  <c r="B33" i="8" s="1" a="1"/>
  <c r="B33" i="8" s="1"/>
  <c r="C34" i="8"/>
  <c r="B34" i="8" s="1" a="1"/>
  <c r="B34" i="8" s="1"/>
  <c r="C35" i="8"/>
  <c r="B35" i="8" s="1" a="1"/>
  <c r="B35" i="8" s="1"/>
  <c r="C36" i="8"/>
  <c r="B36" i="8" s="1" a="1"/>
  <c r="B36" i="8" s="1"/>
  <c r="C37" i="8"/>
  <c r="B37" i="8" s="1" a="1"/>
  <c r="B37" i="8" s="1"/>
  <c r="C38" i="8"/>
  <c r="B38" i="8" s="1" a="1"/>
  <c r="B38" i="8" s="1"/>
  <c r="C39" i="8"/>
  <c r="B39" i="8" s="1" a="1"/>
  <c r="B39" i="8" s="1"/>
  <c r="C40" i="8"/>
  <c r="B40" i="8" s="1" a="1"/>
  <c r="B40" i="8" s="1"/>
  <c r="C41" i="8"/>
  <c r="B41" i="8" s="1" a="1"/>
  <c r="B41" i="8" s="1"/>
  <c r="C42" i="8"/>
  <c r="B42" i="8" s="1" a="1"/>
  <c r="B42" i="8" s="1"/>
  <c r="C43" i="8"/>
  <c r="B43" i="8" s="1" a="1"/>
  <c r="B43" i="8" s="1"/>
  <c r="C44" i="8"/>
  <c r="B44" i="8" s="1" a="1"/>
  <c r="B44" i="8" s="1"/>
  <c r="C45" i="8"/>
  <c r="B45" i="8" s="1" a="1"/>
  <c r="B45" i="8" s="1"/>
  <c r="C46" i="8"/>
  <c r="B46" i="8" s="1" a="1"/>
  <c r="B46" i="8" s="1"/>
  <c r="C47" i="8"/>
  <c r="B47" i="8" s="1" a="1"/>
  <c r="B47" i="8" s="1"/>
  <c r="C48" i="8"/>
  <c r="B48" i="8" s="1" a="1"/>
  <c r="B48" i="8" s="1"/>
  <c r="C49" i="8"/>
  <c r="B49" i="8" s="1" a="1"/>
  <c r="B49" i="8" s="1"/>
  <c r="C50" i="8"/>
  <c r="B50" i="8" s="1" a="1"/>
  <c r="B50" i="8" s="1"/>
  <c r="C51" i="8"/>
  <c r="B51" i="8" s="1" a="1"/>
  <c r="B51" i="8" s="1"/>
  <c r="C52" i="8"/>
  <c r="B52" i="8" s="1" a="1"/>
  <c r="B52" i="8" s="1"/>
  <c r="C53" i="8"/>
  <c r="B53" i="8" s="1" a="1"/>
  <c r="B53" i="8" s="1"/>
  <c r="C54" i="8"/>
  <c r="B54" i="8" s="1" a="1"/>
  <c r="B54" i="8" s="1"/>
  <c r="C55" i="8"/>
  <c r="B55" i="8" s="1" a="1"/>
  <c r="B55" i="8" s="1"/>
  <c r="C56" i="8"/>
  <c r="B56" i="8" s="1" a="1"/>
  <c r="B56" i="8" s="1"/>
  <c r="C57" i="8"/>
  <c r="B57" i="8" s="1" a="1"/>
  <c r="B57" i="8" s="1"/>
  <c r="C58" i="8"/>
  <c r="B58" i="8" s="1" a="1"/>
  <c r="B58" i="8" s="1"/>
  <c r="C59" i="8"/>
  <c r="B59" i="8" s="1" a="1"/>
  <c r="B59" i="8" s="1"/>
  <c r="C60" i="8"/>
  <c r="B60" i="8" s="1" a="1"/>
  <c r="B60" i="8" s="1"/>
  <c r="C61" i="8"/>
  <c r="B61" i="8" s="1" a="1"/>
  <c r="B61" i="8" s="1"/>
  <c r="C62" i="8"/>
  <c r="B62" i="8" s="1" a="1"/>
  <c r="B62" i="8" s="1"/>
  <c r="C63" i="8"/>
  <c r="B63" i="8" s="1" a="1"/>
  <c r="B63" i="8" s="1"/>
  <c r="C64" i="8"/>
  <c r="B64" i="8" s="1" a="1"/>
  <c r="B64" i="8" s="1"/>
  <c r="C65" i="8"/>
  <c r="B65" i="8" s="1" a="1"/>
  <c r="B65" i="8" s="1"/>
  <c r="C66" i="8"/>
  <c r="B66" i="8" s="1" a="1"/>
  <c r="B66" i="8" s="1"/>
  <c r="C67" i="8"/>
  <c r="B67" i="8" s="1" a="1"/>
  <c r="B67" i="8" s="1"/>
  <c r="C68" i="8"/>
  <c r="B68" i="8" s="1" a="1"/>
  <c r="B68" i="8" s="1"/>
  <c r="C69" i="8"/>
  <c r="B69" i="8" s="1" a="1"/>
  <c r="B69" i="8" s="1"/>
  <c r="C70" i="8"/>
  <c r="B70" i="8" s="1" a="1"/>
  <c r="B70" i="8" s="1"/>
  <c r="C71" i="8"/>
  <c r="B71" i="8" s="1" a="1"/>
  <c r="B71" i="8" s="1"/>
  <c r="C72" i="8"/>
  <c r="B72" i="8" s="1" a="1"/>
  <c r="B72" i="8" s="1"/>
  <c r="C73" i="8"/>
  <c r="B73" i="8" s="1" a="1"/>
  <c r="B73" i="8" s="1"/>
  <c r="C74" i="8"/>
  <c r="B74" i="8" s="1" a="1"/>
  <c r="B74" i="8" s="1"/>
  <c r="C75" i="8"/>
  <c r="B75" i="8" s="1" a="1"/>
  <c r="B75" i="8" s="1"/>
  <c r="C76" i="8"/>
  <c r="B76" i="8" s="1" a="1"/>
  <c r="B76" i="8" s="1"/>
  <c r="C77" i="8"/>
  <c r="B77" i="8" s="1" a="1"/>
  <c r="B77" i="8" s="1"/>
  <c r="C78" i="8"/>
  <c r="B78" i="8" s="1" a="1"/>
  <c r="B78" i="8" s="1"/>
  <c r="C79" i="8"/>
  <c r="B79" i="8" s="1" a="1"/>
  <c r="B79" i="8" s="1"/>
  <c r="C80" i="8"/>
  <c r="B80" i="8" s="1" a="1"/>
  <c r="B80" i="8" s="1"/>
  <c r="C81" i="8"/>
  <c r="B81" i="8" s="1" a="1"/>
  <c r="B81" i="8" s="1"/>
  <c r="C82" i="8"/>
  <c r="B82" i="8" s="1" a="1"/>
  <c r="B82" i="8" s="1"/>
  <c r="C83" i="8"/>
  <c r="B83" i="8" s="1" a="1"/>
  <c r="B83" i="8" s="1"/>
  <c r="C84" i="8"/>
  <c r="B84" i="8" s="1" a="1"/>
  <c r="B84" i="8" s="1"/>
  <c r="C85" i="8"/>
  <c r="B85" i="8" s="1" a="1"/>
  <c r="B85" i="8" s="1"/>
  <c r="C86" i="8"/>
  <c r="B86" i="8" s="1" a="1"/>
  <c r="B86" i="8" s="1"/>
  <c r="C87" i="8"/>
  <c r="B87" i="8" s="1" a="1"/>
  <c r="B87" i="8" s="1"/>
  <c r="C88" i="8"/>
  <c r="B88" i="8" s="1" a="1"/>
  <c r="B88" i="8" s="1"/>
  <c r="C89" i="8"/>
  <c r="B89" i="8" s="1" a="1"/>
  <c r="B89" i="8" s="1"/>
  <c r="C90" i="8"/>
  <c r="B90" i="8" s="1" a="1"/>
  <c r="B90" i="8" s="1"/>
  <c r="C91" i="8"/>
  <c r="B91" i="8" s="1" a="1"/>
  <c r="B91" i="8" s="1"/>
  <c r="C92" i="8"/>
  <c r="B92" i="8" s="1" a="1"/>
  <c r="B92" i="8" s="1"/>
  <c r="C93" i="8"/>
  <c r="B93" i="8" s="1" a="1"/>
  <c r="B93" i="8" s="1"/>
  <c r="C94" i="8"/>
  <c r="B94" i="8" s="1" a="1"/>
  <c r="B94" i="8" s="1"/>
  <c r="C95" i="8"/>
  <c r="B95" i="8" s="1" a="1"/>
  <c r="B95" i="8" s="1"/>
  <c r="C96" i="8"/>
  <c r="B96" i="8" s="1" a="1"/>
  <c r="B96" i="8" s="1"/>
  <c r="C97" i="8"/>
  <c r="B97" i="8" s="1" a="1"/>
  <c r="B97" i="8" s="1"/>
  <c r="C98" i="8"/>
  <c r="B98" i="8" s="1" a="1"/>
  <c r="B98" i="8" s="1"/>
  <c r="C99" i="8"/>
  <c r="B99" i="8" s="1" a="1"/>
  <c r="B99" i="8" s="1"/>
  <c r="C100" i="8"/>
  <c r="B100" i="8" s="1" a="1"/>
  <c r="B100" i="8" s="1"/>
  <c r="C101" i="8"/>
  <c r="B101" i="8" s="1" a="1"/>
  <c r="B101" i="8" s="1"/>
  <c r="C102" i="8"/>
  <c r="B102" i="8" s="1" a="1"/>
  <c r="B102" i="8" s="1"/>
  <c r="G102" i="8"/>
  <c r="C103" i="8"/>
  <c r="B103" i="8" s="1" a="1"/>
  <c r="B103" i="8" s="1"/>
  <c r="G103" i="8"/>
  <c r="C104" i="8"/>
  <c r="B104" i="8" s="1" a="1"/>
  <c r="B104" i="8" s="1"/>
  <c r="G104" i="8"/>
  <c r="C105" i="8"/>
  <c r="B105" i="8" s="1" a="1"/>
  <c r="B105" i="8" s="1"/>
  <c r="G105" i="8"/>
  <c r="C106" i="8"/>
  <c r="B106" i="8" s="1" a="1"/>
  <c r="B106" i="8" s="1"/>
  <c r="G106" i="8"/>
  <c r="C107" i="8"/>
  <c r="B107" i="8" s="1" a="1"/>
  <c r="B107" i="8" s="1"/>
  <c r="G107" i="8"/>
  <c r="C108" i="8"/>
  <c r="B108" i="8" s="1" a="1"/>
  <c r="B108" i="8" s="1"/>
  <c r="G108" i="8"/>
  <c r="C109" i="8"/>
  <c r="B109" i="8" s="1" a="1"/>
  <c r="B109" i="8" s="1"/>
  <c r="G109" i="8"/>
  <c r="C110" i="8"/>
  <c r="B110" i="8" s="1" a="1"/>
  <c r="B110" i="8" s="1"/>
  <c r="G110" i="8"/>
  <c r="C111" i="8"/>
  <c r="B111" i="8" s="1" a="1"/>
  <c r="B111" i="8" s="1"/>
  <c r="G111" i="8"/>
  <c r="C112" i="8"/>
  <c r="B112" i="8" s="1" a="1"/>
  <c r="B112" i="8" s="1"/>
  <c r="G112" i="8"/>
  <c r="C113" i="8"/>
  <c r="B113" i="8" s="1" a="1"/>
  <c r="B113" i="8" s="1"/>
  <c r="G113" i="8"/>
  <c r="C114" i="8"/>
  <c r="B114" i="8" s="1" a="1"/>
  <c r="B114" i="8" s="1"/>
  <c r="G114" i="8"/>
  <c r="C115" i="8"/>
  <c r="B115" i="8" s="1" a="1"/>
  <c r="B115" i="8" s="1"/>
  <c r="G115" i="8"/>
  <c r="C116" i="8"/>
  <c r="B116" i="8" s="1" a="1"/>
  <c r="B116" i="8" s="1"/>
  <c r="G116" i="8"/>
  <c r="C117" i="8"/>
  <c r="B117" i="8" s="1" a="1"/>
  <c r="B117" i="8" s="1"/>
  <c r="G117" i="8"/>
  <c r="C118" i="8"/>
  <c r="B118" i="8" s="1" a="1"/>
  <c r="B118" i="8" s="1"/>
  <c r="G118" i="8"/>
  <c r="C119" i="8"/>
  <c r="B119" i="8" s="1" a="1"/>
  <c r="B119" i="8" s="1"/>
  <c r="G119" i="8"/>
  <c r="C120" i="8"/>
  <c r="B120" i="8" s="1" a="1"/>
  <c r="B120" i="8" s="1"/>
  <c r="G120" i="8"/>
  <c r="C121" i="8"/>
  <c r="B121" i="8" s="1" a="1"/>
  <c r="B121" i="8" s="1"/>
  <c r="G121" i="8"/>
  <c r="C122" i="8"/>
  <c r="B122" i="8" s="1" a="1"/>
  <c r="B122" i="8" s="1"/>
  <c r="G122" i="8"/>
  <c r="C123" i="8"/>
  <c r="B123" i="8" s="1" a="1"/>
  <c r="B123" i="8" s="1"/>
  <c r="G123" i="8"/>
  <c r="C124" i="8"/>
  <c r="B124" i="8" s="1" a="1"/>
  <c r="B124" i="8" s="1"/>
  <c r="G124" i="8"/>
  <c r="C125" i="8"/>
  <c r="B125" i="8" s="1" a="1"/>
  <c r="B125" i="8" s="1"/>
  <c r="G125" i="8"/>
  <c r="C126" i="8"/>
  <c r="B126" i="8" s="1" a="1"/>
  <c r="B126" i="8" s="1"/>
  <c r="G126" i="8"/>
  <c r="C127" i="8"/>
  <c r="B127" i="8" s="1" a="1"/>
  <c r="B127" i="8" s="1"/>
  <c r="G127" i="8"/>
  <c r="C128" i="8"/>
  <c r="B128" i="8" s="1" a="1"/>
  <c r="B128" i="8" s="1"/>
  <c r="G128" i="8"/>
  <c r="C129" i="8"/>
  <c r="B129" i="8" s="1" a="1"/>
  <c r="B129" i="8" s="1"/>
  <c r="G129" i="8"/>
  <c r="C130" i="8"/>
  <c r="B130" i="8" s="1" a="1"/>
  <c r="B130" i="8" s="1"/>
  <c r="G130" i="8"/>
  <c r="C131" i="8"/>
  <c r="B131" i="8" s="1" a="1"/>
  <c r="B131" i="8" s="1"/>
  <c r="G131" i="8"/>
  <c r="C132" i="8"/>
  <c r="B132" i="8" s="1" a="1"/>
  <c r="B132" i="8" s="1"/>
  <c r="G132" i="8"/>
  <c r="C133" i="8"/>
  <c r="B133" i="8" s="1" a="1"/>
  <c r="B133" i="8" s="1"/>
  <c r="G133" i="8"/>
  <c r="C134" i="8"/>
  <c r="B134" i="8" s="1" a="1"/>
  <c r="B134" i="8" s="1"/>
  <c r="G134" i="8"/>
  <c r="C135" i="8"/>
  <c r="B135" i="8" s="1" a="1"/>
  <c r="B135" i="8" s="1"/>
  <c r="G135" i="8"/>
  <c r="C136" i="8"/>
  <c r="B136" i="8" s="1" a="1"/>
  <c r="B136" i="8" s="1"/>
  <c r="G136" i="8"/>
  <c r="C137" i="8"/>
  <c r="B137" i="8" s="1" a="1"/>
  <c r="B137" i="8" s="1"/>
  <c r="G137" i="8"/>
  <c r="C138" i="8"/>
  <c r="B138" i="8" s="1" a="1"/>
  <c r="B138" i="8" s="1"/>
  <c r="G138" i="8"/>
  <c r="C139" i="8"/>
  <c r="B139" i="8" s="1" a="1"/>
  <c r="B139" i="8" s="1"/>
  <c r="G139" i="8"/>
  <c r="C140" i="8"/>
  <c r="B140" i="8" s="1" a="1"/>
  <c r="B140" i="8" s="1"/>
  <c r="G140" i="8"/>
  <c r="C141" i="8"/>
  <c r="B141" i="8" s="1" a="1"/>
  <c r="B141" i="8" s="1"/>
  <c r="G141" i="8"/>
  <c r="C142" i="8"/>
  <c r="B142" i="8" s="1" a="1"/>
  <c r="B142" i="8" s="1"/>
  <c r="G142" i="8"/>
  <c r="C143" i="8"/>
  <c r="B143" i="8" s="1" a="1"/>
  <c r="B143" i="8" s="1"/>
  <c r="G143" i="8"/>
  <c r="C144" i="8"/>
  <c r="B144" i="8" s="1" a="1"/>
  <c r="B144" i="8" s="1"/>
  <c r="G144" i="8"/>
  <c r="C145" i="8"/>
  <c r="B145" i="8" s="1" a="1"/>
  <c r="B145" i="8" s="1"/>
  <c r="G145" i="8"/>
  <c r="C146" i="8"/>
  <c r="B146" i="8" s="1" a="1"/>
  <c r="B146" i="8" s="1"/>
  <c r="G146" i="8"/>
  <c r="C147" i="8"/>
  <c r="B147" i="8" s="1" a="1"/>
  <c r="B147" i="8" s="1"/>
  <c r="G147" i="8"/>
  <c r="C148" i="8"/>
  <c r="B148" i="8" s="1" a="1"/>
  <c r="B148" i="8" s="1"/>
  <c r="G148" i="8"/>
  <c r="C149" i="8"/>
  <c r="B149" i="8" s="1" a="1"/>
  <c r="B149" i="8" s="1"/>
  <c r="G149" i="8"/>
  <c r="C150" i="8"/>
  <c r="B150" i="8" s="1" a="1"/>
  <c r="B150" i="8" s="1"/>
  <c r="G150" i="8"/>
  <c r="C151" i="8"/>
  <c r="B151" i="8" s="1" a="1"/>
  <c r="B151" i="8" s="1"/>
  <c r="G151" i="8"/>
  <c r="C152" i="8"/>
  <c r="B152" i="8" s="1" a="1"/>
  <c r="B152" i="8" s="1"/>
  <c r="G152" i="8"/>
  <c r="C153" i="8"/>
  <c r="B153" i="8" s="1" a="1"/>
  <c r="B153" i="8" s="1"/>
  <c r="G153" i="8"/>
  <c r="C154" i="8"/>
  <c r="B154" i="8" s="1" a="1"/>
  <c r="B154" i="8" s="1"/>
  <c r="G154" i="8"/>
  <c r="C155" i="8"/>
  <c r="B155" i="8" s="1" a="1"/>
  <c r="B155" i="8" s="1"/>
  <c r="G155" i="8"/>
  <c r="C156" i="8"/>
  <c r="B156" i="8" s="1" a="1"/>
  <c r="B156" i="8" s="1"/>
  <c r="G156" i="8"/>
  <c r="C157" i="8"/>
  <c r="B157" i="8" s="1" a="1"/>
  <c r="B157" i="8" s="1"/>
  <c r="G157" i="8"/>
  <c r="C158" i="8"/>
  <c r="B158" i="8" s="1" a="1"/>
  <c r="B158" i="8" s="1"/>
  <c r="G158" i="8"/>
  <c r="C159" i="8"/>
  <c r="B159" i="8" s="1" a="1"/>
  <c r="B159" i="8" s="1"/>
  <c r="G159" i="8"/>
  <c r="C160" i="8"/>
  <c r="B160" i="8" s="1" a="1"/>
  <c r="B160" i="8" s="1"/>
  <c r="G160" i="8"/>
  <c r="C161" i="8"/>
  <c r="B161" i="8" s="1" a="1"/>
  <c r="B161" i="8" s="1"/>
  <c r="G161" i="8"/>
  <c r="C162" i="8"/>
  <c r="B162" i="8" s="1" a="1"/>
  <c r="B162" i="8" s="1"/>
  <c r="G162" i="8"/>
  <c r="C163" i="8"/>
  <c r="B163" i="8" s="1" a="1"/>
  <c r="B163" i="8" s="1"/>
  <c r="G163" i="8"/>
  <c r="C164" i="8"/>
  <c r="B164" i="8" s="1" a="1"/>
  <c r="B164" i="8" s="1"/>
  <c r="G164" i="8"/>
  <c r="C165" i="8"/>
  <c r="B165" i="8" s="1" a="1"/>
  <c r="B165" i="8" s="1"/>
  <c r="G165" i="8"/>
  <c r="C166" i="8"/>
  <c r="B166" i="8" s="1" a="1"/>
  <c r="B166" i="8" s="1"/>
  <c r="G166" i="8"/>
  <c r="C167" i="8"/>
  <c r="B167" i="8" s="1" a="1"/>
  <c r="B167" i="8" s="1"/>
  <c r="G167" i="8"/>
  <c r="C168" i="8"/>
  <c r="B168" i="8" s="1" a="1"/>
  <c r="B168" i="8" s="1"/>
  <c r="G168" i="8"/>
  <c r="C169" i="8"/>
  <c r="B169" i="8" s="1" a="1"/>
  <c r="B169" i="8" s="1"/>
  <c r="G169" i="8"/>
  <c r="C170" i="8"/>
  <c r="B170" i="8" s="1" a="1"/>
  <c r="B170" i="8" s="1"/>
  <c r="G170" i="8"/>
  <c r="C171" i="8"/>
  <c r="B171" i="8" s="1" a="1"/>
  <c r="B171" i="8" s="1"/>
  <c r="G171" i="8"/>
  <c r="C172" i="8"/>
  <c r="B172" i="8" s="1" a="1"/>
  <c r="B172" i="8" s="1"/>
  <c r="G172" i="8"/>
  <c r="C173" i="8"/>
  <c r="B173" i="8" s="1" a="1"/>
  <c r="B173" i="8" s="1"/>
  <c r="G173" i="8"/>
  <c r="C174" i="8"/>
  <c r="B174" i="8" s="1" a="1"/>
  <c r="B174" i="8" s="1"/>
  <c r="G174" i="8"/>
  <c r="C175" i="8"/>
  <c r="B175" i="8" s="1" a="1"/>
  <c r="B175" i="8" s="1"/>
  <c r="G175" i="8"/>
  <c r="C176" i="8"/>
  <c r="B176" i="8" s="1" a="1"/>
  <c r="B176" i="8" s="1"/>
  <c r="G176" i="8"/>
  <c r="C177" i="8"/>
  <c r="B177" i="8" s="1" a="1"/>
  <c r="B177" i="8" s="1"/>
  <c r="G177" i="8"/>
  <c r="C178" i="8"/>
  <c r="B178" i="8" s="1" a="1"/>
  <c r="B178" i="8" s="1"/>
  <c r="G178" i="8"/>
  <c r="C179" i="8"/>
  <c r="B179" i="8" s="1" a="1"/>
  <c r="B179" i="8" s="1"/>
  <c r="G179" i="8"/>
  <c r="C180" i="8"/>
  <c r="B180" i="8" s="1" a="1"/>
  <c r="B180" i="8" s="1"/>
  <c r="G180" i="8"/>
  <c r="C181" i="8"/>
  <c r="B181" i="8" s="1" a="1"/>
  <c r="B181" i="8" s="1"/>
  <c r="G181" i="8"/>
  <c r="C182" i="8"/>
  <c r="B182" i="8" s="1" a="1"/>
  <c r="B182" i="8" s="1"/>
  <c r="G182" i="8"/>
  <c r="C183" i="8"/>
  <c r="B183" i="8" s="1" a="1"/>
  <c r="B183" i="8" s="1"/>
  <c r="G183" i="8"/>
  <c r="C184" i="8"/>
  <c r="B184" i="8" s="1" a="1"/>
  <c r="B184" i="8" s="1"/>
  <c r="G184" i="8"/>
  <c r="C185" i="8"/>
  <c r="B185" i="8" s="1" a="1"/>
  <c r="B185" i="8" s="1"/>
  <c r="G185" i="8"/>
  <c r="C186" i="8"/>
  <c r="B186" i="8" s="1" a="1"/>
  <c r="B186" i="8" s="1"/>
  <c r="G186" i="8"/>
  <c r="C187" i="8"/>
  <c r="B187" i="8" s="1" a="1"/>
  <c r="B187" i="8" s="1"/>
  <c r="G187" i="8"/>
  <c r="C188" i="8"/>
  <c r="B188" i="8" s="1" a="1"/>
  <c r="B188" i="8" s="1"/>
  <c r="G188" i="8"/>
  <c r="C189" i="8"/>
  <c r="B189" i="8" s="1" a="1"/>
  <c r="B189" i="8" s="1"/>
  <c r="G189" i="8"/>
  <c r="C190" i="8"/>
  <c r="B190" i="8" s="1" a="1"/>
  <c r="B190" i="8" s="1"/>
  <c r="G190" i="8"/>
  <c r="C191" i="8"/>
  <c r="B191" i="8" s="1" a="1"/>
  <c r="B191" i="8" s="1"/>
  <c r="G191" i="8"/>
  <c r="C192" i="8"/>
  <c r="B192" i="8" s="1" a="1"/>
  <c r="B192" i="8" s="1"/>
  <c r="G192" i="8"/>
  <c r="C193" i="8"/>
  <c r="B193" i="8" s="1" a="1"/>
  <c r="B193" i="8" s="1"/>
  <c r="G193" i="8"/>
  <c r="C194" i="8"/>
  <c r="B194" i="8" s="1" a="1"/>
  <c r="B194" i="8" s="1"/>
  <c r="G194" i="8"/>
  <c r="C195" i="8"/>
  <c r="B195" i="8" s="1" a="1"/>
  <c r="B195" i="8" s="1"/>
  <c r="G195" i="8"/>
  <c r="C196" i="8"/>
  <c r="B196" i="8" s="1" a="1"/>
  <c r="B196" i="8" s="1"/>
  <c r="G196" i="8"/>
  <c r="C197" i="8"/>
  <c r="B197" i="8" s="1" a="1"/>
  <c r="B197" i="8" s="1"/>
  <c r="G197" i="8"/>
  <c r="C198" i="8"/>
  <c r="B198" i="8" s="1" a="1"/>
  <c r="B198" i="8" s="1"/>
  <c r="G198" i="8"/>
  <c r="C199" i="8"/>
  <c r="B199" i="8" s="1" a="1"/>
  <c r="B199" i="8" s="1"/>
  <c r="G199" i="8"/>
  <c r="C200" i="8"/>
  <c r="B200" i="8" s="1" a="1"/>
  <c r="B200" i="8" s="1"/>
  <c r="G200" i="8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C5" i="8"/>
  <c r="B5" i="8" s="1" a="1"/>
  <c r="B5" i="8" s="1"/>
  <c r="P127" i="14" l="1"/>
  <c r="L5" i="20"/>
  <c r="L19" i="20"/>
  <c r="L6" i="20"/>
  <c r="L8" i="20"/>
  <c r="L4" i="20"/>
  <c r="L14" i="20"/>
  <c r="L20" i="20"/>
  <c r="L10" i="20"/>
  <c r="L17" i="20"/>
  <c r="L9" i="20"/>
  <c r="L7" i="20"/>
  <c r="L16" i="20"/>
  <c r="L12" i="20"/>
  <c r="L30" i="20"/>
  <c r="L21" i="20"/>
  <c r="L18" i="20"/>
  <c r="L26" i="20"/>
  <c r="L11" i="20"/>
  <c r="L24" i="20"/>
  <c r="L32" i="20"/>
  <c r="L25" i="20"/>
  <c r="L33" i="20"/>
  <c r="L31" i="20"/>
  <c r="L28" i="20"/>
  <c r="L23" i="20"/>
  <c r="L41" i="20"/>
  <c r="L29" i="20"/>
  <c r="L22" i="20"/>
  <c r="L38" i="20"/>
  <c r="L27" i="20"/>
  <c r="L35" i="20"/>
  <c r="L42" i="20"/>
  <c r="L37" i="20"/>
  <c r="L15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13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O28" i="14" s="1"/>
  <c r="N29" i="14"/>
  <c r="N30" i="14"/>
  <c r="N31" i="14"/>
  <c r="O31" i="14" s="1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O95" i="14" s="1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O44" i="14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22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F3" i="23" l="1"/>
  <c r="E3" i="23"/>
  <c r="D3" i="23"/>
  <c r="F2" i="23"/>
  <c r="E2" i="23"/>
  <c r="L4" i="23"/>
  <c r="C32" i="13"/>
  <c r="G3" i="23" l="1"/>
  <c r="G2" i="23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8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22" i="20"/>
  <c r="M11" i="20"/>
  <c r="M30" i="20"/>
  <c r="M16" i="20"/>
  <c r="M43" i="20"/>
  <c r="M24" i="20"/>
  <c r="M25" i="20"/>
  <c r="M26" i="20"/>
  <c r="M53" i="20"/>
  <c r="M20" i="20"/>
  <c r="M55" i="20"/>
  <c r="C2" i="13"/>
  <c r="B49" i="15" s="1"/>
  <c r="C3" i="8"/>
  <c r="C4" i="8"/>
  <c r="E3" i="8" l="1"/>
  <c r="F4" i="8"/>
  <c r="F3" i="8"/>
  <c r="E4" i="8"/>
  <c r="D4" i="8"/>
  <c r="D3" i="8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D4" i="23" l="1"/>
  <c r="F4" i="23"/>
  <c r="E4" i="23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13" i="20" s="1"/>
  <c r="G63" i="14"/>
  <c r="G55" i="14"/>
  <c r="F24" i="20" s="1"/>
  <c r="G47" i="14"/>
  <c r="F11" i="20" s="1"/>
  <c r="G39" i="14"/>
  <c r="F30" i="20" s="1"/>
  <c r="G31" i="14"/>
  <c r="F49" i="20" s="1"/>
  <c r="G23" i="14"/>
  <c r="F15" i="20" s="1"/>
  <c r="G15" i="14"/>
  <c r="F17" i="20" s="1"/>
  <c r="G7" i="14"/>
  <c r="F9" i="20" s="1"/>
  <c r="G120" i="14"/>
  <c r="G112" i="14"/>
  <c r="G104" i="14"/>
  <c r="G96" i="14"/>
  <c r="G88" i="14"/>
  <c r="G80" i="14"/>
  <c r="G72" i="14"/>
  <c r="F34" i="20" s="1"/>
  <c r="G64" i="14"/>
  <c r="G56" i="14"/>
  <c r="G48" i="14"/>
  <c r="F18" i="20" s="1"/>
  <c r="G40" i="14"/>
  <c r="F44" i="20" s="1"/>
  <c r="G32" i="14"/>
  <c r="G24" i="14"/>
  <c r="F20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6" i="20" s="1"/>
  <c r="G25" i="14"/>
  <c r="F47" i="20" s="1"/>
  <c r="G17" i="14"/>
  <c r="F59" i="20" s="1"/>
  <c r="G9" i="14"/>
  <c r="F7" i="20" s="1"/>
  <c r="G122" i="14"/>
  <c r="G114" i="14"/>
  <c r="G106" i="14"/>
  <c r="G98" i="14"/>
  <c r="G90" i="14"/>
  <c r="G82" i="14"/>
  <c r="G74" i="14"/>
  <c r="G66" i="14"/>
  <c r="F22" i="20" s="1"/>
  <c r="G58" i="14"/>
  <c r="F42" i="20" s="1"/>
  <c r="G50" i="14"/>
  <c r="G42" i="14"/>
  <c r="F51" i="20" s="1"/>
  <c r="G34" i="14"/>
  <c r="F48" i="20" s="1"/>
  <c r="G26" i="14"/>
  <c r="F53" i="20" s="1"/>
  <c r="G18" i="14"/>
  <c r="F8" i="20" s="1"/>
  <c r="G10" i="14"/>
  <c r="F16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23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5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0" i="20" s="1"/>
  <c r="G6" i="14"/>
  <c r="F12" i="20" s="1"/>
  <c r="G2" i="14"/>
  <c r="F60" i="20" s="1"/>
  <c r="G3" i="14"/>
  <c r="F21" i="20" s="1"/>
  <c r="A2" i="8"/>
  <c r="A3" i="8" s="1"/>
  <c r="O133" i="14" l="1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G4" i="23"/>
  <c r="F40" i="20"/>
  <c r="F39" i="20"/>
  <c r="F14" i="20"/>
  <c r="C8" i="13"/>
  <c r="A4" i="8"/>
  <c r="P62" i="14"/>
  <c r="P65" i="14"/>
  <c r="P82" i="14"/>
  <c r="P84" i="14"/>
  <c r="P85" i="14"/>
  <c r="P89" i="14"/>
  <c r="P91" i="14"/>
  <c r="P93" i="14"/>
  <c r="P95" i="14"/>
  <c r="P97" i="14"/>
  <c r="P99" i="14"/>
  <c r="P100" i="14"/>
  <c r="P101" i="14"/>
  <c r="P103" i="14"/>
  <c r="P105" i="14"/>
  <c r="P106" i="14"/>
  <c r="P107" i="14"/>
  <c r="P108" i="14"/>
  <c r="P109" i="14"/>
  <c r="P111" i="14"/>
  <c r="P112" i="14"/>
  <c r="P113" i="14"/>
  <c r="P114" i="14"/>
  <c r="P115" i="14"/>
  <c r="P116" i="14"/>
  <c r="P117" i="14"/>
  <c r="P118" i="14"/>
  <c r="P119" i="14"/>
  <c r="P121" i="14"/>
  <c r="P122" i="14"/>
  <c r="P123" i="14"/>
  <c r="P124" i="14"/>
  <c r="P125" i="14"/>
  <c r="F61" i="20" l="1"/>
  <c r="L61" i="20"/>
  <c r="F62" i="20"/>
  <c r="L62" i="20"/>
  <c r="N126" i="14"/>
  <c r="O126" i="14" s="1"/>
  <c r="A5" i="8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G128" i="3" s="1"/>
  <c r="BH2" i="3"/>
  <c r="BI2" i="3"/>
  <c r="BI128" i="3" s="1"/>
  <c r="BJ2" i="3"/>
  <c r="BK2" i="3"/>
  <c r="BL2" i="3"/>
  <c r="BM2" i="3"/>
  <c r="BN2" i="3"/>
  <c r="BO2" i="3"/>
  <c r="BO128" i="3" s="1"/>
  <c r="BP2" i="3"/>
  <c r="BQ2" i="3"/>
  <c r="BQ128" i="3" s="1"/>
  <c r="BR2" i="3"/>
  <c r="BS2" i="3"/>
  <c r="BT2" i="3"/>
  <c r="BU2" i="3"/>
  <c r="A6" i="8" l="1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P126" i="14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7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BB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D2" i="8" l="1"/>
  <c r="E2" i="8"/>
  <c r="F2" i="8"/>
  <c r="A8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P3" i="14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E128" i="14" s="1"/>
  <c r="P128" i="14" s="1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P9" i="14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P70" i="14"/>
  <c r="P98" i="14"/>
  <c r="AX127" i="3"/>
  <c r="AP127" i="3"/>
  <c r="AH127" i="3"/>
  <c r="Z127" i="3"/>
  <c r="R127" i="3"/>
  <c r="J127" i="3"/>
  <c r="P74" i="14"/>
  <c r="AW127" i="3"/>
  <c r="AO127" i="3"/>
  <c r="AG127" i="3"/>
  <c r="Y127" i="3"/>
  <c r="Q127" i="3"/>
  <c r="I127" i="3"/>
  <c r="P81" i="14"/>
  <c r="AV127" i="3"/>
  <c r="AN127" i="3"/>
  <c r="AF127" i="3"/>
  <c r="X127" i="3"/>
  <c r="P127" i="3"/>
  <c r="H127" i="3"/>
  <c r="P102" i="14"/>
  <c r="P104" i="14"/>
  <c r="P73" i="14"/>
  <c r="P53" i="14"/>
  <c r="P90" i="14"/>
  <c r="P56" i="14"/>
  <c r="P88" i="14"/>
  <c r="P94" i="14"/>
  <c r="P79" i="14"/>
  <c r="P75" i="14"/>
  <c r="I13" i="13"/>
  <c r="J5" i="13"/>
  <c r="P45" i="14"/>
  <c r="P47" i="14"/>
  <c r="P76" i="14"/>
  <c r="P16" i="14"/>
  <c r="P39" i="14"/>
  <c r="P25" i="14"/>
  <c r="P57" i="14"/>
  <c r="P24" i="14"/>
  <c r="P21" i="14"/>
  <c r="P37" i="14"/>
  <c r="P48" i="14"/>
  <c r="P80" i="14"/>
  <c r="P44" i="14"/>
  <c r="P32" i="14"/>
  <c r="P7" i="14"/>
  <c r="P71" i="14"/>
  <c r="P6" i="14"/>
  <c r="P42" i="14"/>
  <c r="P61" i="14"/>
  <c r="P18" i="14"/>
  <c r="P83" i="14"/>
  <c r="P66" i="14"/>
  <c r="P51" i="14"/>
  <c r="P14" i="14"/>
  <c r="P41" i="14"/>
  <c r="P27" i="14"/>
  <c r="P13" i="14"/>
  <c r="P15" i="14"/>
  <c r="P49" i="14"/>
  <c r="P31" i="14"/>
  <c r="P36" i="14"/>
  <c r="P63" i="14"/>
  <c r="P5" i="14"/>
  <c r="P35" i="14"/>
  <c r="P8" i="14"/>
  <c r="P30" i="14"/>
  <c r="P78" i="14"/>
  <c r="P58" i="14"/>
  <c r="P60" i="14"/>
  <c r="P86" i="14"/>
  <c r="P23" i="14"/>
  <c r="P34" i="14"/>
  <c r="P28" i="14"/>
  <c r="P26" i="14"/>
  <c r="P110" i="14"/>
  <c r="P50" i="14"/>
  <c r="P22" i="14"/>
  <c r="P20" i="14"/>
  <c r="P55" i="14"/>
  <c r="P52" i="14"/>
  <c r="P12" i="14"/>
  <c r="P54" i="14"/>
  <c r="P33" i="14"/>
  <c r="P11" i="14"/>
  <c r="P87" i="14"/>
  <c r="P120" i="14"/>
  <c r="P46" i="14"/>
  <c r="P43" i="14"/>
  <c r="P17" i="14"/>
  <c r="P77" i="14"/>
  <c r="P19" i="14"/>
  <c r="P38" i="14"/>
  <c r="P96" i="14"/>
  <c r="P10" i="14"/>
  <c r="P69" i="14"/>
  <c r="P92" i="14"/>
  <c r="P68" i="14"/>
  <c r="P64" i="14"/>
  <c r="P72" i="14"/>
  <c r="P59" i="14"/>
  <c r="P67" i="14"/>
  <c r="P2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C15" i="13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E133" i="14" l="1"/>
  <c r="P133" i="14" s="1"/>
  <c r="E130" i="14"/>
  <c r="P130" i="14" s="1"/>
  <c r="E131" i="14"/>
  <c r="P131" i="14" s="1"/>
  <c r="E132" i="14"/>
  <c r="P132" i="14" s="1"/>
  <c r="E129" i="14"/>
  <c r="P129" i="14" s="1"/>
  <c r="C9" i="13" s="1"/>
  <c r="X6" i="13" s="1"/>
  <c r="A9" i="8"/>
  <c r="P29" i="14"/>
  <c r="P4" i="14"/>
  <c r="P40" i="14"/>
  <c r="C36" i="15"/>
  <c r="J13" i="13"/>
  <c r="K5" i="13"/>
  <c r="D33" i="20"/>
  <c r="M66" i="14"/>
  <c r="D25" i="20"/>
  <c r="M45" i="14"/>
  <c r="D63" i="20"/>
  <c r="M75" i="14"/>
  <c r="D4" i="20"/>
  <c r="M67" i="14"/>
  <c r="D56" i="20"/>
  <c r="M41" i="14"/>
  <c r="D13" i="20"/>
  <c r="M71" i="14"/>
  <c r="D44" i="20"/>
  <c r="M52" i="14"/>
  <c r="D24" i="20"/>
  <c r="M55" i="14"/>
  <c r="D20" i="20"/>
  <c r="M47" i="14"/>
  <c r="D39" i="20"/>
  <c r="M49" i="14"/>
  <c r="D37" i="20"/>
  <c r="M72" i="14"/>
  <c r="D43" i="20"/>
  <c r="M48" i="14"/>
  <c r="D8" i="20"/>
  <c r="M39" i="14"/>
  <c r="D26" i="20"/>
  <c r="M46" i="14"/>
  <c r="D55" i="20"/>
  <c r="M26" i="14"/>
  <c r="D11" i="20"/>
  <c r="M34" i="14"/>
  <c r="D30" i="20"/>
  <c r="M37" i="14"/>
  <c r="D28" i="20"/>
  <c r="M58" i="14"/>
  <c r="D19" i="20"/>
  <c r="M61" i="14"/>
  <c r="D47" i="20"/>
  <c r="M38" i="14"/>
  <c r="D22" i="20"/>
  <c r="E22" i="20" s="1"/>
  <c r="M51" i="14"/>
  <c r="D51" i="20"/>
  <c r="M42" i="14"/>
  <c r="D50" i="20"/>
  <c r="M44" i="14"/>
  <c r="D16" i="20"/>
  <c r="M40" i="14"/>
  <c r="D53" i="20"/>
  <c r="D42" i="20"/>
  <c r="L1" i="8"/>
  <c r="L4" i="13"/>
  <c r="G3" i="13" l="1"/>
  <c r="G25" i="13" s="1"/>
  <c r="A10" i="8"/>
  <c r="K13" i="13"/>
  <c r="G6" i="13"/>
  <c r="G7" i="13" s="1"/>
  <c r="L5" i="13"/>
  <c r="H6" i="13"/>
  <c r="I6" i="13"/>
  <c r="J6" i="13"/>
  <c r="K6" i="13"/>
  <c r="L6" i="13"/>
  <c r="E16" i="20"/>
  <c r="E47" i="20"/>
  <c r="E11" i="20"/>
  <c r="E53" i="20"/>
  <c r="E30" i="20"/>
  <c r="E20" i="20"/>
  <c r="E8" i="20"/>
  <c r="E56" i="20"/>
  <c r="E33" i="20"/>
  <c r="E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13" i="20"/>
  <c r="E25" i="20"/>
  <c r="M1" i="8"/>
  <c r="M4" i="13"/>
  <c r="A11" i="8" l="1"/>
  <c r="H7" i="13"/>
  <c r="K7" i="13"/>
  <c r="I7" i="13"/>
  <c r="J7" i="13"/>
  <c r="L7" i="13"/>
  <c r="L13" i="13"/>
  <c r="M5" i="13"/>
  <c r="I15" i="13"/>
  <c r="L15" i="13"/>
  <c r="K15" i="13"/>
  <c r="J15" i="13"/>
  <c r="M6" i="13"/>
  <c r="N1" i="8"/>
  <c r="N4" i="13"/>
  <c r="A12" i="8" l="1"/>
  <c r="L17" i="13"/>
  <c r="K17" i="13"/>
  <c r="M7" i="13"/>
  <c r="M8" i="13" s="1"/>
  <c r="K8" i="13"/>
  <c r="J8" i="13"/>
  <c r="H8" i="13"/>
  <c r="I8" i="13"/>
  <c r="L8" i="13"/>
  <c r="M13" i="13"/>
  <c r="M15" i="13"/>
  <c r="M17" i="13" s="1"/>
  <c r="N5" i="13"/>
  <c r="N6" i="13"/>
  <c r="O1" i="8"/>
  <c r="O4" i="13"/>
  <c r="A13" i="8" l="1"/>
  <c r="J14" i="13"/>
  <c r="M14" i="13"/>
  <c r="H14" i="13"/>
  <c r="I14" i="13"/>
  <c r="K14" i="13"/>
  <c r="L14" i="13"/>
  <c r="N7" i="13"/>
  <c r="N8" i="13" s="1"/>
  <c r="N14" i="13" s="1"/>
  <c r="N13" i="13"/>
  <c r="N15" i="13"/>
  <c r="O5" i="13"/>
  <c r="O6" i="13"/>
  <c r="P1" i="8"/>
  <c r="P4" i="13"/>
  <c r="A14" i="8" l="1"/>
  <c r="L16" i="13"/>
  <c r="J16" i="13"/>
  <c r="K16" i="13"/>
  <c r="G14" i="13"/>
  <c r="H16" i="13" s="1"/>
  <c r="N16" i="13"/>
  <c r="M16" i="13"/>
  <c r="N17" i="13"/>
  <c r="O7" i="13"/>
  <c r="O8" i="13" s="1"/>
  <c r="O13" i="13"/>
  <c r="O15" i="13"/>
  <c r="P5" i="13"/>
  <c r="P6" i="13"/>
  <c r="Q1" i="8"/>
  <c r="Q4" i="13"/>
  <c r="A15" i="8" l="1"/>
  <c r="I16" i="13"/>
  <c r="G16" i="13"/>
  <c r="O14" i="13"/>
  <c r="O16" i="13" s="1"/>
  <c r="O17" i="13"/>
  <c r="P7" i="13"/>
  <c r="P13" i="13"/>
  <c r="P15" i="13"/>
  <c r="Q5" i="13"/>
  <c r="Q6" i="13"/>
  <c r="R1" i="8"/>
  <c r="R4" i="13"/>
  <c r="A16" i="8" l="1"/>
  <c r="P17" i="13"/>
  <c r="Q7" i="13"/>
  <c r="Q8" i="13" s="1"/>
  <c r="P8" i="13"/>
  <c r="Q13" i="13"/>
  <c r="Q15" i="13"/>
  <c r="R5" i="13"/>
  <c r="R6" i="13"/>
  <c r="S1" i="8"/>
  <c r="S4" i="13"/>
  <c r="A17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8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19" i="8" l="1"/>
  <c r="S14" i="13"/>
  <c r="S16" i="13" s="1"/>
  <c r="S17" i="13"/>
  <c r="T7" i="13"/>
  <c r="T8" i="13" s="1"/>
  <c r="T13" i="13"/>
  <c r="T15" i="13"/>
  <c r="U5" i="13"/>
  <c r="U6" i="13"/>
  <c r="V1" i="8"/>
  <c r="V4" i="13"/>
  <c r="A20" i="8" l="1"/>
  <c r="T14" i="13"/>
  <c r="T16" i="13" s="1"/>
  <c r="T17" i="13"/>
  <c r="U7" i="13"/>
  <c r="U8" i="13" s="1"/>
  <c r="U13" i="13"/>
  <c r="U15" i="13"/>
  <c r="V5" i="13"/>
  <c r="V6" i="13"/>
  <c r="W1" i="8"/>
  <c r="W4" i="13"/>
  <c r="A21" i="8" l="1"/>
  <c r="U14" i="13"/>
  <c r="U16" i="13" s="1"/>
  <c r="U17" i="13"/>
  <c r="V7" i="13"/>
  <c r="V13" i="13"/>
  <c r="V15" i="13"/>
  <c r="W5" i="13"/>
  <c r="W6" i="13"/>
  <c r="X1" i="8"/>
  <c r="X4" i="13"/>
  <c r="G20" i="8" l="1"/>
  <c r="A22" i="8"/>
  <c r="V17" i="13"/>
  <c r="V8" i="13"/>
  <c r="W7" i="13"/>
  <c r="W13" i="13"/>
  <c r="W15" i="13"/>
  <c r="X5" i="13"/>
  <c r="Y1" i="8"/>
  <c r="Y4" i="13"/>
  <c r="A23" i="8" l="1"/>
  <c r="V14" i="13"/>
  <c r="W17" i="13"/>
  <c r="X7" i="13"/>
  <c r="X8" i="13" s="1"/>
  <c r="W8" i="13"/>
  <c r="X13" i="13"/>
  <c r="X15" i="13"/>
  <c r="Y5" i="13"/>
  <c r="Y6" i="13"/>
  <c r="Z1" i="8"/>
  <c r="Z4" i="13"/>
  <c r="A24" i="8" l="1"/>
  <c r="X14" i="13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G22" i="8" l="1"/>
  <c r="A25" i="8"/>
  <c r="X16" i="13"/>
  <c r="Y14" i="13"/>
  <c r="Y17" i="13"/>
  <c r="Z7" i="13"/>
  <c r="Z13" i="13"/>
  <c r="Z15" i="13"/>
  <c r="AA5" i="13"/>
  <c r="AA6" i="13"/>
  <c r="AB1" i="8"/>
  <c r="AB4" i="13"/>
  <c r="G21" i="8" l="1"/>
  <c r="G24" i="8"/>
  <c r="A26" i="8"/>
  <c r="G23" i="8"/>
  <c r="Y16" i="13"/>
  <c r="Z17" i="13"/>
  <c r="Z8" i="13"/>
  <c r="AA7" i="13"/>
  <c r="AA8" i="13" s="1"/>
  <c r="AA13" i="13"/>
  <c r="AA15" i="13"/>
  <c r="AB5" i="13"/>
  <c r="AB13" i="13" s="1"/>
  <c r="AB6" i="13"/>
  <c r="AC1" i="8"/>
  <c r="AC4" i="13"/>
  <c r="G25" i="8" l="1"/>
  <c r="A27" i="8"/>
  <c r="AA14" i="13"/>
  <c r="Z14" i="13"/>
  <c r="Z16" i="13" s="1"/>
  <c r="AA17" i="13"/>
  <c r="AB7" i="13"/>
  <c r="AB15" i="13"/>
  <c r="AB17" i="13" s="1"/>
  <c r="AC5" i="13"/>
  <c r="AC13" i="13" s="1"/>
  <c r="AC6" i="13"/>
  <c r="AD1" i="8"/>
  <c r="AD4" i="13"/>
  <c r="G26" i="8" l="1"/>
  <c r="A28" i="8"/>
  <c r="AA16" i="13"/>
  <c r="AB8" i="13"/>
  <c r="AC7" i="13"/>
  <c r="AC15" i="13"/>
  <c r="AC17" i="13" s="1"/>
  <c r="AD5" i="13"/>
  <c r="AD13" i="13" s="1"/>
  <c r="AD6" i="13"/>
  <c r="AE1" i="8"/>
  <c r="AE4" i="13"/>
  <c r="G27" i="8" l="1"/>
  <c r="A29" i="8"/>
  <c r="AB14" i="13"/>
  <c r="AC8" i="13"/>
  <c r="AD7" i="13"/>
  <c r="AD15" i="13"/>
  <c r="AD17" i="13" s="1"/>
  <c r="AE5" i="13"/>
  <c r="AE13" i="13" s="1"/>
  <c r="AE6" i="13"/>
  <c r="AF1" i="8"/>
  <c r="AF4" i="13"/>
  <c r="G28" i="8" l="1"/>
  <c r="G5" i="20" s="1"/>
  <c r="A30" i="8"/>
  <c r="AB16" i="13"/>
  <c r="AC14" i="13"/>
  <c r="AC16" i="13" s="1"/>
  <c r="AD8" i="13"/>
  <c r="AE7" i="13"/>
  <c r="AE15" i="13"/>
  <c r="AE17" i="13" s="1"/>
  <c r="AF5" i="13"/>
  <c r="AF13" i="13" s="1"/>
  <c r="AF6" i="13"/>
  <c r="AG1" i="8"/>
  <c r="AG4" i="13"/>
  <c r="G29" i="8" l="1"/>
  <c r="A31" i="8"/>
  <c r="AD14" i="13"/>
  <c r="AD16" i="13" s="1"/>
  <c r="AF7" i="13"/>
  <c r="AF8" i="13" s="1"/>
  <c r="AE8" i="13"/>
  <c r="AF15" i="13"/>
  <c r="AG5" i="13"/>
  <c r="AG6" i="13"/>
  <c r="AH1" i="8"/>
  <c r="AH4" i="13"/>
  <c r="G30" i="8" l="1"/>
  <c r="A32" i="8"/>
  <c r="AF14" i="13"/>
  <c r="AE14" i="13"/>
  <c r="AG7" i="13"/>
  <c r="AG13" i="13"/>
  <c r="AG15" i="13"/>
  <c r="AG17" i="13" s="1"/>
  <c r="AF17" i="13"/>
  <c r="AH5" i="13"/>
  <c r="AH13" i="13" s="1"/>
  <c r="AH6" i="13"/>
  <c r="AI1" i="8"/>
  <c r="AI4" i="13"/>
  <c r="G31" i="8" l="1"/>
  <c r="A33" i="8"/>
  <c r="AH7" i="13"/>
  <c r="AH8" i="13" s="1"/>
  <c r="AG8" i="13"/>
  <c r="AH15" i="13"/>
  <c r="AH17" i="13" s="1"/>
  <c r="AI5" i="13"/>
  <c r="AI13" i="13" s="1"/>
  <c r="AI6" i="13"/>
  <c r="AJ1" i="8"/>
  <c r="AJ4" i="13"/>
  <c r="G32" i="8" l="1"/>
  <c r="A34" i="8"/>
  <c r="AH14" i="13"/>
  <c r="AG14" i="13"/>
  <c r="AI7" i="13"/>
  <c r="AI15" i="13"/>
  <c r="AI17" i="13" s="1"/>
  <c r="AJ5" i="13"/>
  <c r="AJ13" i="13" s="1"/>
  <c r="AJ6" i="13"/>
  <c r="AK1" i="8"/>
  <c r="AK4" i="13"/>
  <c r="G33" i="8" l="1"/>
  <c r="A35" i="8"/>
  <c r="AI8" i="13"/>
  <c r="AJ7" i="13"/>
  <c r="AJ15" i="13"/>
  <c r="AK5" i="13"/>
  <c r="AK13" i="13" s="1"/>
  <c r="AK6" i="13"/>
  <c r="AL1" i="8"/>
  <c r="AL4" i="13"/>
  <c r="G34" i="8" l="1"/>
  <c r="A36" i="8"/>
  <c r="AI14" i="13"/>
  <c r="AJ8" i="13"/>
  <c r="AK7" i="13"/>
  <c r="AK8" i="13" s="1"/>
  <c r="AL6" i="13"/>
  <c r="AK15" i="13"/>
  <c r="AK17" i="13" s="1"/>
  <c r="AJ17" i="13"/>
  <c r="AL5" i="13"/>
  <c r="AM1" i="8"/>
  <c r="AM4" i="13"/>
  <c r="G35" i="8" l="1"/>
  <c r="A37" i="8"/>
  <c r="AK14" i="13"/>
  <c r="AJ14" i="13"/>
  <c r="AL7" i="13"/>
  <c r="AL13" i="13"/>
  <c r="AL15" i="13"/>
  <c r="AL17" i="13" s="1"/>
  <c r="AM5" i="13"/>
  <c r="AM13" i="13" s="1"/>
  <c r="AM6" i="13"/>
  <c r="AN1" i="8"/>
  <c r="AN4" i="13"/>
  <c r="G36" i="8" l="1"/>
  <c r="G32" i="20" s="1"/>
  <c r="A38" i="8"/>
  <c r="AL8" i="13"/>
  <c r="AM7" i="13"/>
  <c r="AM8" i="13" s="1"/>
  <c r="AM15" i="13"/>
  <c r="AM17" i="13" s="1"/>
  <c r="AN5" i="13"/>
  <c r="AN6" i="13"/>
  <c r="AO1" i="8"/>
  <c r="AO4" i="13"/>
  <c r="G37" i="8" l="1"/>
  <c r="G24" i="20" s="1"/>
  <c r="A39" i="8"/>
  <c r="AM14" i="13"/>
  <c r="AL14" i="13"/>
  <c r="AN7" i="13"/>
  <c r="AN8" i="13" s="1"/>
  <c r="AN13" i="13"/>
  <c r="AN15" i="13"/>
  <c r="AN17" i="13" s="1"/>
  <c r="AO5" i="13"/>
  <c r="AO13" i="13" s="1"/>
  <c r="AO6" i="13"/>
  <c r="AP1" i="8"/>
  <c r="AP4" i="13"/>
  <c r="G38" i="8" l="1"/>
  <c r="A40" i="8"/>
  <c r="AN14" i="13"/>
  <c r="AO7" i="13"/>
  <c r="AO15" i="13"/>
  <c r="AO17" i="13" s="1"/>
  <c r="AP5" i="13"/>
  <c r="AP6" i="13"/>
  <c r="AQ1" i="8"/>
  <c r="AQ4" i="13"/>
  <c r="G39" i="8" l="1"/>
  <c r="A41" i="8"/>
  <c r="AO8" i="13"/>
  <c r="AP7" i="13"/>
  <c r="AP8" i="13" s="1"/>
  <c r="AP13" i="13"/>
  <c r="AP15" i="13"/>
  <c r="AP17" i="13" s="1"/>
  <c r="AQ5" i="13"/>
  <c r="AQ13" i="13" s="1"/>
  <c r="AQ6" i="13"/>
  <c r="AR1" i="8"/>
  <c r="AR4" i="13"/>
  <c r="G40" i="8" l="1"/>
  <c r="A42" i="8"/>
  <c r="AP14" i="13"/>
  <c r="AO14" i="13"/>
  <c r="AQ7" i="13"/>
  <c r="AQ8" i="13" s="1"/>
  <c r="AQ15" i="13"/>
  <c r="AQ17" i="13" s="1"/>
  <c r="AR5" i="13"/>
  <c r="AR6" i="13"/>
  <c r="AS1" i="8"/>
  <c r="AS4" i="13"/>
  <c r="G41" i="8" l="1"/>
  <c r="A43" i="8"/>
  <c r="AQ14" i="13"/>
  <c r="AR7" i="13"/>
  <c r="AR8" i="13" s="1"/>
  <c r="AR14" i="13" s="1"/>
  <c r="AR13" i="13"/>
  <c r="AR15" i="13"/>
  <c r="AR17" i="13" s="1"/>
  <c r="AS5" i="13"/>
  <c r="AS13" i="13" s="1"/>
  <c r="AS6" i="13"/>
  <c r="AT1" i="8"/>
  <c r="G23" i="20"/>
  <c r="AT4" i="13"/>
  <c r="G42" i="8" l="1"/>
  <c r="A44" i="8"/>
  <c r="AS7" i="13"/>
  <c r="AS8" i="13" s="1"/>
  <c r="AS15" i="13"/>
  <c r="AS17" i="13" s="1"/>
  <c r="AT5" i="13"/>
  <c r="AT6" i="13"/>
  <c r="AU1" i="8"/>
  <c r="AU4" i="13"/>
  <c r="G43" i="8" l="1"/>
  <c r="A45" i="8"/>
  <c r="AS14" i="13"/>
  <c r="AT7" i="13"/>
  <c r="AT13" i="13"/>
  <c r="AT15" i="13"/>
  <c r="AT17" i="13" s="1"/>
  <c r="AU5" i="13"/>
  <c r="AU6" i="13"/>
  <c r="AV1" i="8"/>
  <c r="AV4" i="13"/>
  <c r="G44" i="8" l="1"/>
  <c r="A46" i="8"/>
  <c r="AT8" i="13"/>
  <c r="AU7" i="13"/>
  <c r="AU8" i="13" s="1"/>
  <c r="AU13" i="13"/>
  <c r="AU15" i="13"/>
  <c r="AU17" i="13" s="1"/>
  <c r="AV5" i="13"/>
  <c r="AV13" i="13" s="1"/>
  <c r="AV6" i="13"/>
  <c r="AW1" i="8"/>
  <c r="AW4" i="13"/>
  <c r="G45" i="8" l="1"/>
  <c r="G29" i="20" s="1"/>
  <c r="A47" i="8"/>
  <c r="AU14" i="13"/>
  <c r="AT14" i="13"/>
  <c r="AV7" i="13"/>
  <c r="AV8" i="13" s="1"/>
  <c r="AV14" i="13" s="1"/>
  <c r="AV15" i="13"/>
  <c r="AV17" i="13" s="1"/>
  <c r="AW5" i="13"/>
  <c r="AW6" i="13"/>
  <c r="AX1" i="8"/>
  <c r="G27" i="20"/>
  <c r="AX4" i="13"/>
  <c r="G46" i="8" l="1"/>
  <c r="A48" i="8"/>
  <c r="AW7" i="13"/>
  <c r="AW8" i="13" s="1"/>
  <c r="AW14" i="13" s="1"/>
  <c r="AW13" i="13"/>
  <c r="AW15" i="13"/>
  <c r="AW17" i="13" s="1"/>
  <c r="AX5" i="13"/>
  <c r="AX6" i="13"/>
  <c r="AY1" i="8"/>
  <c r="AY4" i="13"/>
  <c r="G47" i="8" l="1"/>
  <c r="A49" i="8"/>
  <c r="AX7" i="13"/>
  <c r="AX8" i="13" s="1"/>
  <c r="AX13" i="13"/>
  <c r="AX15" i="13"/>
  <c r="AY5" i="13"/>
  <c r="AY13" i="13" s="1"/>
  <c r="AY6" i="13"/>
  <c r="AZ1" i="8"/>
  <c r="AZ4" i="13"/>
  <c r="G48" i="8" l="1"/>
  <c r="A50" i="8"/>
  <c r="AX14" i="13"/>
  <c r="AY7" i="13"/>
  <c r="AY8" i="13" s="1"/>
  <c r="AX17" i="13"/>
  <c r="AY15" i="13"/>
  <c r="AZ5" i="13"/>
  <c r="AZ13" i="13" s="1"/>
  <c r="AZ6" i="13"/>
  <c r="BA1" i="8"/>
  <c r="G6" i="20"/>
  <c r="BA4" i="13"/>
  <c r="G49" i="8" l="1"/>
  <c r="A51" i="8"/>
  <c r="AY14" i="13"/>
  <c r="AZ7" i="13"/>
  <c r="AZ8" i="13" s="1"/>
  <c r="AZ15" i="13"/>
  <c r="AZ17" i="13" s="1"/>
  <c r="AY17" i="13"/>
  <c r="BA5" i="13"/>
  <c r="BA6" i="13"/>
  <c r="BB1" i="8"/>
  <c r="G26" i="20"/>
  <c r="J26" i="20" s="1"/>
  <c r="G25" i="20"/>
  <c r="J25" i="20" s="1"/>
  <c r="BB4" i="13"/>
  <c r="G50" i="8" l="1"/>
  <c r="A52" i="8"/>
  <c r="AZ14" i="13"/>
  <c r="BA7" i="13"/>
  <c r="BA8" i="13" s="1"/>
  <c r="BA13" i="13"/>
  <c r="BA15" i="13"/>
  <c r="BA17" i="13" s="1"/>
  <c r="BB5" i="13"/>
  <c r="BB13" i="13" s="1"/>
  <c r="BB6" i="13"/>
  <c r="BC1" i="8"/>
  <c r="BD1" i="8" s="1"/>
  <c r="BE1" i="8" s="1"/>
  <c r="BF1" i="8" s="1"/>
  <c r="BG1" i="8" s="1"/>
  <c r="BH1" i="8" s="1"/>
  <c r="BI1" i="8" s="1"/>
  <c r="BJ1" i="8" s="1"/>
  <c r="BK1" i="8" s="1"/>
  <c r="BL1" i="8" s="1"/>
  <c r="BM1" i="8" s="1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C4" i="13"/>
  <c r="G51" i="8" l="1"/>
  <c r="G40" i="20" s="1"/>
  <c r="G5" i="8"/>
  <c r="G6" i="8"/>
  <c r="G7" i="8"/>
  <c r="G9" i="8"/>
  <c r="G12" i="8"/>
  <c r="G10" i="8"/>
  <c r="G15" i="8"/>
  <c r="G18" i="8"/>
  <c r="G19" i="8"/>
  <c r="A53" i="8"/>
  <c r="BA14" i="13"/>
  <c r="G45" i="20"/>
  <c r="G57" i="20"/>
  <c r="BB7" i="13"/>
  <c r="BB8" i="13" s="1"/>
  <c r="BB15" i="13"/>
  <c r="BB17" i="13" s="1"/>
  <c r="BC5" i="13"/>
  <c r="BC13" i="13" s="1"/>
  <c r="BC6" i="13"/>
  <c r="G2" i="8"/>
  <c r="BD4" i="13"/>
  <c r="G52" i="8" l="1"/>
  <c r="G30" i="20" s="1"/>
  <c r="J30" i="20" s="1"/>
  <c r="G17" i="8"/>
  <c r="G13" i="8"/>
  <c r="C12" i="13" s="1"/>
  <c r="G11" i="8"/>
  <c r="G17" i="20" s="1"/>
  <c r="G8" i="8"/>
  <c r="G12" i="20" s="1"/>
  <c r="A54" i="8"/>
  <c r="G4" i="8"/>
  <c r="G14" i="8"/>
  <c r="G3" i="8"/>
  <c r="G16" i="8"/>
  <c r="BB14" i="13"/>
  <c r="G16" i="20"/>
  <c r="J16" i="20" s="1"/>
  <c r="G9" i="20"/>
  <c r="G10" i="20"/>
  <c r="G59" i="20"/>
  <c r="BC7" i="13"/>
  <c r="BC8" i="13" s="1"/>
  <c r="BC15" i="13"/>
  <c r="BC17" i="13" s="1"/>
  <c r="BD5" i="13"/>
  <c r="BD6" i="13"/>
  <c r="G8" i="20"/>
  <c r="J8" i="20" s="1"/>
  <c r="C29" i="13"/>
  <c r="BE4" i="13"/>
  <c r="G53" i="8" l="1"/>
  <c r="A55" i="8"/>
  <c r="BC14" i="13"/>
  <c r="BD7" i="13"/>
  <c r="BD8" i="13" s="1"/>
  <c r="BD13" i="13"/>
  <c r="G60" i="20"/>
  <c r="BD15" i="13"/>
  <c r="BD17" i="13" s="1"/>
  <c r="BE5" i="13"/>
  <c r="BE13" i="13" s="1"/>
  <c r="BE6" i="13"/>
  <c r="C21" i="13"/>
  <c r="G10" i="13" s="1"/>
  <c r="D29" i="13"/>
  <c r="H3" i="13"/>
  <c r="B29" i="15"/>
  <c r="B34" i="13"/>
  <c r="BF4" i="13"/>
  <c r="G54" i="8" l="1"/>
  <c r="G43" i="20" s="1"/>
  <c r="J43" i="20" s="1"/>
  <c r="A56" i="8"/>
  <c r="BD14" i="13"/>
  <c r="H10" i="13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BE17" i="13" s="1"/>
  <c r="G27" i="13"/>
  <c r="G28" i="13" s="1"/>
  <c r="H27" i="13"/>
  <c r="H28" i="13" s="1"/>
  <c r="H25" i="13"/>
  <c r="BF5" i="13"/>
  <c r="BF13" i="13" s="1"/>
  <c r="BF6" i="13"/>
  <c r="C14" i="13"/>
  <c r="C20" i="15" s="1"/>
  <c r="G11" i="20"/>
  <c r="J11" i="20" s="1"/>
  <c r="G18" i="20"/>
  <c r="C16" i="15"/>
  <c r="C34" i="15"/>
  <c r="I3" i="13"/>
  <c r="C10" i="15"/>
  <c r="BG4" i="13"/>
  <c r="G55" i="8" l="1"/>
  <c r="A57" i="8"/>
  <c r="BE14" i="13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6" i="8" l="1"/>
  <c r="A58" i="8"/>
  <c r="BF14" i="13"/>
  <c r="BG7" i="13"/>
  <c r="BG8" i="13" s="1"/>
  <c r="BF12" i="13"/>
  <c r="BF11" i="13"/>
  <c r="BF10" i="13"/>
  <c r="BG13" i="13"/>
  <c r="BG15" i="13"/>
  <c r="BG17" i="13" s="1"/>
  <c r="Z23" i="13"/>
  <c r="Z22" i="13"/>
  <c r="J25" i="13"/>
  <c r="J27" i="13"/>
  <c r="J28" i="13" s="1"/>
  <c r="BH5" i="13"/>
  <c r="BH6" i="13"/>
  <c r="G22" i="20"/>
  <c r="J22" i="20" s="1"/>
  <c r="K3" i="13"/>
  <c r="BI4" i="13"/>
  <c r="G57" i="8" l="1"/>
  <c r="A59" i="8"/>
  <c r="BG14" i="13"/>
  <c r="BH7" i="13"/>
  <c r="BH8" i="13" s="1"/>
  <c r="BH14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G58" i="8" l="1"/>
  <c r="G58" i="20" s="1"/>
  <c r="A60" i="8"/>
  <c r="BH12" i="13"/>
  <c r="BH11" i="13"/>
  <c r="BH10" i="13"/>
  <c r="BI7" i="13"/>
  <c r="BI8" i="13" s="1"/>
  <c r="BI14" i="13" s="1"/>
  <c r="BI15" i="13"/>
  <c r="BI17" i="13" s="1"/>
  <c r="AB21" i="13"/>
  <c r="AB22" i="13"/>
  <c r="AB23" i="13"/>
  <c r="L27" i="13"/>
  <c r="L28" i="13" s="1"/>
  <c r="L25" i="13"/>
  <c r="BJ5" i="13"/>
  <c r="BJ6" i="13"/>
  <c r="G50" i="20"/>
  <c r="J50" i="20" s="1"/>
  <c r="M3" i="13"/>
  <c r="BK4" i="13"/>
  <c r="G59" i="8" l="1"/>
  <c r="H29" i="20"/>
  <c r="A61" i="8"/>
  <c r="BJ7" i="13"/>
  <c r="BI12" i="13"/>
  <c r="BI11" i="13"/>
  <c r="BI10" i="13"/>
  <c r="BJ13" i="13"/>
  <c r="BJ15" i="13"/>
  <c r="BJ17" i="13" s="1"/>
  <c r="AC21" i="13"/>
  <c r="AC23" i="13"/>
  <c r="AC22" i="13"/>
  <c r="M27" i="13"/>
  <c r="M28" i="13" s="1"/>
  <c r="M25" i="13"/>
  <c r="BK5" i="13"/>
  <c r="BK13" i="13" s="1"/>
  <c r="BK6" i="13"/>
  <c r="N3" i="13"/>
  <c r="BL4" i="13"/>
  <c r="G60" i="8" l="1"/>
  <c r="A62" i="8"/>
  <c r="BJ8" i="13"/>
  <c r="BJ14" i="13" s="1"/>
  <c r="BK7" i="13"/>
  <c r="BK8" i="13" s="1"/>
  <c r="BK15" i="13"/>
  <c r="BK17" i="13" s="1"/>
  <c r="AD21" i="13"/>
  <c r="AD22" i="13"/>
  <c r="AD23" i="13"/>
  <c r="N27" i="13"/>
  <c r="N28" i="13" s="1"/>
  <c r="N25" i="13"/>
  <c r="BL5" i="13"/>
  <c r="BL6" i="13"/>
  <c r="G46" i="20"/>
  <c r="G14" i="20"/>
  <c r="G47" i="20"/>
  <c r="J47" i="20" s="1"/>
  <c r="O3" i="13"/>
  <c r="BM4" i="13"/>
  <c r="G61" i="8" l="1"/>
  <c r="G44" i="20" s="1"/>
  <c r="J44" i="20" s="1"/>
  <c r="A63" i="8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62" i="8" l="1"/>
  <c r="A64" i="8"/>
  <c r="BL8" i="13"/>
  <c r="BL14" i="13" s="1"/>
  <c r="BM13" i="13"/>
  <c r="BM7" i="13"/>
  <c r="BM8" i="13" s="1"/>
  <c r="BL17" i="13"/>
  <c r="BM15" i="13"/>
  <c r="AF21" i="13"/>
  <c r="AF22" i="13"/>
  <c r="AF23" i="13"/>
  <c r="P27" i="13"/>
  <c r="P28" i="13" s="1"/>
  <c r="P25" i="13"/>
  <c r="BN5" i="13"/>
  <c r="BN6" i="13"/>
  <c r="J24" i="20"/>
  <c r="Q3" i="13"/>
  <c r="BO4" i="13"/>
  <c r="H54" i="20" l="1"/>
  <c r="G63" i="8"/>
  <c r="A65" i="8"/>
  <c r="BL12" i="13"/>
  <c r="BM12" i="13" s="1"/>
  <c r="BM14" i="13"/>
  <c r="BL10" i="13"/>
  <c r="BM10" i="13" s="1"/>
  <c r="BL11" i="13"/>
  <c r="BM11" i="13" s="1"/>
  <c r="BN7" i="13"/>
  <c r="BN13" i="13"/>
  <c r="BN15" i="13"/>
  <c r="BN17" i="13" s="1"/>
  <c r="BM17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G64" i="8" l="1"/>
  <c r="A66" i="8"/>
  <c r="BN8" i="13"/>
  <c r="BN14" i="13" s="1"/>
  <c r="BO7" i="13"/>
  <c r="BO13" i="13"/>
  <c r="BO15" i="13"/>
  <c r="BO17" i="13" s="1"/>
  <c r="AH21" i="13"/>
  <c r="AH22" i="13"/>
  <c r="AH23" i="13"/>
  <c r="R27" i="13"/>
  <c r="R28" i="13" s="1"/>
  <c r="R25" i="13"/>
  <c r="BP5" i="13"/>
  <c r="BP13" i="13" s="1"/>
  <c r="BP6" i="13"/>
  <c r="S3" i="13"/>
  <c r="BQ4" i="13"/>
  <c r="G65" i="8" l="1"/>
  <c r="A67" i="8"/>
  <c r="BN11" i="13"/>
  <c r="BN12" i="13"/>
  <c r="BN10" i="13"/>
  <c r="BO8" i="13"/>
  <c r="BP7" i="13"/>
  <c r="BP15" i="13"/>
  <c r="BP17" i="13" s="1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G66" i="8" l="1"/>
  <c r="G53" i="20" s="1"/>
  <c r="J53" i="20" s="1"/>
  <c r="A68" i="8"/>
  <c r="BO14" i="13"/>
  <c r="BO10" i="13"/>
  <c r="BO12" i="13"/>
  <c r="BO11" i="13"/>
  <c r="BP8" i="13"/>
  <c r="BQ7" i="13"/>
  <c r="BQ13" i="13"/>
  <c r="BQ15" i="13"/>
  <c r="AJ21" i="13"/>
  <c r="AJ22" i="13"/>
  <c r="AJ23" i="13"/>
  <c r="T27" i="13"/>
  <c r="T28" i="13" s="1"/>
  <c r="T25" i="13"/>
  <c r="BR5" i="13"/>
  <c r="BR6" i="13"/>
  <c r="BR15" i="13" s="1"/>
  <c r="U3" i="13"/>
  <c r="BS4" i="13"/>
  <c r="G67" i="8" l="1"/>
  <c r="A69" i="8"/>
  <c r="BP14" i="13"/>
  <c r="BR13" i="13"/>
  <c r="BP10" i="13"/>
  <c r="BP12" i="13"/>
  <c r="BP11" i="13"/>
  <c r="BQ8" i="13"/>
  <c r="BR7" i="13"/>
  <c r="BR8" i="13" s="1"/>
  <c r="BQ17" i="13"/>
  <c r="BR17" i="13"/>
  <c r="U27" i="13"/>
  <c r="U28" i="13" s="1"/>
  <c r="U25" i="13"/>
  <c r="BS5" i="13"/>
  <c r="BS6" i="13"/>
  <c r="BS15" i="13" s="1"/>
  <c r="G56" i="20"/>
  <c r="J56" i="20" s="1"/>
  <c r="G28" i="20"/>
  <c r="J28" i="20" s="1"/>
  <c r="V3" i="13"/>
  <c r="BT4" i="13"/>
  <c r="G68" i="8" l="1"/>
  <c r="G48" i="20" s="1"/>
  <c r="A70" i="8"/>
  <c r="BR14" i="13"/>
  <c r="BQ14" i="13"/>
  <c r="BS17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BT15" i="13" s="1"/>
  <c r="W3" i="13"/>
  <c r="BU4" i="13"/>
  <c r="BR16" i="13" l="1"/>
  <c r="G69" i="8"/>
  <c r="G35" i="20" s="1"/>
  <c r="A71" i="8"/>
  <c r="BX17" i="13"/>
  <c r="BW17" i="13"/>
  <c r="BU17" i="13"/>
  <c r="BV17" i="13"/>
  <c r="BT17" i="13"/>
  <c r="BS8" i="13"/>
  <c r="BS14" i="13" s="1"/>
  <c r="BT7" i="13"/>
  <c r="BZ8" i="13" s="1"/>
  <c r="BU13" i="13"/>
  <c r="W27" i="13"/>
  <c r="W28" i="13" s="1"/>
  <c r="W25" i="13"/>
  <c r="BU15" i="13"/>
  <c r="BY17" i="13" s="1"/>
  <c r="BU5" i="13"/>
  <c r="BU6" i="13"/>
  <c r="G15" i="20"/>
  <c r="G20" i="20"/>
  <c r="J20" i="20" s="1"/>
  <c r="X3" i="13"/>
  <c r="BV4" i="13"/>
  <c r="BU8" i="13" l="1"/>
  <c r="BV14" i="13" s="1"/>
  <c r="BV8" i="13"/>
  <c r="G70" i="8"/>
  <c r="A72" i="8"/>
  <c r="CA14" i="13"/>
  <c r="BS12" i="13"/>
  <c r="CC8" i="13"/>
  <c r="CD14" i="13" s="1"/>
  <c r="CB8" i="13"/>
  <c r="BX8" i="13"/>
  <c r="CA8" i="13"/>
  <c r="CB14" i="13" s="1"/>
  <c r="BT8" i="13"/>
  <c r="BT14" i="13" s="1"/>
  <c r="BY8" i="13"/>
  <c r="BZ14" i="13" s="1"/>
  <c r="BW8" i="13"/>
  <c r="BS10" i="13"/>
  <c r="BS11" i="13"/>
  <c r="BU7" i="13"/>
  <c r="CE8" i="13" s="1"/>
  <c r="CF14" i="13" s="1"/>
  <c r="CD8" i="13"/>
  <c r="CE14" i="13" s="1"/>
  <c r="BV15" i="13"/>
  <c r="BZ17" i="13" s="1"/>
  <c r="BV13" i="13"/>
  <c r="X27" i="13"/>
  <c r="X28" i="13" s="1"/>
  <c r="X25" i="13"/>
  <c r="BV5" i="13"/>
  <c r="BV6" i="13"/>
  <c r="G21" i="20"/>
  <c r="Y3" i="13"/>
  <c r="BW4" i="13"/>
  <c r="G71" i="8" l="1"/>
  <c r="A73" i="8"/>
  <c r="CC14" i="13"/>
  <c r="BY14" i="13"/>
  <c r="BX14" i="13"/>
  <c r="BW14" i="13"/>
  <c r="BT12" i="13"/>
  <c r="BU12" i="13" s="1"/>
  <c r="BV12" i="13" s="1"/>
  <c r="BW12" i="13" s="1"/>
  <c r="BX12" i="13" s="1"/>
  <c r="BY12" i="13" s="1"/>
  <c r="BZ12" i="13" s="1"/>
  <c r="CA12" i="13" s="1"/>
  <c r="CB12" i="13" s="1"/>
  <c r="CC12" i="13" s="1"/>
  <c r="CD12" i="13" s="1"/>
  <c r="BU14" i="13"/>
  <c r="BT11" i="13"/>
  <c r="BU11" i="13" s="1"/>
  <c r="BV11" i="13" s="1"/>
  <c r="BW11" i="13" s="1"/>
  <c r="BX11" i="13" s="1"/>
  <c r="BY11" i="13" s="1"/>
  <c r="BZ11" i="13" s="1"/>
  <c r="CA11" i="13" s="1"/>
  <c r="CB11" i="13" s="1"/>
  <c r="CC11" i="13" s="1"/>
  <c r="CD11" i="13" s="1"/>
  <c r="BT10" i="13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BV7" i="13"/>
  <c r="CF8" i="13" s="1"/>
  <c r="CG14" i="13" s="1"/>
  <c r="BW13" i="13"/>
  <c r="Y27" i="13"/>
  <c r="Y28" i="13" s="1"/>
  <c r="Y25" i="13"/>
  <c r="BW15" i="13"/>
  <c r="CA17" i="13" s="1"/>
  <c r="BW5" i="13"/>
  <c r="BW6" i="13"/>
  <c r="G49" i="20"/>
  <c r="Z3" i="13"/>
  <c r="BX4" i="13"/>
  <c r="G72" i="8" l="1"/>
  <c r="A74" i="8"/>
  <c r="CE12" i="13"/>
  <c r="CE11" i="13"/>
  <c r="CE10" i="13"/>
  <c r="BW7" i="13"/>
  <c r="CG8" i="13" s="1"/>
  <c r="CH14" i="13" s="1"/>
  <c r="BX15" i="13"/>
  <c r="CB17" i="13" s="1"/>
  <c r="BX13" i="13"/>
  <c r="Z25" i="13"/>
  <c r="Z27" i="13"/>
  <c r="Z28" i="13" s="1"/>
  <c r="BX5" i="13"/>
  <c r="BX6" i="13"/>
  <c r="G54" i="20"/>
  <c r="G52" i="20"/>
  <c r="AA3" i="13"/>
  <c r="BY4" i="13"/>
  <c r="G73" i="8" l="1"/>
  <c r="A75" i="8"/>
  <c r="CF10" i="13"/>
  <c r="CF11" i="13"/>
  <c r="CF12" i="13"/>
  <c r="BX7" i="13"/>
  <c r="CH8" i="13" s="1"/>
  <c r="CI14" i="13" s="1"/>
  <c r="BY13" i="13"/>
  <c r="BY15" i="13"/>
  <c r="CC17" i="13" s="1"/>
  <c r="AA27" i="13"/>
  <c r="AA28" i="13" s="1"/>
  <c r="AA25" i="13"/>
  <c r="BY5" i="13"/>
  <c r="BY6" i="13"/>
  <c r="AB3" i="13"/>
  <c r="BZ4" i="13"/>
  <c r="G74" i="8" l="1"/>
  <c r="A76" i="8"/>
  <c r="CG10" i="13"/>
  <c r="CG12" i="13"/>
  <c r="CG11" i="13"/>
  <c r="CH11" i="13" s="1"/>
  <c r="BY7" i="13"/>
  <c r="CI8" i="13" s="1"/>
  <c r="CJ14" i="13" s="1"/>
  <c r="BZ13" i="13"/>
  <c r="AB27" i="13"/>
  <c r="AB28" i="13" s="1"/>
  <c r="AB25" i="13"/>
  <c r="BZ15" i="13"/>
  <c r="CD17" i="13" s="1"/>
  <c r="BZ5" i="13"/>
  <c r="BZ6" i="13"/>
  <c r="AC3" i="13"/>
  <c r="CA4" i="13"/>
  <c r="G75" i="8" l="1"/>
  <c r="A77" i="8"/>
  <c r="CH10" i="13"/>
  <c r="CH12" i="13"/>
  <c r="CI12" i="13" s="1"/>
  <c r="BZ7" i="13"/>
  <c r="CJ8" i="13" s="1"/>
  <c r="CK14" i="13" s="1"/>
  <c r="CA15" i="13"/>
  <c r="CE17" i="13" s="1"/>
  <c r="CA13" i="13"/>
  <c r="AC27" i="13"/>
  <c r="AC28" i="13" s="1"/>
  <c r="AC25" i="13"/>
  <c r="CA5" i="13"/>
  <c r="CA6" i="13"/>
  <c r="G7" i="20"/>
  <c r="AD3" i="13"/>
  <c r="CB4" i="13"/>
  <c r="G76" i="8" l="1"/>
  <c r="G38" i="20" s="1"/>
  <c r="A78" i="8"/>
  <c r="CI10" i="13"/>
  <c r="CI11" i="13"/>
  <c r="CA7" i="13"/>
  <c r="CK8" i="13" s="1"/>
  <c r="CL14" i="13" s="1"/>
  <c r="CB13" i="13"/>
  <c r="CB15" i="13"/>
  <c r="CF17" i="13" s="1"/>
  <c r="AD27" i="13"/>
  <c r="AD28" i="13" s="1"/>
  <c r="AD25" i="13"/>
  <c r="CB5" i="13"/>
  <c r="CB6" i="13"/>
  <c r="AE3" i="13"/>
  <c r="CC4" i="13"/>
  <c r="G77" i="8" l="1"/>
  <c r="A79" i="8"/>
  <c r="CJ10" i="13"/>
  <c r="CJ11" i="13"/>
  <c r="CJ12" i="13"/>
  <c r="CK12" i="13" s="1"/>
  <c r="CB7" i="13"/>
  <c r="CL8" i="13" s="1"/>
  <c r="CM14" i="13" s="1"/>
  <c r="CC13" i="13"/>
  <c r="AE27" i="13"/>
  <c r="AE28" i="13" s="1"/>
  <c r="AE25" i="13"/>
  <c r="CC15" i="13"/>
  <c r="CG17" i="13" s="1"/>
  <c r="CC5" i="13"/>
  <c r="CC6" i="13"/>
  <c r="AF3" i="13"/>
  <c r="CD4" i="13"/>
  <c r="G78" i="8" l="1"/>
  <c r="G36" i="20" s="1"/>
  <c r="A80" i="8"/>
  <c r="CK10" i="13"/>
  <c r="CK11" i="13"/>
  <c r="CC7" i="13"/>
  <c r="CM8" i="13" s="1"/>
  <c r="CN14" i="13" s="1"/>
  <c r="CD13" i="13"/>
  <c r="AF27" i="13"/>
  <c r="AF28" i="13" s="1"/>
  <c r="AF25" i="13"/>
  <c r="CD15" i="13"/>
  <c r="CH17" i="13" s="1"/>
  <c r="CD5" i="13"/>
  <c r="CD6" i="13"/>
  <c r="AG3" i="13"/>
  <c r="CE4" i="13"/>
  <c r="G79" i="8" l="1"/>
  <c r="G34" i="20" s="1"/>
  <c r="A81" i="8"/>
  <c r="CL10" i="13"/>
  <c r="CL11" i="13"/>
  <c r="CL12" i="13"/>
  <c r="CD7" i="13"/>
  <c r="CN8" i="13" s="1"/>
  <c r="CO14" i="13" s="1"/>
  <c r="CE13" i="13"/>
  <c r="AG27" i="13"/>
  <c r="AG28" i="13" s="1"/>
  <c r="AG25" i="13"/>
  <c r="CE15" i="13"/>
  <c r="CI17" i="13" s="1"/>
  <c r="CE5" i="13"/>
  <c r="CE6" i="13"/>
  <c r="AH3" i="13"/>
  <c r="CF4" i="13"/>
  <c r="G80" i="8" l="1"/>
  <c r="A82" i="8"/>
  <c r="CM10" i="13"/>
  <c r="CM11" i="13"/>
  <c r="CM12" i="13"/>
  <c r="CN12" i="13" s="1"/>
  <c r="CE7" i="13"/>
  <c r="CF13" i="13"/>
  <c r="CF15" i="13"/>
  <c r="CJ17" i="13" s="1"/>
  <c r="AH27" i="13"/>
  <c r="AH28" i="13" s="1"/>
  <c r="AH25" i="13"/>
  <c r="CF5" i="13"/>
  <c r="CF6" i="13"/>
  <c r="AI3" i="13"/>
  <c r="CG4" i="13"/>
  <c r="G81" i="8" l="1"/>
  <c r="G42" i="20" s="1"/>
  <c r="J42" i="20" s="1"/>
  <c r="A83" i="8"/>
  <c r="CN10" i="13"/>
  <c r="CO8" i="13"/>
  <c r="CP14" i="13" s="1"/>
  <c r="CN11" i="13"/>
  <c r="CF7" i="13"/>
  <c r="CG13" i="13"/>
  <c r="CG15" i="13"/>
  <c r="CK17" i="13" s="1"/>
  <c r="AI27" i="13"/>
  <c r="AI28" i="13" s="1"/>
  <c r="AI25" i="13"/>
  <c r="CG5" i="13"/>
  <c r="CG6" i="13"/>
  <c r="G19" i="20"/>
  <c r="J19" i="20" s="1"/>
  <c r="AJ3" i="13"/>
  <c r="CH4" i="13"/>
  <c r="G82" i="8" l="1"/>
  <c r="A84" i="8"/>
  <c r="CO10" i="13"/>
  <c r="CP8" i="13"/>
  <c r="CQ14" i="13" s="1"/>
  <c r="CO11" i="13"/>
  <c r="CO12" i="13"/>
  <c r="CG7" i="13"/>
  <c r="CH13" i="13"/>
  <c r="CH15" i="13"/>
  <c r="CL17" i="13" s="1"/>
  <c r="AJ27" i="13"/>
  <c r="AJ28" i="13" s="1"/>
  <c r="AJ25" i="13"/>
  <c r="CH5" i="13"/>
  <c r="CH6" i="13"/>
  <c r="AK3" i="13"/>
  <c r="CI4" i="13"/>
  <c r="A85" i="8" l="1"/>
  <c r="G83" i="8"/>
  <c r="CP12" i="13"/>
  <c r="CP10" i="13"/>
  <c r="CQ8" i="13"/>
  <c r="CR14" i="13" s="1"/>
  <c r="CP11" i="13"/>
  <c r="CH7" i="13"/>
  <c r="CI15" i="13"/>
  <c r="CM17" i="13" s="1"/>
  <c r="CI13" i="13"/>
  <c r="AK27" i="13"/>
  <c r="AK28" i="13" s="1"/>
  <c r="AK25" i="13"/>
  <c r="CI5" i="13"/>
  <c r="CI6" i="13"/>
  <c r="AL3" i="13"/>
  <c r="CJ4" i="13"/>
  <c r="G84" i="8" l="1"/>
  <c r="G55" i="20" s="1"/>
  <c r="J55" i="20" s="1"/>
  <c r="A86" i="8"/>
  <c r="CQ11" i="13"/>
  <c r="CQ10" i="13"/>
  <c r="CR8" i="13"/>
  <c r="CS14" i="13" s="1"/>
  <c r="CQ12" i="13"/>
  <c r="CI7" i="13"/>
  <c r="CJ15" i="13"/>
  <c r="CN17" i="13" s="1"/>
  <c r="CJ13" i="13"/>
  <c r="AL25" i="13"/>
  <c r="AL27" i="13"/>
  <c r="AL28" i="13" s="1"/>
  <c r="CJ5" i="13"/>
  <c r="CJ6" i="13"/>
  <c r="AM3" i="13"/>
  <c r="CK4" i="13"/>
  <c r="G85" i="8" l="1"/>
  <c r="G51" i="20" s="1"/>
  <c r="J51" i="20" s="1"/>
  <c r="A87" i="8"/>
  <c r="CR10" i="13"/>
  <c r="CS8" i="13"/>
  <c r="CT14" i="13" s="1"/>
  <c r="CR11" i="13"/>
  <c r="CR12" i="13"/>
  <c r="CJ7" i="13"/>
  <c r="CK13" i="13"/>
  <c r="CK15" i="13"/>
  <c r="CO17" i="13" s="1"/>
  <c r="AM27" i="13"/>
  <c r="AM28" i="13" s="1"/>
  <c r="AM25" i="13"/>
  <c r="CK5" i="13"/>
  <c r="CK6" i="13"/>
  <c r="AN3" i="13"/>
  <c r="CL4" i="13"/>
  <c r="A88" i="8" l="1"/>
  <c r="G86" i="8"/>
  <c r="CS10" i="13"/>
  <c r="CT8" i="13"/>
  <c r="CU14" i="13" s="1"/>
  <c r="CS12" i="13"/>
  <c r="CS11" i="13"/>
  <c r="CK7" i="13"/>
  <c r="CL13" i="13"/>
  <c r="CL15" i="13"/>
  <c r="CP17" i="13" s="1"/>
  <c r="AN27" i="13"/>
  <c r="AN28" i="13" s="1"/>
  <c r="AN25" i="13"/>
  <c r="CL5" i="13"/>
  <c r="CL6" i="13"/>
  <c r="AO3" i="13"/>
  <c r="CM4" i="13"/>
  <c r="G87" i="8" l="1"/>
  <c r="A89" i="8"/>
  <c r="CT10" i="13"/>
  <c r="CU8" i="13"/>
  <c r="CV14" i="13" s="1"/>
  <c r="CT11" i="13"/>
  <c r="CT12" i="13"/>
  <c r="CL7" i="13"/>
  <c r="CV8" i="13" s="1"/>
  <c r="CW14" i="13" s="1"/>
  <c r="CM15" i="13"/>
  <c r="CQ17" i="13" s="1"/>
  <c r="CM13" i="13"/>
  <c r="AO27" i="13"/>
  <c r="AO28" i="13" s="1"/>
  <c r="AO25" i="13"/>
  <c r="CM5" i="13"/>
  <c r="CM6" i="13"/>
  <c r="AP3" i="13"/>
  <c r="CN4" i="13"/>
  <c r="G88" i="8" l="1"/>
  <c r="A90" i="8"/>
  <c r="CU12" i="13"/>
  <c r="CV12" i="13" s="1"/>
  <c r="CU10" i="13"/>
  <c r="CU11" i="13"/>
  <c r="CV11" i="13" s="1"/>
  <c r="CM7" i="13"/>
  <c r="CN15" i="13"/>
  <c r="CR17" i="13" s="1"/>
  <c r="CN13" i="13"/>
  <c r="AP25" i="13"/>
  <c r="AP27" i="13"/>
  <c r="AP28" i="13" s="1"/>
  <c r="CN5" i="13"/>
  <c r="CN6" i="13"/>
  <c r="AQ3" i="13"/>
  <c r="CO4" i="13"/>
  <c r="G89" i="8" l="1"/>
  <c r="A91" i="8"/>
  <c r="CV10" i="13"/>
  <c r="CW8" i="13"/>
  <c r="CX14" i="13" s="1"/>
  <c r="CN7" i="13"/>
  <c r="CO13" i="13"/>
  <c r="CO15" i="13"/>
  <c r="CS17" i="13" s="1"/>
  <c r="AQ27" i="13"/>
  <c r="AQ28" i="13" s="1"/>
  <c r="AQ25" i="13"/>
  <c r="CO5" i="13"/>
  <c r="CO6" i="13"/>
  <c r="AR3" i="13"/>
  <c r="CP4" i="13"/>
  <c r="A92" i="8" l="1"/>
  <c r="G90" i="8"/>
  <c r="CW10" i="13"/>
  <c r="CX8" i="13"/>
  <c r="CY14" i="13" s="1"/>
  <c r="CW12" i="13"/>
  <c r="CW11" i="13"/>
  <c r="CO7" i="13"/>
  <c r="CP15" i="13"/>
  <c r="CT17" i="13" s="1"/>
  <c r="CP13" i="13"/>
  <c r="AR27" i="13"/>
  <c r="AR28" i="13" s="1"/>
  <c r="AR25" i="13"/>
  <c r="CP5" i="13"/>
  <c r="CP6" i="13"/>
  <c r="AS3" i="13"/>
  <c r="CQ4" i="13"/>
  <c r="G91" i="8" l="1"/>
  <c r="A93" i="8"/>
  <c r="CX11" i="13"/>
  <c r="CX10" i="13"/>
  <c r="CY8" i="13"/>
  <c r="CZ14" i="13" s="1"/>
  <c r="CX12" i="13"/>
  <c r="CP7" i="13"/>
  <c r="CQ13" i="13"/>
  <c r="CQ15" i="13"/>
  <c r="CU17" i="13" s="1"/>
  <c r="AS27" i="13"/>
  <c r="AS28" i="13" s="1"/>
  <c r="AS25" i="13"/>
  <c r="CQ5" i="13"/>
  <c r="CQ6" i="13"/>
  <c r="AT3" i="13"/>
  <c r="CR4" i="13"/>
  <c r="G92" i="8" l="1"/>
  <c r="A94" i="8"/>
  <c r="CY10" i="13"/>
  <c r="CZ8" i="13"/>
  <c r="DA14" i="13" s="1"/>
  <c r="CY12" i="13"/>
  <c r="CY11" i="13"/>
  <c r="CQ7" i="13"/>
  <c r="CR13" i="13"/>
  <c r="AT27" i="13"/>
  <c r="AT28" i="13" s="1"/>
  <c r="AT25" i="13"/>
  <c r="CR15" i="13"/>
  <c r="CV17" i="13" s="1"/>
  <c r="CR5" i="13"/>
  <c r="CR6" i="13"/>
  <c r="AU3" i="13"/>
  <c r="CS4" i="13"/>
  <c r="G93" i="8" l="1"/>
  <c r="A95" i="8"/>
  <c r="CZ10" i="13"/>
  <c r="DA8" i="13"/>
  <c r="DB14" i="13" s="1"/>
  <c r="CZ11" i="13"/>
  <c r="CZ12" i="13"/>
  <c r="CR7" i="13"/>
  <c r="CS13" i="13"/>
  <c r="CS15" i="13"/>
  <c r="CW17" i="13" s="1"/>
  <c r="AU27" i="13"/>
  <c r="AU28" i="13" s="1"/>
  <c r="AU25" i="13"/>
  <c r="CS5" i="13"/>
  <c r="CS6" i="13"/>
  <c r="AV3" i="13"/>
  <c r="CT4" i="13"/>
  <c r="G94" i="8" l="1"/>
  <c r="A96" i="8"/>
  <c r="DA12" i="13"/>
  <c r="DA10" i="13"/>
  <c r="DB8" i="13"/>
  <c r="DC14" i="13" s="1"/>
  <c r="DA11" i="13"/>
  <c r="CS7" i="13"/>
  <c r="CT15" i="13"/>
  <c r="CX17" i="13" s="1"/>
  <c r="CT13" i="13"/>
  <c r="AV27" i="13"/>
  <c r="AV28" i="13" s="1"/>
  <c r="AV25" i="13"/>
  <c r="CT5" i="13"/>
  <c r="CT6" i="13"/>
  <c r="AW3" i="13"/>
  <c r="CU4" i="13"/>
  <c r="A97" i="8" l="1"/>
  <c r="G95" i="8"/>
  <c r="DB10" i="13"/>
  <c r="DC8" i="13"/>
  <c r="DD14" i="13" s="1"/>
  <c r="DB11" i="13"/>
  <c r="DB12" i="13"/>
  <c r="CT7" i="13"/>
  <c r="DD8" i="13" s="1"/>
  <c r="DE14" i="13" s="1"/>
  <c r="CU13" i="13"/>
  <c r="CU15" i="13"/>
  <c r="CY17" i="13" s="1"/>
  <c r="AW27" i="13"/>
  <c r="AW28" i="13" s="1"/>
  <c r="AW25" i="13"/>
  <c r="CU5" i="13"/>
  <c r="CU6" i="13"/>
  <c r="AX3" i="13"/>
  <c r="CV4" i="13"/>
  <c r="A98" i="8" l="1"/>
  <c r="G96" i="8"/>
  <c r="DC12" i="13"/>
  <c r="DC10" i="13"/>
  <c r="DC11" i="13"/>
  <c r="CU7" i="13"/>
  <c r="CV13" i="13"/>
  <c r="CV15" i="13"/>
  <c r="CZ17" i="13" s="1"/>
  <c r="AX25" i="13"/>
  <c r="AX27" i="13"/>
  <c r="AX28" i="13" s="1"/>
  <c r="CV5" i="13"/>
  <c r="CV6" i="13"/>
  <c r="AY3" i="13"/>
  <c r="CW4" i="13"/>
  <c r="G97" i="8" l="1"/>
  <c r="A99" i="8"/>
  <c r="DD12" i="13"/>
  <c r="DE8" i="13"/>
  <c r="DF14" i="13" s="1"/>
  <c r="DD10" i="13"/>
  <c r="DD11" i="13"/>
  <c r="CV7" i="13"/>
  <c r="DF8" i="13" s="1"/>
  <c r="DG14" i="13" s="1"/>
  <c r="CW15" i="13"/>
  <c r="DA17" i="13" s="1"/>
  <c r="CW13" i="13"/>
  <c r="AY27" i="13"/>
  <c r="AY28" i="13" s="1"/>
  <c r="AY25" i="13"/>
  <c r="CW5" i="13"/>
  <c r="CW6" i="13"/>
  <c r="AZ3" i="13"/>
  <c r="CX4" i="13"/>
  <c r="A100" i="8" l="1"/>
  <c r="G98" i="8"/>
  <c r="DE11" i="13"/>
  <c r="DE12" i="13"/>
  <c r="DE10" i="13"/>
  <c r="DF10" i="13" s="1"/>
  <c r="CW7" i="13"/>
  <c r="CX13" i="13"/>
  <c r="CX15" i="13"/>
  <c r="DB17" i="13" s="1"/>
  <c r="AZ27" i="13"/>
  <c r="AZ28" i="13" s="1"/>
  <c r="AZ25" i="13"/>
  <c r="CX5" i="13"/>
  <c r="CX6" i="13"/>
  <c r="BA3" i="13"/>
  <c r="CY4" i="13"/>
  <c r="G99" i="8" l="1"/>
  <c r="A101" i="8"/>
  <c r="DF12" i="13"/>
  <c r="DG8" i="13"/>
  <c r="DH14" i="13" s="1"/>
  <c r="DF11" i="13"/>
  <c r="CX7" i="13"/>
  <c r="CY15" i="13"/>
  <c r="DC17" i="13" s="1"/>
  <c r="CY13" i="13"/>
  <c r="BA27" i="13"/>
  <c r="BA28" i="13" s="1"/>
  <c r="BA25" i="13"/>
  <c r="CY5" i="13"/>
  <c r="CY6" i="13"/>
  <c r="BB3" i="13"/>
  <c r="CZ4" i="13"/>
  <c r="A102" i="8" l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G100" i="8"/>
  <c r="DG11" i="13"/>
  <c r="DG12" i="13"/>
  <c r="DH8" i="13"/>
  <c r="DI14" i="13" s="1"/>
  <c r="DG10" i="13"/>
  <c r="CY7" i="13"/>
  <c r="CZ13" i="13"/>
  <c r="BB25" i="13"/>
  <c r="BB27" i="13"/>
  <c r="BB28" i="13" s="1"/>
  <c r="CZ15" i="13"/>
  <c r="DD17" i="13" s="1"/>
  <c r="CZ5" i="13"/>
  <c r="CZ6" i="13"/>
  <c r="BC3" i="13"/>
  <c r="DA4" i="13"/>
  <c r="G101" i="8" l="1"/>
  <c r="DH10" i="13"/>
  <c r="DH12" i="13"/>
  <c r="DI8" i="13"/>
  <c r="DJ14" i="13" s="1"/>
  <c r="DH11" i="13"/>
  <c r="CZ7" i="13"/>
  <c r="DA13" i="13"/>
  <c r="DA15" i="13"/>
  <c r="DE17" i="13" s="1"/>
  <c r="BC27" i="13"/>
  <c r="BC28" i="13" s="1"/>
  <c r="BC25" i="13"/>
  <c r="DA5" i="13"/>
  <c r="DA6" i="13"/>
  <c r="BD3" i="13"/>
  <c r="DB4" i="13"/>
  <c r="DI12" i="13" l="1"/>
  <c r="DJ8" i="13"/>
  <c r="DK14" i="13" s="1"/>
  <c r="DI10" i="13"/>
  <c r="DI11" i="13"/>
  <c r="DJ11" i="13" s="1"/>
  <c r="DA7" i="13"/>
  <c r="DB13" i="13"/>
  <c r="BD27" i="13"/>
  <c r="BD28" i="13" s="1"/>
  <c r="BD25" i="13"/>
  <c r="DB15" i="13"/>
  <c r="DF17" i="13" s="1"/>
  <c r="DB5" i="13"/>
  <c r="DB6" i="13"/>
  <c r="BE3" i="13"/>
  <c r="DC4" i="13"/>
  <c r="DJ12" i="13" l="1"/>
  <c r="DK8" i="13"/>
  <c r="DL14" i="13" s="1"/>
  <c r="DJ10" i="13"/>
  <c r="DB7" i="13"/>
  <c r="DC15" i="13"/>
  <c r="DG17" i="13" s="1"/>
  <c r="DC13" i="13"/>
  <c r="BE27" i="13"/>
  <c r="BE28" i="13" s="1"/>
  <c r="BE25" i="13"/>
  <c r="DC5" i="13"/>
  <c r="DC6" i="13"/>
  <c r="BF3" i="13"/>
  <c r="DD4" i="13"/>
  <c r="DK12" i="13" l="1"/>
  <c r="DL8" i="13"/>
  <c r="DM14" i="13" s="1"/>
  <c r="DK10" i="13"/>
  <c r="DK11" i="13"/>
  <c r="DC7" i="13"/>
  <c r="DD13" i="13"/>
  <c r="BF25" i="13"/>
  <c r="BF27" i="13"/>
  <c r="BF28" i="13" s="1"/>
  <c r="DD15" i="13"/>
  <c r="DH17" i="13" s="1"/>
  <c r="DD5" i="13"/>
  <c r="DD6" i="13"/>
  <c r="BG3" i="13"/>
  <c r="DE4" i="13"/>
  <c r="DL11" i="13" l="1"/>
  <c r="DL10" i="13"/>
  <c r="DL12" i="13"/>
  <c r="DM8" i="13"/>
  <c r="DN14" i="13" s="1"/>
  <c r="DD7" i="13"/>
  <c r="DE15" i="13"/>
  <c r="DI17" i="13" s="1"/>
  <c r="DE13" i="13"/>
  <c r="BG27" i="13"/>
  <c r="BG28" i="13" s="1"/>
  <c r="BG25" i="13"/>
  <c r="DE5" i="13"/>
  <c r="DE6" i="13"/>
  <c r="BH3" i="13"/>
  <c r="DF4" i="13"/>
  <c r="DM12" i="13" l="1"/>
  <c r="DN8" i="13"/>
  <c r="DO14" i="13" s="1"/>
  <c r="DM10" i="13"/>
  <c r="DM11" i="13"/>
  <c r="DE7" i="13"/>
  <c r="DF13" i="13"/>
  <c r="BH27" i="13"/>
  <c r="BH28" i="13" s="1"/>
  <c r="BH25" i="13"/>
  <c r="DF15" i="13"/>
  <c r="DJ17" i="13" s="1"/>
  <c r="DF5" i="13"/>
  <c r="DF6" i="13"/>
  <c r="BI3" i="13"/>
  <c r="DG4" i="13"/>
  <c r="DN11" i="13" l="1"/>
  <c r="DN12" i="13"/>
  <c r="DO8" i="13"/>
  <c r="DP14" i="13" s="1"/>
  <c r="DN10" i="13"/>
  <c r="DF7" i="13"/>
  <c r="DG13" i="13"/>
  <c r="BI27" i="13"/>
  <c r="BI28" i="13" s="1"/>
  <c r="BI25" i="13"/>
  <c r="DG15" i="13"/>
  <c r="DK17" i="13" s="1"/>
  <c r="DG5" i="13"/>
  <c r="DG6" i="13"/>
  <c r="BJ3" i="13"/>
  <c r="DH4" i="13"/>
  <c r="DO12" i="13" l="1"/>
  <c r="DP8" i="13"/>
  <c r="DQ14" i="13" s="1"/>
  <c r="DO10" i="13"/>
  <c r="DO11" i="13"/>
  <c r="DG7" i="13"/>
  <c r="DQ8" i="13" s="1"/>
  <c r="DR14" i="13" s="1"/>
  <c r="DH15" i="13"/>
  <c r="DL17" i="13" s="1"/>
  <c r="DH13" i="13"/>
  <c r="BJ27" i="13"/>
  <c r="BJ28" i="13" s="1"/>
  <c r="BJ25" i="13"/>
  <c r="DH5" i="13"/>
  <c r="DH6" i="13"/>
  <c r="BK3" i="13"/>
  <c r="DI4" i="13"/>
  <c r="DP12" i="13" l="1"/>
  <c r="DP11" i="13"/>
  <c r="DP10" i="13"/>
  <c r="DH7" i="13"/>
  <c r="DI13" i="13"/>
  <c r="DI15" i="13"/>
  <c r="DM17" i="13" s="1"/>
  <c r="BK27" i="13"/>
  <c r="BK28" i="13" s="1"/>
  <c r="BK25" i="13"/>
  <c r="DI5" i="13"/>
  <c r="DI6" i="13"/>
  <c r="BL3" i="13"/>
  <c r="DJ4" i="13"/>
  <c r="DQ11" i="13" l="1"/>
  <c r="DR8" i="13"/>
  <c r="DS14" i="13" s="1"/>
  <c r="DQ12" i="13"/>
  <c r="DQ10" i="13"/>
  <c r="DI7" i="13"/>
  <c r="DJ13" i="13"/>
  <c r="DJ15" i="13"/>
  <c r="DN17" i="13" s="1"/>
  <c r="BL27" i="13"/>
  <c r="BL28" i="13" s="1"/>
  <c r="BL25" i="13"/>
  <c r="DJ5" i="13"/>
  <c r="DJ6" i="13"/>
  <c r="BM3" i="13"/>
  <c r="DK4" i="13"/>
  <c r="DR11" i="13" l="1"/>
  <c r="DS8" i="13"/>
  <c r="DT14" i="13" s="1"/>
  <c r="DR10" i="13"/>
  <c r="DR12" i="13"/>
  <c r="DJ7" i="13"/>
  <c r="DT8" i="13" s="1"/>
  <c r="DU14" i="13" s="1"/>
  <c r="DK13" i="13"/>
  <c r="BM27" i="13"/>
  <c r="BM28" i="13" s="1"/>
  <c r="BM25" i="13"/>
  <c r="DK15" i="13"/>
  <c r="DO17" i="13" s="1"/>
  <c r="DK5" i="13"/>
  <c r="DK6" i="13"/>
  <c r="BN3" i="13"/>
  <c r="DL4" i="13"/>
  <c r="DS12" i="13" l="1"/>
  <c r="DS11" i="13"/>
  <c r="DS10" i="13"/>
  <c r="DT10" i="13" s="1"/>
  <c r="DK7" i="13"/>
  <c r="DL13" i="13"/>
  <c r="BN25" i="13"/>
  <c r="BN27" i="13"/>
  <c r="BN28" i="13" s="1"/>
  <c r="DL15" i="13"/>
  <c r="DP17" i="13" s="1"/>
  <c r="DL5" i="13"/>
  <c r="DL6" i="13"/>
  <c r="BO3" i="13"/>
  <c r="DM4" i="13"/>
  <c r="DT11" i="13" l="1"/>
  <c r="DU8" i="13"/>
  <c r="DV14" i="13" s="1"/>
  <c r="DT12" i="13"/>
  <c r="DL7" i="13"/>
  <c r="DM13" i="13"/>
  <c r="DM15" i="13"/>
  <c r="DQ17" i="13" s="1"/>
  <c r="BO27" i="13"/>
  <c r="BO28" i="13" s="1"/>
  <c r="BO25" i="13"/>
  <c r="DM5" i="13"/>
  <c r="DM6" i="13"/>
  <c r="BP3" i="13"/>
  <c r="DN4" i="13"/>
  <c r="DU11" i="13" l="1"/>
  <c r="DV8" i="13"/>
  <c r="DW14" i="13" s="1"/>
  <c r="DU12" i="13"/>
  <c r="DU10" i="13"/>
  <c r="DM7" i="13"/>
  <c r="DN15" i="13"/>
  <c r="DR17" i="13" s="1"/>
  <c r="DN13" i="13"/>
  <c r="BP27" i="13"/>
  <c r="BP28" i="13" s="1"/>
  <c r="BP25" i="13"/>
  <c r="DN5" i="13"/>
  <c r="DN6" i="13"/>
  <c r="BQ3" i="13"/>
  <c r="DO4" i="13"/>
  <c r="DV11" i="13" l="1"/>
  <c r="DW8" i="13"/>
  <c r="DX14" i="13" s="1"/>
  <c r="DV10" i="13"/>
  <c r="DV12" i="13"/>
  <c r="DN7" i="13"/>
  <c r="DO13" i="13"/>
  <c r="DO15" i="13"/>
  <c r="DS17" i="13" s="1"/>
  <c r="BQ27" i="13"/>
  <c r="BQ28" i="13" s="1"/>
  <c r="BQ25" i="13"/>
  <c r="DO5" i="13"/>
  <c r="DO6" i="13"/>
  <c r="BR3" i="13"/>
  <c r="DP4" i="13"/>
  <c r="DW12" i="13" l="1"/>
  <c r="DW11" i="13"/>
  <c r="DX8" i="13"/>
  <c r="DY14" i="13" s="1"/>
  <c r="DW10" i="13"/>
  <c r="DT16" i="13"/>
  <c r="DO7" i="13"/>
  <c r="DP15" i="13"/>
  <c r="DT17" i="13" s="1"/>
  <c r="DP13" i="13"/>
  <c r="DS16" i="13"/>
  <c r="BR27" i="13"/>
  <c r="BR28" i="13" s="1"/>
  <c r="BR25" i="13"/>
  <c r="DP5" i="13"/>
  <c r="DP6" i="13"/>
  <c r="BS3" i="13"/>
  <c r="DQ4" i="13"/>
  <c r="DX10" i="13" l="1"/>
  <c r="DX11" i="13"/>
  <c r="DY8" i="13"/>
  <c r="DZ14" i="13" s="1"/>
  <c r="DX12" i="13"/>
  <c r="DU16" i="13"/>
  <c r="DP7" i="13"/>
  <c r="DQ15" i="13"/>
  <c r="DU17" i="13" s="1"/>
  <c r="DQ13" i="13"/>
  <c r="BS27" i="13"/>
  <c r="BS28" i="13" s="1"/>
  <c r="BS25" i="13"/>
  <c r="DR16" i="13"/>
  <c r="DQ5" i="13"/>
  <c r="DQ6" i="13"/>
  <c r="BT3" i="13"/>
  <c r="DR4" i="13"/>
  <c r="DY12" i="13" l="1"/>
  <c r="DY11" i="13"/>
  <c r="DZ8" i="13"/>
  <c r="EA14" i="13" s="1"/>
  <c r="DY10" i="13"/>
  <c r="DV16" i="13"/>
  <c r="DQ7" i="13"/>
  <c r="DR13" i="13"/>
  <c r="DR15" i="13"/>
  <c r="DV17" i="13" s="1"/>
  <c r="BT27" i="13"/>
  <c r="BT28" i="13" s="1"/>
  <c r="BT25" i="13"/>
  <c r="DQ16" i="13"/>
  <c r="DR5" i="13"/>
  <c r="DR6" i="13"/>
  <c r="BU3" i="13"/>
  <c r="DS4" i="13"/>
  <c r="DZ11" i="13" l="1"/>
  <c r="EA8" i="13"/>
  <c r="EB14" i="13" s="1"/>
  <c r="DZ10" i="13"/>
  <c r="DZ12" i="13"/>
  <c r="DW16" i="13"/>
  <c r="DR7" i="13"/>
  <c r="DS15" i="13"/>
  <c r="DW17" i="13" s="1"/>
  <c r="DS13" i="13"/>
  <c r="DP16" i="13"/>
  <c r="BU27" i="13"/>
  <c r="BU28" i="13" s="1"/>
  <c r="BU25" i="13"/>
  <c r="DS5" i="13"/>
  <c r="DS6" i="13"/>
  <c r="BV3" i="13"/>
  <c r="DT4" i="13"/>
  <c r="EA12" i="13" l="1"/>
  <c r="EA11" i="13"/>
  <c r="EB8" i="13"/>
  <c r="EC14" i="13" s="1"/>
  <c r="EA10" i="13"/>
  <c r="DX16" i="13"/>
  <c r="DS7" i="13"/>
  <c r="DT13" i="13"/>
  <c r="DT15" i="13"/>
  <c r="DX17" i="13" s="1"/>
  <c r="BV25" i="13"/>
  <c r="BV27" i="13"/>
  <c r="BV28" i="13" s="1"/>
  <c r="DO16" i="13"/>
  <c r="DT5" i="13"/>
  <c r="DT6" i="13"/>
  <c r="BW3" i="13"/>
  <c r="DU4" i="13"/>
  <c r="EB11" i="13" l="1"/>
  <c r="EC8" i="13"/>
  <c r="ED14" i="13" s="1"/>
  <c r="EB10" i="13"/>
  <c r="EB12" i="13"/>
  <c r="DY16" i="13"/>
  <c r="DT7" i="13"/>
  <c r="DU13" i="13"/>
  <c r="DU15" i="13"/>
  <c r="DY17" i="13" s="1"/>
  <c r="DN16" i="13"/>
  <c r="BW27" i="13"/>
  <c r="BW28" i="13" s="1"/>
  <c r="BW25" i="13"/>
  <c r="DU5" i="13"/>
  <c r="DU6" i="13"/>
  <c r="BX3" i="13"/>
  <c r="DV4" i="13"/>
  <c r="EC12" i="13" l="1"/>
  <c r="EC11" i="13"/>
  <c r="ED8" i="13"/>
  <c r="EE14" i="13" s="1"/>
  <c r="EC10" i="13"/>
  <c r="DZ16" i="13"/>
  <c r="DU7" i="13"/>
  <c r="DV13" i="13"/>
  <c r="DV15" i="13"/>
  <c r="DZ17" i="13" s="1"/>
  <c r="BX27" i="13"/>
  <c r="BX28" i="13" s="1"/>
  <c r="BX25" i="13"/>
  <c r="DM16" i="13"/>
  <c r="DV5" i="13"/>
  <c r="DV6" i="13"/>
  <c r="BY3" i="13"/>
  <c r="DW4" i="13"/>
  <c r="ED10" i="13" l="1"/>
  <c r="ED11" i="13"/>
  <c r="EE8" i="13"/>
  <c r="EF14" i="13" s="1"/>
  <c r="ED12" i="13"/>
  <c r="EA16" i="13"/>
  <c r="DV7" i="13"/>
  <c r="DW13" i="13"/>
  <c r="DL16" i="13"/>
  <c r="DW15" i="13"/>
  <c r="EA17" i="13" s="1"/>
  <c r="BY27" i="13"/>
  <c r="BY28" i="13" s="1"/>
  <c r="BY25" i="13"/>
  <c r="DW5" i="13"/>
  <c r="DW6" i="13"/>
  <c r="BZ3" i="13"/>
  <c r="DX4" i="13"/>
  <c r="EE11" i="13" l="1"/>
  <c r="EF8" i="13"/>
  <c r="EG14" i="13" s="1"/>
  <c r="EE12" i="13"/>
  <c r="EE10" i="13"/>
  <c r="EB16" i="13"/>
  <c r="DW7" i="13"/>
  <c r="DX15" i="13"/>
  <c r="EB17" i="13" s="1"/>
  <c r="DX13" i="13"/>
  <c r="DK16" i="13"/>
  <c r="BZ27" i="13"/>
  <c r="BZ28" i="13" s="1"/>
  <c r="BZ25" i="13"/>
  <c r="DX5" i="13"/>
  <c r="DX6" i="13"/>
  <c r="CA3" i="13"/>
  <c r="DY4" i="13"/>
  <c r="EF11" i="13" l="1"/>
  <c r="EG8" i="13"/>
  <c r="EH14" i="13" s="1"/>
  <c r="EF10" i="13"/>
  <c r="EF12" i="13"/>
  <c r="EC16" i="13"/>
  <c r="DX7" i="13"/>
  <c r="DY15" i="13"/>
  <c r="EC17" i="13" s="1"/>
  <c r="DY13" i="13"/>
  <c r="CA27" i="13"/>
  <c r="CA28" i="13" s="1"/>
  <c r="CA25" i="13"/>
  <c r="DJ16" i="13"/>
  <c r="DY5" i="13"/>
  <c r="DY6" i="13"/>
  <c r="CB3" i="13"/>
  <c r="DZ4" i="13"/>
  <c r="EG11" i="13" l="1"/>
  <c r="EH8" i="13"/>
  <c r="EI14" i="13" s="1"/>
  <c r="EG12" i="13"/>
  <c r="EG10" i="13"/>
  <c r="ED16" i="13"/>
  <c r="DY7" i="13"/>
  <c r="DZ15" i="13"/>
  <c r="ED17" i="13" s="1"/>
  <c r="DZ13" i="13"/>
  <c r="CB27" i="13"/>
  <c r="CB28" i="13" s="1"/>
  <c r="CB25" i="13"/>
  <c r="DI16" i="13"/>
  <c r="DZ5" i="13"/>
  <c r="DZ6" i="13"/>
  <c r="G33" i="20"/>
  <c r="J33" i="20" s="1"/>
  <c r="CC3" i="13"/>
  <c r="EA4" i="13"/>
  <c r="EH11" i="13" l="1"/>
  <c r="EI8" i="13"/>
  <c r="EJ14" i="13" s="1"/>
  <c r="EH10" i="13"/>
  <c r="EH12" i="13"/>
  <c r="EE16" i="13"/>
  <c r="DZ7" i="13"/>
  <c r="EA15" i="13"/>
  <c r="EE17" i="13" s="1"/>
  <c r="EA13" i="13"/>
  <c r="CC27" i="13"/>
  <c r="CC28" i="13" s="1"/>
  <c r="CC25" i="13"/>
  <c r="DH16" i="13"/>
  <c r="EA5" i="13"/>
  <c r="EA6" i="13"/>
  <c r="CD3" i="13"/>
  <c r="EB4" i="13"/>
  <c r="EI11" i="13" l="1"/>
  <c r="EJ8" i="13"/>
  <c r="EK14" i="13" s="1"/>
  <c r="EI12" i="13"/>
  <c r="EI10" i="13"/>
  <c r="EF16" i="13"/>
  <c r="EA7" i="13"/>
  <c r="EB15" i="13"/>
  <c r="EF17" i="13" s="1"/>
  <c r="EB13" i="13"/>
  <c r="CD27" i="13"/>
  <c r="CD28" i="13" s="1"/>
  <c r="CD25" i="13"/>
  <c r="DG16" i="13"/>
  <c r="EB5" i="13"/>
  <c r="EB6" i="13"/>
  <c r="G4" i="20"/>
  <c r="J4" i="20" s="1"/>
  <c r="CE3" i="13"/>
  <c r="EC4" i="13"/>
  <c r="EJ11" i="13" l="1"/>
  <c r="EK8" i="13"/>
  <c r="EL14" i="13" s="1"/>
  <c r="EJ10" i="13"/>
  <c r="EJ12" i="13"/>
  <c r="EG16" i="13"/>
  <c r="EB7" i="13"/>
  <c r="EC15" i="13"/>
  <c r="EG17" i="13" s="1"/>
  <c r="EC13" i="13"/>
  <c r="CE27" i="13"/>
  <c r="CE28" i="13" s="1"/>
  <c r="CE25" i="13"/>
  <c r="DF16" i="13"/>
  <c r="EC5" i="13"/>
  <c r="EC6" i="13"/>
  <c r="CF3" i="13"/>
  <c r="ED4" i="13"/>
  <c r="EK11" i="13" l="1"/>
  <c r="EL8" i="13"/>
  <c r="EM14" i="13" s="1"/>
  <c r="EK12" i="13"/>
  <c r="EK10" i="13"/>
  <c r="EH16" i="13"/>
  <c r="EC7" i="13"/>
  <c r="ED13" i="13"/>
  <c r="CF27" i="13"/>
  <c r="CF28" i="13" s="1"/>
  <c r="CF25" i="13"/>
  <c r="ED15" i="13"/>
  <c r="EH17" i="13" s="1"/>
  <c r="DE16" i="13"/>
  <c r="ED5" i="13"/>
  <c r="ED6" i="13"/>
  <c r="CG3" i="13"/>
  <c r="EE4" i="13"/>
  <c r="EL11" i="13" l="1"/>
  <c r="EM8" i="13"/>
  <c r="EN14" i="13" s="1"/>
  <c r="EL10" i="13"/>
  <c r="EL12" i="13"/>
  <c r="EI16" i="13"/>
  <c r="ED7" i="13"/>
  <c r="EE15" i="13"/>
  <c r="EI17" i="13" s="1"/>
  <c r="EE13" i="13"/>
  <c r="CG27" i="13"/>
  <c r="CG28" i="13" s="1"/>
  <c r="CG25" i="13"/>
  <c r="DD16" i="13"/>
  <c r="EE5" i="13"/>
  <c r="EE6" i="13"/>
  <c r="CH3" i="13"/>
  <c r="EF4" i="13"/>
  <c r="EM11" i="13" l="1"/>
  <c r="EN8" i="13"/>
  <c r="EO14" i="13" s="1"/>
  <c r="EM12" i="13"/>
  <c r="EM10" i="13"/>
  <c r="EJ16" i="13"/>
  <c r="EE7" i="13"/>
  <c r="EF15" i="13"/>
  <c r="EJ17" i="13" s="1"/>
  <c r="EF13" i="13"/>
  <c r="CH25" i="13"/>
  <c r="CH27" i="13"/>
  <c r="CH28" i="13" s="1"/>
  <c r="DC16" i="13"/>
  <c r="EF5" i="13"/>
  <c r="EF6" i="13"/>
  <c r="G13" i="20"/>
  <c r="J13" i="20" s="1"/>
  <c r="G37" i="20"/>
  <c r="J37" i="20" s="1"/>
  <c r="CI3" i="13"/>
  <c r="EG4" i="13"/>
  <c r="EN11" i="13" l="1"/>
  <c r="EO8" i="13"/>
  <c r="EP14" i="13" s="1"/>
  <c r="EN10" i="13"/>
  <c r="EN12" i="13"/>
  <c r="EK16" i="13"/>
  <c r="EF7" i="13"/>
  <c r="EG13" i="13"/>
  <c r="EG15" i="13"/>
  <c r="EK17" i="13" s="1"/>
  <c r="CI27" i="13"/>
  <c r="CI28" i="13" s="1"/>
  <c r="CI25" i="13"/>
  <c r="DB16" i="13"/>
  <c r="EG5" i="13"/>
  <c r="EG6" i="13"/>
  <c r="CJ3" i="13"/>
  <c r="EH4" i="13"/>
  <c r="EO11" i="13" l="1"/>
  <c r="EP8" i="13"/>
  <c r="EQ14" i="13" s="1"/>
  <c r="EO12" i="13"/>
  <c r="EO10" i="13"/>
  <c r="EL16" i="13"/>
  <c r="EG7" i="13"/>
  <c r="EH13" i="13"/>
  <c r="EH15" i="13"/>
  <c r="EL17" i="13" s="1"/>
  <c r="DA16" i="13"/>
  <c r="CJ27" i="13"/>
  <c r="CJ28" i="13" s="1"/>
  <c r="CJ25" i="13"/>
  <c r="EH5" i="13"/>
  <c r="EH6" i="13"/>
  <c r="CK3" i="13"/>
  <c r="EI4" i="13"/>
  <c r="EP11" i="13" l="1"/>
  <c r="EQ8" i="13"/>
  <c r="ER14" i="13" s="1"/>
  <c r="EP10" i="13"/>
  <c r="EP12" i="13"/>
  <c r="EM16" i="13"/>
  <c r="EH7" i="13"/>
  <c r="EI15" i="13"/>
  <c r="EM17" i="13" s="1"/>
  <c r="EI13" i="13"/>
  <c r="CZ16" i="13"/>
  <c r="CK27" i="13"/>
  <c r="CK28" i="13" s="1"/>
  <c r="CK25" i="13"/>
  <c r="EI5" i="13"/>
  <c r="EI6" i="13"/>
  <c r="CL3" i="13"/>
  <c r="EJ4" i="13"/>
  <c r="EQ12" i="13" l="1"/>
  <c r="EQ11" i="13"/>
  <c r="ER8" i="13"/>
  <c r="ES14" i="13" s="1"/>
  <c r="EQ10" i="13"/>
  <c r="EN16" i="13"/>
  <c r="EI7" i="13"/>
  <c r="EJ13" i="13"/>
  <c r="EJ15" i="13"/>
  <c r="EN17" i="13" s="1"/>
  <c r="CY16" i="13"/>
  <c r="CL25" i="13"/>
  <c r="CL27" i="13"/>
  <c r="CL28" i="13" s="1"/>
  <c r="EJ5" i="13"/>
  <c r="EJ6" i="13"/>
  <c r="G63" i="20"/>
  <c r="J63" i="20" s="1"/>
  <c r="CM3" i="13"/>
  <c r="EK4" i="13"/>
  <c r="ER11" i="13" l="1"/>
  <c r="ES8" i="13"/>
  <c r="ET14" i="13" s="1"/>
  <c r="ER12" i="13"/>
  <c r="ER10" i="13"/>
  <c r="EO16" i="13"/>
  <c r="EJ7" i="13"/>
  <c r="EK13" i="13"/>
  <c r="CX16" i="13"/>
  <c r="EK15" i="13"/>
  <c r="EO17" i="13" s="1"/>
  <c r="CM27" i="13"/>
  <c r="CM28" i="13" s="1"/>
  <c r="CM25" i="13"/>
  <c r="EK5" i="13"/>
  <c r="EK6" i="13"/>
  <c r="CN3" i="13"/>
  <c r="EL4" i="13"/>
  <c r="ES10" i="13" l="1"/>
  <c r="ES11" i="13"/>
  <c r="ET8" i="13"/>
  <c r="EU14" i="13" s="1"/>
  <c r="ES12" i="13"/>
  <c r="EP16" i="13"/>
  <c r="EK7" i="13"/>
  <c r="EL13" i="13"/>
  <c r="EL15" i="13"/>
  <c r="EP17" i="13" s="1"/>
  <c r="CN27" i="13"/>
  <c r="CN28" i="13" s="1"/>
  <c r="CN25" i="13"/>
  <c r="CW16" i="13"/>
  <c r="EL5" i="13"/>
  <c r="EL6" i="13"/>
  <c r="CO3" i="13"/>
  <c r="EM4" i="13"/>
  <c r="ET11" i="13" l="1"/>
  <c r="EU8" i="13"/>
  <c r="EV14" i="13" s="1"/>
  <c r="ET12" i="13"/>
  <c r="ET10" i="13"/>
  <c r="EQ16" i="13"/>
  <c r="EL7" i="13"/>
  <c r="EM15" i="13"/>
  <c r="EQ17" i="13" s="1"/>
  <c r="EM13" i="13"/>
  <c r="CV16" i="13"/>
  <c r="CO27" i="13"/>
  <c r="CO28" i="13" s="1"/>
  <c r="CO25" i="13"/>
  <c r="EM5" i="13"/>
  <c r="EM6" i="13"/>
  <c r="CP3" i="13"/>
  <c r="EN4" i="13"/>
  <c r="EU11" i="13" l="1"/>
  <c r="EV8" i="13"/>
  <c r="EW14" i="13" s="1"/>
  <c r="EU10" i="13"/>
  <c r="EU12" i="13"/>
  <c r="ER16" i="13"/>
  <c r="EM7" i="13"/>
  <c r="EN13" i="13"/>
  <c r="CU16" i="13"/>
  <c r="EN15" i="13"/>
  <c r="ER17" i="13" s="1"/>
  <c r="CP27" i="13"/>
  <c r="CP28" i="13" s="1"/>
  <c r="CP25" i="13"/>
  <c r="EN5" i="13"/>
  <c r="EN6" i="13"/>
  <c r="CQ3" i="13"/>
  <c r="EO4" i="13"/>
  <c r="EV11" i="13" l="1"/>
  <c r="EW8" i="13"/>
  <c r="EX14" i="13" s="1"/>
  <c r="EV12" i="13"/>
  <c r="EV10" i="13"/>
  <c r="ES16" i="13"/>
  <c r="EN7" i="13"/>
  <c r="EO15" i="13"/>
  <c r="ES17" i="13" s="1"/>
  <c r="EO13" i="13"/>
  <c r="CQ27" i="13"/>
  <c r="CQ28" i="13" s="1"/>
  <c r="CQ25" i="13"/>
  <c r="CT16" i="13"/>
  <c r="EO5" i="13"/>
  <c r="EO6" i="13"/>
  <c r="CR3" i="13"/>
  <c r="EP4" i="13"/>
  <c r="EW11" i="13" l="1"/>
  <c r="EX8" i="13"/>
  <c r="EY14" i="13" s="1"/>
  <c r="EW10" i="13"/>
  <c r="EW12" i="13"/>
  <c r="ET16" i="13"/>
  <c r="EO7" i="13"/>
  <c r="EP15" i="13"/>
  <c r="ET17" i="13" s="1"/>
  <c r="EP13" i="13"/>
  <c r="CR25" i="13"/>
  <c r="CR27" i="13"/>
  <c r="CR28" i="13" s="1"/>
  <c r="CS16" i="13"/>
  <c r="EP5" i="13"/>
  <c r="EP6" i="13"/>
  <c r="CS3" i="13"/>
  <c r="EQ4" i="13"/>
  <c r="EX11" i="13" l="1"/>
  <c r="EY8" i="13"/>
  <c r="EZ14" i="13" s="1"/>
  <c r="EX12" i="13"/>
  <c r="EX10" i="13"/>
  <c r="EU16" i="13"/>
  <c r="EP7" i="13"/>
  <c r="EQ15" i="13"/>
  <c r="EU17" i="13" s="1"/>
  <c r="EQ13" i="13"/>
  <c r="CS27" i="13"/>
  <c r="CS28" i="13" s="1"/>
  <c r="CS25" i="13"/>
  <c r="CR16" i="13"/>
  <c r="EQ5" i="13"/>
  <c r="EQ6" i="13"/>
  <c r="CT3" i="13"/>
  <c r="ER4" i="13"/>
  <c r="EY11" i="13" l="1"/>
  <c r="EZ8" i="13"/>
  <c r="FA14" i="13" s="1"/>
  <c r="EY10" i="13"/>
  <c r="EY12" i="13"/>
  <c r="EV16" i="13"/>
  <c r="EQ7" i="13"/>
  <c r="ER15" i="13"/>
  <c r="EV17" i="13" s="1"/>
  <c r="ER13" i="13"/>
  <c r="CT27" i="13"/>
  <c r="CT28" i="13" s="1"/>
  <c r="CT25" i="13"/>
  <c r="CQ16" i="13"/>
  <c r="ER5" i="13"/>
  <c r="ER6" i="13"/>
  <c r="CU3" i="13"/>
  <c r="ES4" i="13"/>
  <c r="EZ11" i="13" l="1"/>
  <c r="FA8" i="13"/>
  <c r="FB14" i="13" s="1"/>
  <c r="EZ12" i="13"/>
  <c r="EZ10" i="13"/>
  <c r="EW16" i="13"/>
  <c r="ER7" i="13"/>
  <c r="ES13" i="13"/>
  <c r="ES15" i="13"/>
  <c r="EW17" i="13" s="1"/>
  <c r="CU27" i="13"/>
  <c r="CU28" i="13" s="1"/>
  <c r="CU25" i="13"/>
  <c r="CP16" i="13"/>
  <c r="ES5" i="13"/>
  <c r="ES6" i="13"/>
  <c r="CV3" i="13"/>
  <c r="ET4" i="13"/>
  <c r="FA11" i="13" l="1"/>
  <c r="FB8" i="13"/>
  <c r="FC14" i="13" s="1"/>
  <c r="FA10" i="13"/>
  <c r="FA12" i="13"/>
  <c r="EX16" i="13"/>
  <c r="ES7" i="13"/>
  <c r="ET15" i="13"/>
  <c r="EX17" i="13" s="1"/>
  <c r="ET13" i="13"/>
  <c r="CV27" i="13"/>
  <c r="CV28" i="13" s="1"/>
  <c r="CV25" i="13"/>
  <c r="CO16" i="13"/>
  <c r="ET5" i="13"/>
  <c r="ET6" i="13"/>
  <c r="CW3" i="13"/>
  <c r="EU4" i="13"/>
  <c r="FB11" i="13" l="1"/>
  <c r="FC8" i="13"/>
  <c r="FD14" i="13" s="1"/>
  <c r="FB12" i="13"/>
  <c r="FB10" i="13"/>
  <c r="EY16" i="13"/>
  <c r="ET7" i="13"/>
  <c r="EU13" i="13"/>
  <c r="CN16" i="13"/>
  <c r="EU15" i="13"/>
  <c r="EY17" i="13" s="1"/>
  <c r="CW27" i="13"/>
  <c r="CW28" i="13" s="1"/>
  <c r="CW25" i="13"/>
  <c r="EU5" i="13"/>
  <c r="EU6" i="13"/>
  <c r="CX3" i="13"/>
  <c r="EV4" i="13"/>
  <c r="FC11" i="13" l="1"/>
  <c r="FD8" i="13"/>
  <c r="FE14" i="13" s="1"/>
  <c r="FC10" i="13"/>
  <c r="FC12" i="13"/>
  <c r="EZ16" i="13"/>
  <c r="EU7" i="13"/>
  <c r="EV15" i="13"/>
  <c r="EZ17" i="13" s="1"/>
  <c r="EV13" i="13"/>
  <c r="CM16" i="13"/>
  <c r="CX25" i="13"/>
  <c r="CX27" i="13"/>
  <c r="CX28" i="13" s="1"/>
  <c r="EV5" i="13"/>
  <c r="EV6" i="13"/>
  <c r="CY3" i="13"/>
  <c r="EW4" i="13"/>
  <c r="FD11" i="13" l="1"/>
  <c r="FE8" i="13"/>
  <c r="FF14" i="13" s="1"/>
  <c r="FD12" i="13"/>
  <c r="FD10" i="13"/>
  <c r="FA16" i="13"/>
  <c r="EV7" i="13"/>
  <c r="EW15" i="13"/>
  <c r="FA17" i="13" s="1"/>
  <c r="EW13" i="13"/>
  <c r="CY27" i="13"/>
  <c r="CY28" i="13" s="1"/>
  <c r="CY25" i="13"/>
  <c r="CL16" i="13"/>
  <c r="EW5" i="13"/>
  <c r="EW6" i="13"/>
  <c r="CZ3" i="13"/>
  <c r="EX4" i="13"/>
  <c r="FE11" i="13" l="1"/>
  <c r="FF8" i="13"/>
  <c r="FG14" i="13" s="1"/>
  <c r="FE10" i="13"/>
  <c r="FE12" i="13"/>
  <c r="FB16" i="13"/>
  <c r="EW7" i="13"/>
  <c r="EX13" i="13"/>
  <c r="EX15" i="13"/>
  <c r="FB17" i="13" s="1"/>
  <c r="CZ27" i="13"/>
  <c r="CZ28" i="13" s="1"/>
  <c r="CZ25" i="13"/>
  <c r="CK16" i="13"/>
  <c r="EX5" i="13"/>
  <c r="EX6" i="13"/>
  <c r="DA3" i="13"/>
  <c r="EY4" i="13"/>
  <c r="FF11" i="13" l="1"/>
  <c r="FG8" i="13"/>
  <c r="FH14" i="13" s="1"/>
  <c r="FF12" i="13"/>
  <c r="FF10" i="13"/>
  <c r="FC16" i="13"/>
  <c r="EX7" i="13"/>
  <c r="EY15" i="13"/>
  <c r="FC17" i="13" s="1"/>
  <c r="EY13" i="13"/>
  <c r="CJ16" i="13"/>
  <c r="DA27" i="13"/>
  <c r="DA28" i="13" s="1"/>
  <c r="DA25" i="13"/>
  <c r="EY5" i="13"/>
  <c r="EY6" i="13"/>
  <c r="DB3" i="13"/>
  <c r="EZ4" i="13"/>
  <c r="FG11" i="13" l="1"/>
  <c r="FH8" i="13"/>
  <c r="FI14" i="13" s="1"/>
  <c r="FG10" i="13"/>
  <c r="FG12" i="13"/>
  <c r="FD16" i="13"/>
  <c r="EY7" i="13"/>
  <c r="EZ13" i="13"/>
  <c r="EZ15" i="13"/>
  <c r="FD17" i="13" s="1"/>
  <c r="CI16" i="13"/>
  <c r="DB25" i="13"/>
  <c r="DB27" i="13"/>
  <c r="DB28" i="13" s="1"/>
  <c r="EZ5" i="13"/>
  <c r="EZ6" i="13"/>
  <c r="DC3" i="13"/>
  <c r="FA4" i="13"/>
  <c r="FH11" i="13" l="1"/>
  <c r="FI8" i="13"/>
  <c r="FJ14" i="13" s="1"/>
  <c r="FH12" i="13"/>
  <c r="FH10" i="13"/>
  <c r="FE16" i="13"/>
  <c r="EZ7" i="13"/>
  <c r="FA15" i="13"/>
  <c r="FE17" i="13" s="1"/>
  <c r="FA13" i="13"/>
  <c r="DC27" i="13"/>
  <c r="DC28" i="13" s="1"/>
  <c r="DC25" i="13"/>
  <c r="CH16" i="13"/>
  <c r="FA5" i="13"/>
  <c r="FA6" i="13"/>
  <c r="DD3" i="13"/>
  <c r="FB4" i="13"/>
  <c r="FI11" i="13" l="1"/>
  <c r="FJ8" i="13"/>
  <c r="FK14" i="13" s="1"/>
  <c r="FI10" i="13"/>
  <c r="FI12" i="13"/>
  <c r="FF16" i="13"/>
  <c r="FA7" i="13"/>
  <c r="FB13" i="13"/>
  <c r="FB15" i="13"/>
  <c r="FF17" i="13" s="1"/>
  <c r="CG16" i="13"/>
  <c r="DD27" i="13"/>
  <c r="DD28" i="13" s="1"/>
  <c r="DD25" i="13"/>
  <c r="FB5" i="13"/>
  <c r="FB6" i="13"/>
  <c r="DE3" i="13"/>
  <c r="FC4" i="13"/>
  <c r="FJ11" i="13" l="1"/>
  <c r="FK8" i="13"/>
  <c r="FL14" i="13" s="1"/>
  <c r="FJ12" i="13"/>
  <c r="FJ10" i="13"/>
  <c r="FG16" i="13"/>
  <c r="FB7" i="13"/>
  <c r="FL8" i="13" s="1"/>
  <c r="FM14" i="13" s="1"/>
  <c r="FC15" i="13"/>
  <c r="FG17" i="13" s="1"/>
  <c r="FC13" i="13"/>
  <c r="CF16" i="13"/>
  <c r="DE27" i="13"/>
  <c r="DE28" i="13" s="1"/>
  <c r="DE25" i="13"/>
  <c r="FC5" i="13"/>
  <c r="FC6" i="13"/>
  <c r="DF3" i="13"/>
  <c r="FD4" i="13"/>
  <c r="FK11" i="13" l="1"/>
  <c r="FK10" i="13"/>
  <c r="FK12" i="13"/>
  <c r="FH16" i="13"/>
  <c r="FC7" i="13"/>
  <c r="FD15" i="13"/>
  <c r="FH17" i="13" s="1"/>
  <c r="FD13" i="13"/>
  <c r="DF27" i="13"/>
  <c r="DF28" i="13" s="1"/>
  <c r="DF25" i="13"/>
  <c r="CE16" i="13"/>
  <c r="FD5" i="13"/>
  <c r="FD6" i="13"/>
  <c r="DG3" i="13"/>
  <c r="FE4" i="13"/>
  <c r="FL11" i="13" l="1"/>
  <c r="FM8" i="13"/>
  <c r="FN14" i="13" s="1"/>
  <c r="FL12" i="13"/>
  <c r="FL10" i="13"/>
  <c r="FI16" i="13"/>
  <c r="FD7" i="13"/>
  <c r="FE15" i="13"/>
  <c r="FI17" i="13" s="1"/>
  <c r="FE13" i="13"/>
  <c r="DG27" i="13"/>
  <c r="DG28" i="13" s="1"/>
  <c r="DG25" i="13"/>
  <c r="CD16" i="13"/>
  <c r="FE5" i="13"/>
  <c r="FE6" i="13"/>
  <c r="DH3" i="13"/>
  <c r="FF4" i="13"/>
  <c r="FM11" i="13" l="1"/>
  <c r="FN8" i="13"/>
  <c r="FO14" i="13" s="1"/>
  <c r="FM10" i="13"/>
  <c r="FM12" i="13"/>
  <c r="FJ16" i="13"/>
  <c r="FE7" i="13"/>
  <c r="FF15" i="13"/>
  <c r="FJ17" i="13" s="1"/>
  <c r="FF13" i="13"/>
  <c r="DH25" i="13"/>
  <c r="DH27" i="13"/>
  <c r="DH28" i="13" s="1"/>
  <c r="CC16" i="13"/>
  <c r="FF5" i="13"/>
  <c r="FF6" i="13"/>
  <c r="DI3" i="13"/>
  <c r="FG4" i="13"/>
  <c r="FN11" i="13" l="1"/>
  <c r="FO8" i="13"/>
  <c r="FP14" i="13" s="1"/>
  <c r="FN12" i="13"/>
  <c r="FN10" i="13"/>
  <c r="FK16" i="13"/>
  <c r="FF7" i="13"/>
  <c r="FG15" i="13"/>
  <c r="FK17" i="13" s="1"/>
  <c r="FG13" i="13"/>
  <c r="DI27" i="13"/>
  <c r="DI28" i="13" s="1"/>
  <c r="DI25" i="13"/>
  <c r="CB16" i="13"/>
  <c r="FG5" i="13"/>
  <c r="FG6" i="13"/>
  <c r="DJ3" i="13"/>
  <c r="FH4" i="13"/>
  <c r="FO11" i="13" l="1"/>
  <c r="FP8" i="13"/>
  <c r="FQ14" i="13" s="1"/>
  <c r="FO10" i="13"/>
  <c r="FO12" i="13"/>
  <c r="FL16" i="13"/>
  <c r="FG7" i="13"/>
  <c r="FQ8" i="13" s="1"/>
  <c r="FR14" i="13" s="1"/>
  <c r="FH15" i="13"/>
  <c r="FL17" i="13" s="1"/>
  <c r="FH13" i="13"/>
  <c r="DJ25" i="13"/>
  <c r="DJ27" i="13"/>
  <c r="DJ28" i="13" s="1"/>
  <c r="CA16" i="13"/>
  <c r="FH5" i="13"/>
  <c r="FH6" i="13"/>
  <c r="DK3" i="13"/>
  <c r="FI4" i="13"/>
  <c r="FP10" i="13" l="1"/>
  <c r="FP12" i="13"/>
  <c r="FP11" i="13"/>
  <c r="FM16" i="13"/>
  <c r="FH7" i="13"/>
  <c r="FI15" i="13"/>
  <c r="FM17" i="13" s="1"/>
  <c r="FI13" i="13"/>
  <c r="DK27" i="13"/>
  <c r="DK28" i="13" s="1"/>
  <c r="DK25" i="13"/>
  <c r="BZ16" i="13"/>
  <c r="FI5" i="13"/>
  <c r="FI6" i="13"/>
  <c r="DL3" i="13"/>
  <c r="FJ4" i="13"/>
  <c r="FQ11" i="13" l="1"/>
  <c r="FR8" i="13"/>
  <c r="FS14" i="13" s="1"/>
  <c r="FQ10" i="13"/>
  <c r="FQ12" i="13"/>
  <c r="FN16" i="13"/>
  <c r="FI7" i="13"/>
  <c r="FS8" i="13" s="1"/>
  <c r="FT14" i="13" s="1"/>
  <c r="FJ15" i="13"/>
  <c r="FN17" i="13" s="1"/>
  <c r="FJ13" i="13"/>
  <c r="DL27" i="13"/>
  <c r="DL28" i="13" s="1"/>
  <c r="DL25" i="13"/>
  <c r="BY16" i="13"/>
  <c r="FJ5" i="13"/>
  <c r="FJ6" i="13"/>
  <c r="DM3" i="13"/>
  <c r="FK4" i="13"/>
  <c r="FR11" i="13" l="1"/>
  <c r="FS11" i="13" s="1"/>
  <c r="FR12" i="13"/>
  <c r="FR10" i="13"/>
  <c r="FO16" i="13"/>
  <c r="FJ7" i="13"/>
  <c r="FT8" i="13" s="1"/>
  <c r="FU14" i="13" s="1"/>
  <c r="FK15" i="13"/>
  <c r="FO17" i="13" s="1"/>
  <c r="FK13" i="13"/>
  <c r="DM27" i="13"/>
  <c r="DM28" i="13" s="1"/>
  <c r="DM25" i="13"/>
  <c r="BX16" i="13"/>
  <c r="FK5" i="13"/>
  <c r="FK6" i="13"/>
  <c r="DN3" i="13"/>
  <c r="FL4" i="13"/>
  <c r="FS10" i="13" l="1"/>
  <c r="FS12" i="13"/>
  <c r="FP16" i="13"/>
  <c r="FK7" i="13"/>
  <c r="FL15" i="13"/>
  <c r="FP17" i="13" s="1"/>
  <c r="FL13" i="13"/>
  <c r="DN25" i="13"/>
  <c r="DN27" i="13"/>
  <c r="DN28" i="13" s="1"/>
  <c r="BW16" i="13"/>
  <c r="FL5" i="13"/>
  <c r="FL6" i="13"/>
  <c r="DO3" i="13"/>
  <c r="FM4" i="13"/>
  <c r="FT11" i="13" l="1"/>
  <c r="FU8" i="13"/>
  <c r="FV14" i="13" s="1"/>
  <c r="FT12" i="13"/>
  <c r="FT10" i="13"/>
  <c r="FQ16" i="13"/>
  <c r="FL7" i="13"/>
  <c r="FM15" i="13"/>
  <c r="FQ17" i="13" s="1"/>
  <c r="FM13" i="13"/>
  <c r="DO27" i="13"/>
  <c r="DO28" i="13" s="1"/>
  <c r="DO25" i="13"/>
  <c r="BV16" i="13"/>
  <c r="FM5" i="13"/>
  <c r="FM6" i="13"/>
  <c r="DP3" i="13"/>
  <c r="FN4" i="13"/>
  <c r="FU11" i="13" l="1"/>
  <c r="FV8" i="13"/>
  <c r="FW14" i="13" s="1"/>
  <c r="FU10" i="13"/>
  <c r="FU12" i="13"/>
  <c r="FR16" i="13"/>
  <c r="FM7" i="13"/>
  <c r="FN15" i="13"/>
  <c r="FR17" i="13" s="1"/>
  <c r="FN13" i="13"/>
  <c r="DP27" i="13"/>
  <c r="DP28" i="13" s="1"/>
  <c r="DP25" i="13"/>
  <c r="BU16" i="13"/>
  <c r="FN5" i="13"/>
  <c r="FN6" i="13"/>
  <c r="DQ3" i="13"/>
  <c r="FO4" i="13"/>
  <c r="FV11" i="13" l="1"/>
  <c r="FW8" i="13"/>
  <c r="FX14" i="13" s="1"/>
  <c r="FV12" i="13"/>
  <c r="FV10" i="13"/>
  <c r="FS16" i="13"/>
  <c r="FN7" i="13"/>
  <c r="FO15" i="13"/>
  <c r="FS17" i="13" s="1"/>
  <c r="FO13" i="13"/>
  <c r="DQ27" i="13"/>
  <c r="DQ28" i="13" s="1"/>
  <c r="DQ25" i="13"/>
  <c r="BT16" i="13"/>
  <c r="FO5" i="13"/>
  <c r="FO6" i="13"/>
  <c r="DR3" i="13"/>
  <c r="FP4" i="13"/>
  <c r="FW11" i="13" l="1"/>
  <c r="FX8" i="13"/>
  <c r="FY14" i="13" s="1"/>
  <c r="FW10" i="13"/>
  <c r="FW12" i="13"/>
  <c r="FT16" i="13"/>
  <c r="FO7" i="13"/>
  <c r="FP15" i="13"/>
  <c r="FT17" i="13" s="1"/>
  <c r="FP13" i="13"/>
  <c r="DR25" i="13"/>
  <c r="DR27" i="13"/>
  <c r="DR28" i="13" s="1"/>
  <c r="BS16" i="13"/>
  <c r="FP5" i="13"/>
  <c r="FP6" i="13"/>
  <c r="DS3" i="13"/>
  <c r="FQ4" i="13"/>
  <c r="FX11" i="13" l="1"/>
  <c r="FY8" i="13"/>
  <c r="FZ14" i="13" s="1"/>
  <c r="FX12" i="13"/>
  <c r="FX10" i="13"/>
  <c r="FU16" i="13"/>
  <c r="FP7" i="13"/>
  <c r="FQ15" i="13"/>
  <c r="FU17" i="13" s="1"/>
  <c r="FQ13" i="13"/>
  <c r="DS27" i="13"/>
  <c r="DS28" i="13" s="1"/>
  <c r="DS25" i="13"/>
  <c r="FQ5" i="13"/>
  <c r="FQ6" i="13"/>
  <c r="DT3" i="13"/>
  <c r="FR4" i="13"/>
  <c r="FY11" i="13" l="1"/>
  <c r="FZ8" i="13"/>
  <c r="GA14" i="13" s="1"/>
  <c r="FY10" i="13"/>
  <c r="FY12" i="13"/>
  <c r="FV16" i="13"/>
  <c r="FQ7" i="13"/>
  <c r="FR13" i="13"/>
  <c r="FR15" i="13"/>
  <c r="FV17" i="13" s="1"/>
  <c r="DT27" i="13"/>
  <c r="DT28" i="13" s="1"/>
  <c r="DT25" i="13"/>
  <c r="BQ16" i="13"/>
  <c r="FR5" i="13"/>
  <c r="FR6" i="13"/>
  <c r="DU3" i="13"/>
  <c r="FS4" i="13"/>
  <c r="FZ11" i="13" l="1"/>
  <c r="GA8" i="13"/>
  <c r="GB14" i="13" s="1"/>
  <c r="FZ12" i="13"/>
  <c r="FZ10" i="13"/>
  <c r="FW16" i="13"/>
  <c r="FR7" i="13"/>
  <c r="FS13" i="13"/>
  <c r="FS15" i="13"/>
  <c r="FW17" i="13" s="1"/>
  <c r="DU27" i="13"/>
  <c r="DU28" i="13" s="1"/>
  <c r="DU25" i="13"/>
  <c r="BP16" i="13"/>
  <c r="FS5" i="13"/>
  <c r="FS6" i="13"/>
  <c r="DV3" i="13"/>
  <c r="FT4" i="13"/>
  <c r="GA11" i="13" l="1"/>
  <c r="GB8" i="13"/>
  <c r="GC14" i="13" s="1"/>
  <c r="GA10" i="13"/>
  <c r="GA12" i="13"/>
  <c r="FX16" i="13"/>
  <c r="FS7" i="13"/>
  <c r="FT15" i="13"/>
  <c r="FX17" i="13" s="1"/>
  <c r="FT13" i="13"/>
  <c r="DV27" i="13"/>
  <c r="DV28" i="13" s="1"/>
  <c r="DV25" i="13"/>
  <c r="BO16" i="13"/>
  <c r="FT5" i="13"/>
  <c r="FT6" i="13"/>
  <c r="DW3" i="13"/>
  <c r="FU4" i="13"/>
  <c r="GB11" i="13" l="1"/>
  <c r="GC8" i="13"/>
  <c r="GD14" i="13" s="1"/>
  <c r="GB12" i="13"/>
  <c r="GB10" i="13"/>
  <c r="FY16" i="13"/>
  <c r="FT7" i="13"/>
  <c r="FU13" i="13"/>
  <c r="FU15" i="13"/>
  <c r="FY17" i="13" s="1"/>
  <c r="DW27" i="13"/>
  <c r="DW28" i="13" s="1"/>
  <c r="DW25" i="13"/>
  <c r="BN16" i="13"/>
  <c r="FU5" i="13"/>
  <c r="FU6" i="13"/>
  <c r="DX3" i="13"/>
  <c r="FV4" i="13"/>
  <c r="GC11" i="13" l="1"/>
  <c r="GD8" i="13"/>
  <c r="GE14" i="13" s="1"/>
  <c r="GC10" i="13"/>
  <c r="GC12" i="13"/>
  <c r="FZ16" i="13"/>
  <c r="FU7" i="13"/>
  <c r="FV15" i="13"/>
  <c r="FZ17" i="13" s="1"/>
  <c r="FV13" i="13"/>
  <c r="BM16" i="13"/>
  <c r="DX25" i="13"/>
  <c r="DX27" i="13"/>
  <c r="DX28" i="13" s="1"/>
  <c r="FV5" i="13"/>
  <c r="FV6" i="13"/>
  <c r="DY3" i="13"/>
  <c r="FW4" i="13"/>
  <c r="GD11" i="13" l="1"/>
  <c r="GE8" i="13"/>
  <c r="GF14" i="13" s="1"/>
  <c r="GD12" i="13"/>
  <c r="GD10" i="13"/>
  <c r="GA16" i="13"/>
  <c r="FV7" i="13"/>
  <c r="FW13" i="13"/>
  <c r="FW15" i="13"/>
  <c r="GA17" i="13" s="1"/>
  <c r="DY27" i="13"/>
  <c r="DY28" i="13" s="1"/>
  <c r="DY25" i="13"/>
  <c r="BL16" i="13"/>
  <c r="FW5" i="13"/>
  <c r="FW6" i="13"/>
  <c r="DZ3" i="13"/>
  <c r="FX4" i="13"/>
  <c r="GE11" i="13" l="1"/>
  <c r="GF8" i="13"/>
  <c r="GG14" i="13" s="1"/>
  <c r="GE10" i="13"/>
  <c r="GE12" i="13"/>
  <c r="GB16" i="13"/>
  <c r="FW7" i="13"/>
  <c r="FX15" i="13"/>
  <c r="GB17" i="13" s="1"/>
  <c r="FX13" i="13"/>
  <c r="DZ25" i="13"/>
  <c r="DZ27" i="13"/>
  <c r="DZ28" i="13" s="1"/>
  <c r="BK16" i="13"/>
  <c r="FX5" i="13"/>
  <c r="FX6" i="13"/>
  <c r="EA3" i="13"/>
  <c r="FY4" i="13"/>
  <c r="GF11" i="13" l="1"/>
  <c r="GG8" i="13"/>
  <c r="GH14" i="13" s="1"/>
  <c r="GF12" i="13"/>
  <c r="GF10" i="13"/>
  <c r="GC16" i="13"/>
  <c r="FX7" i="13"/>
  <c r="FY13" i="13"/>
  <c r="BJ16" i="13"/>
  <c r="FY15" i="13"/>
  <c r="GC17" i="13" s="1"/>
  <c r="EA27" i="13"/>
  <c r="EA28" i="13" s="1"/>
  <c r="EA25" i="13"/>
  <c r="FY5" i="13"/>
  <c r="FY6" i="13"/>
  <c r="EB3" i="13"/>
  <c r="FZ4" i="13"/>
  <c r="GG11" i="13" l="1"/>
  <c r="GH8" i="13"/>
  <c r="GI14" i="13" s="1"/>
  <c r="GG10" i="13"/>
  <c r="GG12" i="13"/>
  <c r="GD16" i="13"/>
  <c r="FY7" i="13"/>
  <c r="GI8" i="13" s="1"/>
  <c r="GJ14" i="13" s="1"/>
  <c r="FZ13" i="13"/>
  <c r="EB27" i="13"/>
  <c r="EB28" i="13" s="1"/>
  <c r="EB25" i="13"/>
  <c r="BI16" i="13"/>
  <c r="FZ15" i="13"/>
  <c r="GD17" i="13" s="1"/>
  <c r="FZ5" i="13"/>
  <c r="FZ6" i="13"/>
  <c r="EC3" i="13"/>
  <c r="GA4" i="13"/>
  <c r="GH11" i="13" l="1"/>
  <c r="GH12" i="13"/>
  <c r="GH10" i="13"/>
  <c r="GE16" i="13"/>
  <c r="FZ7" i="13"/>
  <c r="GA15" i="13"/>
  <c r="GE17" i="13" s="1"/>
  <c r="GA13" i="13"/>
  <c r="EC27" i="13"/>
  <c r="EC28" i="13" s="1"/>
  <c r="EC25" i="13"/>
  <c r="BH16" i="13"/>
  <c r="GA5" i="13"/>
  <c r="GA6" i="13"/>
  <c r="ED3" i="13"/>
  <c r="GB4" i="13"/>
  <c r="GI11" i="13" l="1"/>
  <c r="GJ8" i="13"/>
  <c r="GK14" i="13" s="1"/>
  <c r="GI10" i="13"/>
  <c r="GI12" i="13"/>
  <c r="GF16" i="13"/>
  <c r="GA7" i="13"/>
  <c r="GB13" i="13"/>
  <c r="GB15" i="13"/>
  <c r="GF17" i="13" s="1"/>
  <c r="ED27" i="13"/>
  <c r="ED28" i="13" s="1"/>
  <c r="ED25" i="13"/>
  <c r="BG16" i="13"/>
  <c r="GB5" i="13"/>
  <c r="GB6" i="13"/>
  <c r="EE3" i="13"/>
  <c r="GC4" i="13"/>
  <c r="GJ11" i="13" l="1"/>
  <c r="GK8" i="13"/>
  <c r="GL14" i="13" s="1"/>
  <c r="GJ12" i="13"/>
  <c r="GJ10" i="13"/>
  <c r="GG16" i="13"/>
  <c r="GB7" i="13"/>
  <c r="GC15" i="13"/>
  <c r="GG17" i="13" s="1"/>
  <c r="GC13" i="13"/>
  <c r="BF16" i="13"/>
  <c r="EE27" i="13"/>
  <c r="EE28" i="13" s="1"/>
  <c r="EE25" i="13"/>
  <c r="GC5" i="13"/>
  <c r="GC6" i="13"/>
  <c r="EF3" i="13"/>
  <c r="GD4" i="13"/>
  <c r="GK12" i="13" l="1"/>
  <c r="GK11" i="13"/>
  <c r="GL8" i="13"/>
  <c r="GM14" i="13" s="1"/>
  <c r="GK10" i="13"/>
  <c r="GH16" i="13"/>
  <c r="GC7" i="13"/>
  <c r="GD15" i="13"/>
  <c r="GH17" i="13" s="1"/>
  <c r="GD13" i="13"/>
  <c r="EF27" i="13"/>
  <c r="EF28" i="13" s="1"/>
  <c r="EF25" i="13"/>
  <c r="BE16" i="13"/>
  <c r="GD5" i="13"/>
  <c r="GD6" i="13"/>
  <c r="EG3" i="13"/>
  <c r="GE4" i="13"/>
  <c r="GL11" i="13" l="1"/>
  <c r="GM8" i="13"/>
  <c r="GN14" i="13" s="1"/>
  <c r="GL12" i="13"/>
  <c r="GL10" i="13"/>
  <c r="GI16" i="13"/>
  <c r="GD7" i="13"/>
  <c r="GE15" i="13"/>
  <c r="GI17" i="13" s="1"/>
  <c r="GE13" i="13"/>
  <c r="EG27" i="13"/>
  <c r="EG28" i="13" s="1"/>
  <c r="EG25" i="13"/>
  <c r="BD16" i="13"/>
  <c r="GE5" i="13"/>
  <c r="GE6" i="13"/>
  <c r="EH3" i="13"/>
  <c r="GF4" i="13"/>
  <c r="GM11" i="13" l="1"/>
  <c r="GN8" i="13"/>
  <c r="GO14" i="13" s="1"/>
  <c r="GM10" i="13"/>
  <c r="GM12" i="13"/>
  <c r="GJ16" i="13"/>
  <c r="GE7" i="13"/>
  <c r="GF15" i="13"/>
  <c r="GJ17" i="13" s="1"/>
  <c r="GF13" i="13"/>
  <c r="EH25" i="13"/>
  <c r="EH27" i="13"/>
  <c r="EH28" i="13" s="1"/>
  <c r="BC16" i="13"/>
  <c r="GF5" i="13"/>
  <c r="GF6" i="13"/>
  <c r="EI3" i="13"/>
  <c r="GG4" i="13"/>
  <c r="GN11" i="13" l="1"/>
  <c r="GO8" i="13"/>
  <c r="GP14" i="13" s="1"/>
  <c r="GN12" i="13"/>
  <c r="GN10" i="13"/>
  <c r="GK16" i="13"/>
  <c r="GF7" i="13"/>
  <c r="GG15" i="13"/>
  <c r="GK17" i="13" s="1"/>
  <c r="GG13" i="13"/>
  <c r="EI27" i="13"/>
  <c r="EI28" i="13" s="1"/>
  <c r="EI25" i="13"/>
  <c r="BB16" i="13"/>
  <c r="GG5" i="13"/>
  <c r="GG6" i="13"/>
  <c r="EJ3" i="13"/>
  <c r="GH4" i="13"/>
  <c r="GO11" i="13" l="1"/>
  <c r="GP8" i="13"/>
  <c r="GQ14" i="13" s="1"/>
  <c r="GO10" i="13"/>
  <c r="GO12" i="13"/>
  <c r="GL16" i="13"/>
  <c r="GG7" i="13"/>
  <c r="GH13" i="13"/>
  <c r="GH15" i="13"/>
  <c r="GL17" i="13" s="1"/>
  <c r="EJ27" i="13"/>
  <c r="EJ28" i="13" s="1"/>
  <c r="EJ25" i="13"/>
  <c r="BA16" i="13"/>
  <c r="GH5" i="13"/>
  <c r="GH6" i="13"/>
  <c r="EK3" i="13"/>
  <c r="GI4" i="13"/>
  <c r="GP11" i="13" l="1"/>
  <c r="GQ8" i="13"/>
  <c r="GR14" i="13" s="1"/>
  <c r="GP12" i="13"/>
  <c r="GP10" i="13"/>
  <c r="GM16" i="13"/>
  <c r="GH7" i="13"/>
  <c r="GI15" i="13"/>
  <c r="GM17" i="13" s="1"/>
  <c r="GI13" i="13"/>
  <c r="EK27" i="13"/>
  <c r="EK28" i="13" s="1"/>
  <c r="EK25" i="13"/>
  <c r="AZ16" i="13"/>
  <c r="GI5" i="13"/>
  <c r="GI6" i="13"/>
  <c r="EL3" i="13"/>
  <c r="GJ4" i="13"/>
  <c r="GQ11" i="13" l="1"/>
  <c r="GR8" i="13"/>
  <c r="GS14" i="13" s="1"/>
  <c r="GQ10" i="13"/>
  <c r="GQ12" i="13"/>
  <c r="GN16" i="13"/>
  <c r="GI7" i="13"/>
  <c r="GJ13" i="13"/>
  <c r="AY16" i="13"/>
  <c r="EL27" i="13"/>
  <c r="EL28" i="13" s="1"/>
  <c r="EL25" i="13"/>
  <c r="GJ15" i="13"/>
  <c r="GN17" i="13" s="1"/>
  <c r="GJ5" i="13"/>
  <c r="GJ6" i="13"/>
  <c r="EM3" i="13"/>
  <c r="GK4" i="13"/>
  <c r="GR11" i="13" l="1"/>
  <c r="GS8" i="13"/>
  <c r="GT14" i="13" s="1"/>
  <c r="GR12" i="13"/>
  <c r="GR10" i="13"/>
  <c r="GO16" i="13"/>
  <c r="GJ7" i="13"/>
  <c r="GK15" i="13"/>
  <c r="GO17" i="13" s="1"/>
  <c r="GK13" i="13"/>
  <c r="AX16" i="13"/>
  <c r="EM27" i="13"/>
  <c r="EM28" i="13" s="1"/>
  <c r="EM25" i="13"/>
  <c r="GK5" i="13"/>
  <c r="GK6" i="13"/>
  <c r="EN3" i="13"/>
  <c r="GL4" i="13"/>
  <c r="GS11" i="13" l="1"/>
  <c r="GT8" i="13"/>
  <c r="GU14" i="13" s="1"/>
  <c r="GS10" i="13"/>
  <c r="GS12" i="13"/>
  <c r="GP16" i="13"/>
  <c r="GK7" i="13"/>
  <c r="GL13" i="13"/>
  <c r="AW16" i="13"/>
  <c r="GL15" i="13"/>
  <c r="GP17" i="13" s="1"/>
  <c r="EN25" i="13"/>
  <c r="EN27" i="13"/>
  <c r="EN28" i="13" s="1"/>
  <c r="GL5" i="13"/>
  <c r="GL6" i="13"/>
  <c r="EO3" i="13"/>
  <c r="GM4" i="13"/>
  <c r="GT11" i="13" l="1"/>
  <c r="GU8" i="13"/>
  <c r="GV14" i="13" s="1"/>
  <c r="GT12" i="13"/>
  <c r="GT10" i="13"/>
  <c r="GQ16" i="13"/>
  <c r="GL7" i="13"/>
  <c r="GM13" i="13"/>
  <c r="GM15" i="13"/>
  <c r="GQ17" i="13" s="1"/>
  <c r="EO27" i="13"/>
  <c r="EO28" i="13" s="1"/>
  <c r="EO25" i="13"/>
  <c r="AV16" i="13"/>
  <c r="GM5" i="13"/>
  <c r="GM6" i="13"/>
  <c r="EP3" i="13"/>
  <c r="GN4" i="13"/>
  <c r="GU11" i="13" l="1"/>
  <c r="GV8" i="13"/>
  <c r="GW14" i="13" s="1"/>
  <c r="GU10" i="13"/>
  <c r="GU12" i="13"/>
  <c r="GR16" i="13"/>
  <c r="GM7" i="13"/>
  <c r="GN13" i="13"/>
  <c r="GN15" i="13"/>
  <c r="GR17" i="13" s="1"/>
  <c r="AU16" i="13"/>
  <c r="EP27" i="13"/>
  <c r="EP28" i="13" s="1"/>
  <c r="EP25" i="13"/>
  <c r="GN5" i="13"/>
  <c r="GN6" i="13"/>
  <c r="EQ3" i="13"/>
  <c r="GO4" i="13"/>
  <c r="GV11" i="13" l="1"/>
  <c r="GW8" i="13"/>
  <c r="GX14" i="13" s="1"/>
  <c r="GV12" i="13"/>
  <c r="GV10" i="13"/>
  <c r="GS16" i="13"/>
  <c r="GN7" i="13"/>
  <c r="GO15" i="13"/>
  <c r="GS17" i="13" s="1"/>
  <c r="GO13" i="13"/>
  <c r="EQ27" i="13"/>
  <c r="EQ28" i="13" s="1"/>
  <c r="EQ25" i="13"/>
  <c r="AT16" i="13"/>
  <c r="GO5" i="13"/>
  <c r="GO6" i="13"/>
  <c r="ER3" i="13"/>
  <c r="GP4" i="13"/>
  <c r="GW10" i="13" l="1"/>
  <c r="GW11" i="13"/>
  <c r="GX8" i="13"/>
  <c r="GY14" i="13" s="1"/>
  <c r="GW12" i="13"/>
  <c r="GT16" i="13"/>
  <c r="GO7" i="13"/>
  <c r="GP15" i="13"/>
  <c r="GT17" i="13" s="1"/>
  <c r="GP13" i="13"/>
  <c r="ER27" i="13"/>
  <c r="ER28" i="13" s="1"/>
  <c r="ER25" i="13"/>
  <c r="AS16" i="13"/>
  <c r="GP5" i="13"/>
  <c r="GP6" i="13"/>
  <c r="ES3" i="13"/>
  <c r="GQ4" i="13"/>
  <c r="GX11" i="13" l="1"/>
  <c r="GY8" i="13"/>
  <c r="GZ14" i="13" s="1"/>
  <c r="GX12" i="13"/>
  <c r="GX10" i="13"/>
  <c r="GU16" i="13"/>
  <c r="GP7" i="13"/>
  <c r="GQ15" i="13"/>
  <c r="GU17" i="13" s="1"/>
  <c r="GQ13" i="13"/>
  <c r="ES27" i="13"/>
  <c r="ES28" i="13" s="1"/>
  <c r="ES25" i="13"/>
  <c r="AR16" i="13"/>
  <c r="GQ5" i="13"/>
  <c r="GQ6" i="13"/>
  <c r="ET3" i="13"/>
  <c r="GR4" i="13"/>
  <c r="GY11" i="13" l="1"/>
  <c r="GZ8" i="13"/>
  <c r="HA14" i="13" s="1"/>
  <c r="GY10" i="13"/>
  <c r="GY12" i="13"/>
  <c r="GV16" i="13"/>
  <c r="GQ7" i="13"/>
  <c r="GR15" i="13"/>
  <c r="GV17" i="13" s="1"/>
  <c r="GR13" i="13"/>
  <c r="ET25" i="13"/>
  <c r="ET27" i="13"/>
  <c r="ET28" i="13" s="1"/>
  <c r="AQ16" i="13"/>
  <c r="GR5" i="13"/>
  <c r="GR6" i="13"/>
  <c r="EU3" i="13"/>
  <c r="GS4" i="13"/>
  <c r="GZ11" i="13" l="1"/>
  <c r="HA8" i="13"/>
  <c r="HB14" i="13" s="1"/>
  <c r="GZ12" i="13"/>
  <c r="GZ10" i="13"/>
  <c r="GW16" i="13"/>
  <c r="GR7" i="13"/>
  <c r="GS13" i="13"/>
  <c r="GS15" i="13"/>
  <c r="GW17" i="13" s="1"/>
  <c r="EU27" i="13"/>
  <c r="EU28" i="13" s="1"/>
  <c r="EU25" i="13"/>
  <c r="AP16" i="13"/>
  <c r="GS5" i="13"/>
  <c r="GS6" i="13"/>
  <c r="EV3" i="13"/>
  <c r="GT4" i="13"/>
  <c r="HA11" i="13" l="1"/>
  <c r="HB8" i="13"/>
  <c r="HC14" i="13" s="1"/>
  <c r="HA10" i="13"/>
  <c r="HA12" i="13"/>
  <c r="GX16" i="13"/>
  <c r="GS7" i="13"/>
  <c r="GT13" i="13"/>
  <c r="GT15" i="13"/>
  <c r="GX17" i="13" s="1"/>
  <c r="EV25" i="13"/>
  <c r="EV27" i="13"/>
  <c r="EV28" i="13" s="1"/>
  <c r="AO16" i="13"/>
  <c r="GT5" i="13"/>
  <c r="GT6" i="13"/>
  <c r="EW3" i="13"/>
  <c r="GU4" i="13"/>
  <c r="HB11" i="13" l="1"/>
  <c r="HC8" i="13"/>
  <c r="HD14" i="13" s="1"/>
  <c r="HB12" i="13"/>
  <c r="HB10" i="13"/>
  <c r="GY16" i="13"/>
  <c r="GT7" i="13"/>
  <c r="GU15" i="13"/>
  <c r="GY17" i="13" s="1"/>
  <c r="GU13" i="13"/>
  <c r="AN16" i="13"/>
  <c r="EW27" i="13"/>
  <c r="EW28" i="13" s="1"/>
  <c r="EW25" i="13"/>
  <c r="GU5" i="13"/>
  <c r="GU6" i="13"/>
  <c r="EX3" i="13"/>
  <c r="GV4" i="13"/>
  <c r="HC11" i="13" l="1"/>
  <c r="HD8" i="13"/>
  <c r="HE14" i="13" s="1"/>
  <c r="HC10" i="13"/>
  <c r="HC12" i="13"/>
  <c r="GZ16" i="13"/>
  <c r="GU7" i="13"/>
  <c r="GV15" i="13"/>
  <c r="GZ17" i="13" s="1"/>
  <c r="GV13" i="13"/>
  <c r="EX25" i="13"/>
  <c r="EX27" i="13"/>
  <c r="EX28" i="13" s="1"/>
  <c r="AM16" i="13"/>
  <c r="GV5" i="13"/>
  <c r="GV6" i="13"/>
  <c r="EY3" i="13"/>
  <c r="GW4" i="13"/>
  <c r="HD11" i="13" l="1"/>
  <c r="HE8" i="13"/>
  <c r="HF14" i="13" s="1"/>
  <c r="HD12" i="13"/>
  <c r="HD10" i="13"/>
  <c r="HA16" i="13"/>
  <c r="GV7" i="13"/>
  <c r="GW15" i="13"/>
  <c r="HA17" i="13" s="1"/>
  <c r="GW13" i="13"/>
  <c r="EY27" i="13"/>
  <c r="EY28" i="13" s="1"/>
  <c r="EY25" i="13"/>
  <c r="AL16" i="13"/>
  <c r="GW5" i="13"/>
  <c r="GW6" i="13"/>
  <c r="EZ3" i="13"/>
  <c r="GX4" i="13"/>
  <c r="HE11" i="13" l="1"/>
  <c r="HF8" i="13"/>
  <c r="HG14" i="13" s="1"/>
  <c r="HE10" i="13"/>
  <c r="HE12" i="13"/>
  <c r="HB16" i="13"/>
  <c r="GW7" i="13"/>
  <c r="GX15" i="13"/>
  <c r="HB17" i="13" s="1"/>
  <c r="GX13" i="13"/>
  <c r="EZ27" i="13"/>
  <c r="EZ28" i="13" s="1"/>
  <c r="EZ25" i="13"/>
  <c r="AK16" i="13"/>
  <c r="GX5" i="13"/>
  <c r="GX6" i="13"/>
  <c r="FA3" i="13"/>
  <c r="GY4" i="13"/>
  <c r="HF11" i="13" l="1"/>
  <c r="HG8" i="13"/>
  <c r="HH14" i="13" s="1"/>
  <c r="HF12" i="13"/>
  <c r="HF10" i="13"/>
  <c r="HC16" i="13"/>
  <c r="GX7" i="13"/>
  <c r="GY13" i="13"/>
  <c r="FA27" i="13"/>
  <c r="FA28" i="13" s="1"/>
  <c r="FA25" i="13"/>
  <c r="GY15" i="13"/>
  <c r="HC17" i="13" s="1"/>
  <c r="AJ16" i="13"/>
  <c r="GY5" i="13"/>
  <c r="GY6" i="13"/>
  <c r="FB3" i="13"/>
  <c r="GZ4" i="13"/>
  <c r="HG11" i="13" l="1"/>
  <c r="HH8" i="13"/>
  <c r="HI14" i="13" s="1"/>
  <c r="HG12" i="13"/>
  <c r="HG10" i="13"/>
  <c r="HD16" i="13"/>
  <c r="GY7" i="13"/>
  <c r="GZ13" i="13"/>
  <c r="GZ15" i="13"/>
  <c r="HD17" i="13" s="1"/>
  <c r="AI16" i="13"/>
  <c r="FB27" i="13"/>
  <c r="FB28" i="13" s="1"/>
  <c r="FB25" i="13"/>
  <c r="GZ5" i="13"/>
  <c r="GZ6" i="13"/>
  <c r="FC3" i="13"/>
  <c r="HA4" i="13"/>
  <c r="HH12" i="13" l="1"/>
  <c r="HH11" i="13"/>
  <c r="HI8" i="13"/>
  <c r="HJ14" i="13" s="1"/>
  <c r="HH10" i="13"/>
  <c r="HE16" i="13"/>
  <c r="GZ7" i="13"/>
  <c r="HA13" i="13"/>
  <c r="AH16" i="13"/>
  <c r="HA15" i="13"/>
  <c r="HE17" i="13" s="1"/>
  <c r="FC27" i="13"/>
  <c r="FC28" i="13" s="1"/>
  <c r="FC25" i="13"/>
  <c r="HA5" i="13"/>
  <c r="HA6" i="13"/>
  <c r="FD3" i="13"/>
  <c r="HB4" i="13"/>
  <c r="HI11" i="13" l="1"/>
  <c r="HJ8" i="13"/>
  <c r="HK14" i="13" s="1"/>
  <c r="HI12" i="13"/>
  <c r="HI10" i="13"/>
  <c r="HF16" i="13"/>
  <c r="HA7" i="13"/>
  <c r="HB13" i="13"/>
  <c r="HB15" i="13"/>
  <c r="HF17" i="13" s="1"/>
  <c r="AG16" i="13"/>
  <c r="FD25" i="13"/>
  <c r="FD27" i="13"/>
  <c r="FD28" i="13" s="1"/>
  <c r="HB5" i="13"/>
  <c r="HB6" i="13"/>
  <c r="FE3" i="13"/>
  <c r="HC4" i="13"/>
  <c r="HJ11" i="13" l="1"/>
  <c r="HK8" i="13"/>
  <c r="HL14" i="13" s="1"/>
  <c r="HJ10" i="13"/>
  <c r="HJ12" i="13"/>
  <c r="HG16" i="13"/>
  <c r="HB7" i="13"/>
  <c r="HC15" i="13"/>
  <c r="HG17" i="13" s="1"/>
  <c r="HC13" i="13"/>
  <c r="AF16" i="13"/>
  <c r="FE27" i="13"/>
  <c r="FE28" i="13" s="1"/>
  <c r="FE25" i="13"/>
  <c r="HC5" i="13"/>
  <c r="HC6" i="13"/>
  <c r="FF3" i="13"/>
  <c r="HD4" i="13"/>
  <c r="HK11" i="13" l="1"/>
  <c r="HL8" i="13"/>
  <c r="HM14" i="13" s="1"/>
  <c r="HK12" i="13"/>
  <c r="HK10" i="13"/>
  <c r="HH16" i="13"/>
  <c r="HC7" i="13"/>
  <c r="HD13" i="13"/>
  <c r="HD15" i="13"/>
  <c r="HH17" i="13" s="1"/>
  <c r="FF27" i="13"/>
  <c r="FF28" i="13" s="1"/>
  <c r="FF25" i="13"/>
  <c r="AE16" i="13"/>
  <c r="HD5" i="13"/>
  <c r="HD6" i="13"/>
  <c r="FG3" i="13"/>
  <c r="HE4" i="13"/>
  <c r="HL10" i="13" l="1"/>
  <c r="HL11" i="13"/>
  <c r="HM8" i="13"/>
  <c r="HN14" i="13" s="1"/>
  <c r="HL12" i="13"/>
  <c r="HI16" i="13"/>
  <c r="HD7" i="13"/>
  <c r="HE13" i="13"/>
  <c r="HE15" i="13"/>
  <c r="HI17" i="13" s="1"/>
  <c r="FG27" i="13"/>
  <c r="FG28" i="13" s="1"/>
  <c r="FG25" i="13"/>
  <c r="HE5" i="13"/>
  <c r="HE6" i="13"/>
  <c r="FH3" i="13"/>
  <c r="HF4" i="13"/>
  <c r="HM12" i="13" l="1"/>
  <c r="HM11" i="13"/>
  <c r="HN8" i="13"/>
  <c r="HO14" i="13" s="1"/>
  <c r="HM10" i="13"/>
  <c r="HJ16" i="13"/>
  <c r="HE7" i="13"/>
  <c r="HF15" i="13"/>
  <c r="HJ17" i="13" s="1"/>
  <c r="HF13" i="13"/>
  <c r="FH27" i="13"/>
  <c r="FH28" i="13" s="1"/>
  <c r="FH25" i="13"/>
  <c r="HF5" i="13"/>
  <c r="HF6" i="13"/>
  <c r="FI3" i="13"/>
  <c r="HG4" i="13"/>
  <c r="HN10" i="13" l="1"/>
  <c r="HN11" i="13"/>
  <c r="HO8" i="13"/>
  <c r="HP14" i="13" s="1"/>
  <c r="HN12" i="13"/>
  <c r="HK16" i="13"/>
  <c r="HF7" i="13"/>
  <c r="HG13" i="13"/>
  <c r="FI27" i="13"/>
  <c r="FI28" i="13" s="1"/>
  <c r="FI25" i="13"/>
  <c r="HG15" i="13"/>
  <c r="HK17" i="13" s="1"/>
  <c r="HG5" i="13"/>
  <c r="HG6" i="13"/>
  <c r="FJ3" i="13"/>
  <c r="HH4" i="13"/>
  <c r="HO12" i="13" l="1"/>
  <c r="HO11" i="13"/>
  <c r="HP8" i="13"/>
  <c r="HQ14" i="13" s="1"/>
  <c r="HO10" i="13"/>
  <c r="HL16" i="13"/>
  <c r="HG7" i="13"/>
  <c r="HH13" i="13"/>
  <c r="HH15" i="13"/>
  <c r="HL17" i="13" s="1"/>
  <c r="FJ25" i="13"/>
  <c r="FJ27" i="13"/>
  <c r="FJ28" i="13" s="1"/>
  <c r="HH5" i="13"/>
  <c r="HH6" i="13"/>
  <c r="FK3" i="13"/>
  <c r="HI4" i="13"/>
  <c r="HP11" i="13" l="1"/>
  <c r="HQ8" i="13"/>
  <c r="HR14" i="13" s="1"/>
  <c r="HP10" i="13"/>
  <c r="HP12" i="13"/>
  <c r="HM16" i="13"/>
  <c r="HH7" i="13"/>
  <c r="HI13" i="13"/>
  <c r="HI15" i="13"/>
  <c r="HM17" i="13" s="1"/>
  <c r="FK27" i="13"/>
  <c r="FK28" i="13" s="1"/>
  <c r="FK25" i="13"/>
  <c r="HI5" i="13"/>
  <c r="HI6" i="13"/>
  <c r="FL3" i="13"/>
  <c r="HJ4" i="13"/>
  <c r="HQ12" i="13" l="1"/>
  <c r="HQ11" i="13"/>
  <c r="HR8" i="13"/>
  <c r="HS14" i="13" s="1"/>
  <c r="HQ10" i="13"/>
  <c r="HN16" i="13"/>
  <c r="HI7" i="13"/>
  <c r="HJ13" i="13"/>
  <c r="FL27" i="13"/>
  <c r="FL28" i="13" s="1"/>
  <c r="FL25" i="13"/>
  <c r="HJ15" i="13"/>
  <c r="HN17" i="13" s="1"/>
  <c r="HJ5" i="13"/>
  <c r="HJ6" i="13"/>
  <c r="FM3" i="13"/>
  <c r="HK4" i="13"/>
  <c r="HR11" i="13" l="1"/>
  <c r="HS8" i="13"/>
  <c r="HT14" i="13" s="1"/>
  <c r="HR12" i="13"/>
  <c r="HR10" i="13"/>
  <c r="HO16" i="13"/>
  <c r="HJ7" i="13"/>
  <c r="HT8" i="13" s="1"/>
  <c r="HU14" i="13" s="1"/>
  <c r="HK13" i="13"/>
  <c r="HK15" i="13"/>
  <c r="HO17" i="13" s="1"/>
  <c r="FM27" i="13"/>
  <c r="FM28" i="13" s="1"/>
  <c r="FM25" i="13"/>
  <c r="HK5" i="13"/>
  <c r="HK6" i="13"/>
  <c r="FN3" i="13"/>
  <c r="HL4" i="13"/>
  <c r="HS10" i="13" l="1"/>
  <c r="HS11" i="13"/>
  <c r="HS12" i="13"/>
  <c r="HP16" i="13"/>
  <c r="HK7" i="13"/>
  <c r="HL13" i="13"/>
  <c r="HL15" i="13"/>
  <c r="HP17" i="13" s="1"/>
  <c r="FN25" i="13"/>
  <c r="FN27" i="13"/>
  <c r="FN28" i="13" s="1"/>
  <c r="HL5" i="13"/>
  <c r="HL6" i="13"/>
  <c r="FO3" i="13"/>
  <c r="HM4" i="13"/>
  <c r="HT11" i="13" l="1"/>
  <c r="HU8" i="13"/>
  <c r="HV14" i="13" s="1"/>
  <c r="HT12" i="13"/>
  <c r="HT10" i="13"/>
  <c r="HQ16" i="13"/>
  <c r="HL7" i="13"/>
  <c r="HM15" i="13"/>
  <c r="HQ17" i="13" s="1"/>
  <c r="HM13" i="13"/>
  <c r="FO27" i="13"/>
  <c r="FO28" i="13" s="1"/>
  <c r="FO25" i="13"/>
  <c r="HM5" i="13"/>
  <c r="HM6" i="13"/>
  <c r="FP3" i="13"/>
  <c r="HN4" i="13"/>
  <c r="HU10" i="13" l="1"/>
  <c r="HU11" i="13"/>
  <c r="HV8" i="13"/>
  <c r="HW14" i="13" s="1"/>
  <c r="HU12" i="13"/>
  <c r="HR16" i="13"/>
  <c r="HM7" i="13"/>
  <c r="HN13" i="13"/>
  <c r="FP27" i="13"/>
  <c r="FP28" i="13" s="1"/>
  <c r="FP25" i="13"/>
  <c r="HN15" i="13"/>
  <c r="HR17" i="13" s="1"/>
  <c r="HN5" i="13"/>
  <c r="HN6" i="13"/>
  <c r="FQ3" i="13"/>
  <c r="HO4" i="13"/>
  <c r="HV11" i="13" l="1"/>
  <c r="HW8" i="13"/>
  <c r="HX14" i="13" s="1"/>
  <c r="HV12" i="13"/>
  <c r="HV10" i="13"/>
  <c r="HS16" i="13"/>
  <c r="HN7" i="13"/>
  <c r="HO15" i="13"/>
  <c r="HS17" i="13" s="1"/>
  <c r="HO13" i="13"/>
  <c r="FQ27" i="13"/>
  <c r="FQ28" i="13" s="1"/>
  <c r="FQ25" i="13"/>
  <c r="HO5" i="13"/>
  <c r="HO6" i="13"/>
  <c r="FR3" i="13"/>
  <c r="HP4" i="13"/>
  <c r="HW11" i="13" l="1"/>
  <c r="HX8" i="13"/>
  <c r="HY14" i="13" s="1"/>
  <c r="HW10" i="13"/>
  <c r="HW12" i="13"/>
  <c r="HT16" i="13"/>
  <c r="HO7" i="13"/>
  <c r="HP13" i="13"/>
  <c r="HP15" i="13"/>
  <c r="HT17" i="13" s="1"/>
  <c r="FR27" i="13"/>
  <c r="FR28" i="13" s="1"/>
  <c r="FR25" i="13"/>
  <c r="HP5" i="13"/>
  <c r="HP6" i="13"/>
  <c r="FS3" i="13"/>
  <c r="HQ4" i="13"/>
  <c r="HX11" i="13" l="1"/>
  <c r="HY8" i="13"/>
  <c r="HZ14" i="13" s="1"/>
  <c r="HX12" i="13"/>
  <c r="HX10" i="13"/>
  <c r="HU16" i="13"/>
  <c r="HP7" i="13"/>
  <c r="HQ15" i="13"/>
  <c r="HU17" i="13" s="1"/>
  <c r="HQ13" i="13"/>
  <c r="FS27" i="13"/>
  <c r="FS28" i="13" s="1"/>
  <c r="FS25" i="13"/>
  <c r="HQ5" i="13"/>
  <c r="HQ6" i="13"/>
  <c r="FT3" i="13"/>
  <c r="HR4" i="13"/>
  <c r="HY10" i="13" l="1"/>
  <c r="HY11" i="13"/>
  <c r="HZ8" i="13"/>
  <c r="IA14" i="13" s="1"/>
  <c r="HY12" i="13"/>
  <c r="HV16" i="13"/>
  <c r="HQ7" i="13"/>
  <c r="HR15" i="13"/>
  <c r="HV17" i="13" s="1"/>
  <c r="HR13" i="13"/>
  <c r="FT25" i="13"/>
  <c r="FT27" i="13"/>
  <c r="FT28" i="13" s="1"/>
  <c r="HR5" i="13"/>
  <c r="HR6" i="13"/>
  <c r="FU3" i="13"/>
  <c r="HS4" i="13"/>
  <c r="HZ11" i="13" l="1"/>
  <c r="IA8" i="13"/>
  <c r="IB14" i="13" s="1"/>
  <c r="HZ12" i="13"/>
  <c r="HZ10" i="13"/>
  <c r="HW16" i="13"/>
  <c r="HR7" i="13"/>
  <c r="HS13" i="13"/>
  <c r="FU27" i="13"/>
  <c r="FU28" i="13" s="1"/>
  <c r="FU25" i="13"/>
  <c r="HS15" i="13"/>
  <c r="HW17" i="13" s="1"/>
  <c r="HS5" i="13"/>
  <c r="HS6" i="13"/>
  <c r="FV3" i="13"/>
  <c r="HT4" i="13"/>
  <c r="IA10" i="13" l="1"/>
  <c r="IA11" i="13"/>
  <c r="IB8" i="13"/>
  <c r="IC14" i="13" s="1"/>
  <c r="IA12" i="13"/>
  <c r="HX16" i="13"/>
  <c r="HS7" i="13"/>
  <c r="HT13" i="13"/>
  <c r="FV25" i="13"/>
  <c r="FV27" i="13"/>
  <c r="FV28" i="13" s="1"/>
  <c r="HT15" i="13"/>
  <c r="HX17" i="13" s="1"/>
  <c r="HT5" i="13"/>
  <c r="HT6" i="13"/>
  <c r="FW3" i="13"/>
  <c r="HU4" i="13"/>
  <c r="IB12" i="13" l="1"/>
  <c r="IB11" i="13"/>
  <c r="IB10" i="13"/>
  <c r="IC8" i="13"/>
  <c r="ID14" i="13" s="1"/>
  <c r="HY16" i="13"/>
  <c r="HT7" i="13"/>
  <c r="HU13" i="13"/>
  <c r="HU15" i="13"/>
  <c r="HY17" i="13" s="1"/>
  <c r="FW27" i="13"/>
  <c r="FW28" i="13" s="1"/>
  <c r="FW25" i="13"/>
  <c r="HU5" i="13"/>
  <c r="HU6" i="13"/>
  <c r="FX3" i="13"/>
  <c r="HV4" i="13"/>
  <c r="IC10" i="13" l="1"/>
  <c r="IC11" i="13"/>
  <c r="ID8" i="13"/>
  <c r="IE14" i="13" s="1"/>
  <c r="IC12" i="13"/>
  <c r="HZ16" i="13"/>
  <c r="HU7" i="13"/>
  <c r="HV13" i="13"/>
  <c r="HV15" i="13"/>
  <c r="HZ17" i="13" s="1"/>
  <c r="FX27" i="13"/>
  <c r="FX28" i="13" s="1"/>
  <c r="FX25" i="13"/>
  <c r="HV5" i="13"/>
  <c r="HV6" i="13"/>
  <c r="FY3" i="13"/>
  <c r="HW4" i="13"/>
  <c r="ID12" i="13" l="1"/>
  <c r="ID11" i="13"/>
  <c r="IE8" i="13"/>
  <c r="IF14" i="13" s="1"/>
  <c r="ID10" i="13"/>
  <c r="IA16" i="13"/>
  <c r="HV7" i="13"/>
  <c r="HW15" i="13"/>
  <c r="IA17" i="13" s="1"/>
  <c r="HW13" i="13"/>
  <c r="FY27" i="13"/>
  <c r="FY28" i="13" s="1"/>
  <c r="FY25" i="13"/>
  <c r="HW5" i="13"/>
  <c r="HW6" i="13"/>
  <c r="FZ3" i="13"/>
  <c r="HX4" i="13"/>
  <c r="IE10" i="13" l="1"/>
  <c r="IE11" i="13"/>
  <c r="IE12" i="13"/>
  <c r="IF8" i="13"/>
  <c r="IG14" i="13" s="1"/>
  <c r="IB16" i="13"/>
  <c r="HW7" i="13"/>
  <c r="HX13" i="13"/>
  <c r="HX15" i="13"/>
  <c r="IB17" i="13" s="1"/>
  <c r="FZ25" i="13"/>
  <c r="FZ27" i="13"/>
  <c r="FZ28" i="13" s="1"/>
  <c r="HX5" i="13"/>
  <c r="HX6" i="13"/>
  <c r="GA3" i="13"/>
  <c r="HY4" i="13"/>
  <c r="IF12" i="13" l="1"/>
  <c r="IG8" i="13"/>
  <c r="IH14" i="13" s="1"/>
  <c r="IF11" i="13"/>
  <c r="IF10" i="13"/>
  <c r="IC16" i="13"/>
  <c r="HX7" i="13"/>
  <c r="HY13" i="13"/>
  <c r="GA27" i="13"/>
  <c r="GA28" i="13" s="1"/>
  <c r="GA25" i="13"/>
  <c r="HY15" i="13"/>
  <c r="IC17" i="13" s="1"/>
  <c r="HY5" i="13"/>
  <c r="HY6" i="13"/>
  <c r="GB3" i="13"/>
  <c r="HZ4" i="13"/>
  <c r="IG12" i="13" l="1"/>
  <c r="IH8" i="13"/>
  <c r="II14" i="13" s="1"/>
  <c r="IG10" i="13"/>
  <c r="IG11" i="13"/>
  <c r="ID16" i="13"/>
  <c r="HY7" i="13"/>
  <c r="HZ15" i="13"/>
  <c r="ID17" i="13" s="1"/>
  <c r="HZ13" i="13"/>
  <c r="GB27" i="13"/>
  <c r="GB28" i="13" s="1"/>
  <c r="GB25" i="13"/>
  <c r="HZ5" i="13"/>
  <c r="HZ6" i="13"/>
  <c r="GC3" i="13"/>
  <c r="IA4" i="13"/>
  <c r="IH12" i="13" l="1"/>
  <c r="II8" i="13"/>
  <c r="IJ14" i="13" s="1"/>
  <c r="IH11" i="13"/>
  <c r="IH10" i="13"/>
  <c r="IE16" i="13"/>
  <c r="HZ7" i="13"/>
  <c r="IA13" i="13"/>
  <c r="GC27" i="13"/>
  <c r="GC28" i="13" s="1"/>
  <c r="GC25" i="13"/>
  <c r="IA15" i="13"/>
  <c r="IE17" i="13" s="1"/>
  <c r="IA5" i="13"/>
  <c r="IA6" i="13"/>
  <c r="GD3" i="13"/>
  <c r="IB4" i="13"/>
  <c r="II12" i="13" l="1"/>
  <c r="IJ8" i="13"/>
  <c r="IK14" i="13" s="1"/>
  <c r="II10" i="13"/>
  <c r="II11" i="13"/>
  <c r="IF16" i="13"/>
  <c r="IA7" i="13"/>
  <c r="IB13" i="13"/>
  <c r="IB15" i="13"/>
  <c r="IF17" i="13" s="1"/>
  <c r="GD25" i="13"/>
  <c r="GD27" i="13"/>
  <c r="GD28" i="13" s="1"/>
  <c r="IB5" i="13"/>
  <c r="IB6" i="13"/>
  <c r="GE3" i="13"/>
  <c r="IC4" i="13"/>
  <c r="IJ11" i="13" l="1"/>
  <c r="IJ12" i="13"/>
  <c r="IK8" i="13"/>
  <c r="IL14" i="13" s="1"/>
  <c r="IJ10" i="13"/>
  <c r="IG16" i="13"/>
  <c r="IB7" i="13"/>
  <c r="IC13" i="13"/>
  <c r="IC15" i="13"/>
  <c r="IG17" i="13" s="1"/>
  <c r="GE27" i="13"/>
  <c r="GE28" i="13" s="1"/>
  <c r="GE25" i="13"/>
  <c r="IC5" i="13"/>
  <c r="IC6" i="13"/>
  <c r="GF3" i="13"/>
  <c r="ID4" i="13"/>
  <c r="IK12" i="13" l="1"/>
  <c r="IL8" i="13"/>
  <c r="IM14" i="13" s="1"/>
  <c r="IK10" i="13"/>
  <c r="IK11" i="13"/>
  <c r="IH16" i="13"/>
  <c r="IC7" i="13"/>
  <c r="IM8" i="13" s="1"/>
  <c r="IN14" i="13" s="1"/>
  <c r="ID15" i="13"/>
  <c r="IH17" i="13" s="1"/>
  <c r="ID13" i="13"/>
  <c r="GF27" i="13"/>
  <c r="GF28" i="13" s="1"/>
  <c r="GF25" i="13"/>
  <c r="ID5" i="13"/>
  <c r="ID6" i="13"/>
  <c r="GG3" i="13"/>
  <c r="IE4" i="13"/>
  <c r="IL12" i="13" l="1"/>
  <c r="IL11" i="13"/>
  <c r="IL10" i="13"/>
  <c r="II16" i="13"/>
  <c r="ID7" i="13"/>
  <c r="IE13" i="13"/>
  <c r="GG27" i="13"/>
  <c r="GG28" i="13" s="1"/>
  <c r="GG25" i="13"/>
  <c r="IE15" i="13"/>
  <c r="II17" i="13" s="1"/>
  <c r="IE5" i="13"/>
  <c r="IE6" i="13"/>
  <c r="GH3" i="13"/>
  <c r="IF4" i="13"/>
  <c r="IM12" i="13" l="1"/>
  <c r="IN8" i="13"/>
  <c r="IM10" i="13"/>
  <c r="IM11" i="13"/>
  <c r="IJ16" i="13"/>
  <c r="IE7" i="13"/>
  <c r="IF13" i="13"/>
  <c r="GH27" i="13"/>
  <c r="GH28" i="13" s="1"/>
  <c r="GH25" i="13"/>
  <c r="IF15" i="13"/>
  <c r="IJ17" i="13" s="1"/>
  <c r="IF5" i="13"/>
  <c r="IF6" i="13"/>
  <c r="GI3" i="13"/>
  <c r="IG4" i="13"/>
  <c r="IN12" i="13" l="1"/>
  <c r="IN11" i="13"/>
  <c r="IN10" i="13"/>
  <c r="IK16" i="13"/>
  <c r="IF7" i="13"/>
  <c r="IG13" i="13"/>
  <c r="IG15" i="13"/>
  <c r="IK17" i="13" s="1"/>
  <c r="GI27" i="13"/>
  <c r="GI28" i="13" s="1"/>
  <c r="GI25" i="13"/>
  <c r="IG5" i="13"/>
  <c r="IG6" i="13"/>
  <c r="GJ3" i="13"/>
  <c r="IH4" i="13"/>
  <c r="IL16" i="13" l="1"/>
  <c r="IG7" i="13"/>
  <c r="IH15" i="13"/>
  <c r="IL17" i="13" s="1"/>
  <c r="IH13" i="13"/>
  <c r="GJ25" i="13"/>
  <c r="GJ27" i="13"/>
  <c r="GJ28" i="13" s="1"/>
  <c r="IH5" i="13"/>
  <c r="IH6" i="13"/>
  <c r="GK3" i="13"/>
  <c r="II4" i="13"/>
  <c r="IM16" i="13" l="1"/>
  <c r="IH7" i="13"/>
  <c r="II13" i="13"/>
  <c r="II15" i="13"/>
  <c r="IM17" i="13" s="1"/>
  <c r="GK27" i="13"/>
  <c r="GK28" i="13" s="1"/>
  <c r="GK25" i="13"/>
  <c r="II5" i="13"/>
  <c r="II6" i="13"/>
  <c r="GL3" i="13"/>
  <c r="IJ4" i="13"/>
  <c r="IN16" i="13" l="1"/>
  <c r="II7" i="13"/>
  <c r="IJ13" i="13"/>
  <c r="IJ15" i="13"/>
  <c r="IN17" i="13" s="1"/>
  <c r="GL25" i="13"/>
  <c r="GL27" i="13"/>
  <c r="GL28" i="13" s="1"/>
  <c r="IJ5" i="13"/>
  <c r="IJ6" i="13"/>
  <c r="GM3" i="13"/>
  <c r="IK4" i="13"/>
  <c r="IJ7" i="13" l="1"/>
  <c r="IK15" i="13"/>
  <c r="IK13" i="13"/>
  <c r="GM27" i="13"/>
  <c r="GM28" i="13" s="1"/>
  <c r="GM25" i="13"/>
  <c r="IK5" i="13"/>
  <c r="IK6" i="13"/>
  <c r="GN3" i="13"/>
  <c r="IL4" i="13"/>
  <c r="IK7" i="13" l="1"/>
  <c r="IL13" i="13"/>
  <c r="IL15" i="13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C18" i="15" s="1"/>
  <c r="C6" i="13"/>
  <c r="C7" i="13" s="1"/>
  <c r="G9" i="13"/>
  <c r="G20" i="13" s="1"/>
  <c r="G26" i="13" s="1"/>
  <c r="GR27" i="13"/>
  <c r="GR28" i="13" s="1"/>
  <c r="GR25" i="13"/>
  <c r="GS3" i="13"/>
  <c r="H15" i="13" l="1"/>
  <c r="C12" i="15"/>
  <c r="C38" i="15" s="1"/>
  <c r="C27" i="13"/>
  <c r="C14" i="15"/>
  <c r="H9" i="13"/>
  <c r="GS27" i="13"/>
  <c r="GS28" i="13" s="1"/>
  <c r="GS25" i="13"/>
  <c r="GT3" i="13"/>
  <c r="G15" i="13" l="1"/>
  <c r="J17" i="13"/>
  <c r="AK21" i="13"/>
  <c r="AK22" i="13"/>
  <c r="AK23" i="13"/>
  <c r="I9" i="13"/>
  <c r="H23" i="13"/>
  <c r="H21" i="13"/>
  <c r="H22" i="13"/>
  <c r="H20" i="13"/>
  <c r="H26" i="13" s="1"/>
  <c r="GT25" i="13"/>
  <c r="GT27" i="13"/>
  <c r="GT28" i="13" s="1"/>
  <c r="GU3" i="13"/>
  <c r="G17" i="13" l="1"/>
  <c r="H17" i="13"/>
  <c r="I17" i="13"/>
  <c r="J9" i="13"/>
  <c r="I22" i="13"/>
  <c r="I21" i="13"/>
  <c r="I23" i="13"/>
  <c r="I20" i="13"/>
  <c r="I26" i="13" s="1"/>
  <c r="AL23" i="13"/>
  <c r="AL22" i="13"/>
  <c r="AL21" i="13"/>
  <c r="GU27" i="13"/>
  <c r="GU28" i="13" s="1"/>
  <c r="GU25" i="13"/>
  <c r="GV3" i="13"/>
  <c r="AM22" i="13" l="1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U9" i="13" s="1"/>
  <c r="Q20" i="13"/>
  <c r="Q26" i="13" s="1"/>
  <c r="HC27" i="13"/>
  <c r="HC28" i="13" s="1"/>
  <c r="HC25" i="13"/>
  <c r="HD3" i="13"/>
  <c r="V9" i="13" l="1"/>
  <c r="U20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V20" i="13" l="1"/>
  <c r="V26" i="13" s="1"/>
  <c r="W9" i="13"/>
  <c r="T20" i="13"/>
  <c r="U26" i="13" s="1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W20" i="13" l="1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7" i="20"/>
  <c r="D7" i="20"/>
  <c r="E7" i="20" s="1"/>
  <c r="M60" i="20"/>
  <c r="D60" i="20"/>
  <c r="E60" i="20" s="1"/>
  <c r="D10" i="20"/>
  <c r="E10" i="20" s="1"/>
  <c r="M10" i="20"/>
  <c r="D36" i="20"/>
  <c r="E36" i="20" s="1"/>
  <c r="M36" i="20"/>
  <c r="D52" i="20"/>
  <c r="E52" i="20" s="1"/>
  <c r="M52" i="20"/>
  <c r="M15" i="20"/>
  <c r="D15" i="20"/>
  <c r="E15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4" i="20"/>
  <c r="E14" i="20" s="1"/>
  <c r="M14" i="20"/>
  <c r="D23" i="20"/>
  <c r="E23" i="20" s="1"/>
  <c r="M23" i="20"/>
  <c r="M12" i="20"/>
  <c r="D12" i="20"/>
  <c r="E12" i="20" s="1"/>
  <c r="D45" i="20"/>
  <c r="E45" i="20" s="1"/>
  <c r="M45" i="20"/>
  <c r="D21" i="20"/>
  <c r="E21" i="20" s="1"/>
  <c r="M21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5" i="20"/>
  <c r="E5" i="20" s="1"/>
  <c r="M5" i="20"/>
  <c r="M34" i="20"/>
  <c r="D34" i="20"/>
  <c r="E34" i="20" s="1"/>
  <c r="D18" i="20"/>
  <c r="E18" i="20" s="1"/>
  <c r="M18" i="20"/>
  <c r="M49" i="20"/>
  <c r="D49" i="20"/>
  <c r="E49" i="20" s="1"/>
  <c r="M6" i="20"/>
  <c r="D6" i="20"/>
  <c r="E6" i="20" s="1"/>
  <c r="D48" i="20"/>
  <c r="E48" i="20" s="1"/>
  <c r="M48" i="20"/>
  <c r="M29" i="20"/>
  <c r="D29" i="20"/>
  <c r="E29" i="20" s="1"/>
  <c r="M61" i="20"/>
  <c r="D61" i="20"/>
  <c r="E61" i="20" s="1"/>
  <c r="D17" i="20"/>
  <c r="E17" i="20" s="1"/>
  <c r="M17" i="20"/>
  <c r="D54" i="20"/>
  <c r="E54" i="20" s="1"/>
  <c r="M54" i="20"/>
  <c r="M40" i="20"/>
  <c r="D40" i="20"/>
  <c r="E40" i="20" s="1"/>
  <c r="D9" i="20"/>
  <c r="E9" i="20" s="1"/>
  <c r="M9" i="20"/>
  <c r="BG20" i="13" l="1"/>
  <c r="BG26" i="13" s="1"/>
  <c r="BH9" i="13"/>
  <c r="CG22" i="13"/>
  <c r="CG21" i="13"/>
  <c r="CG23" i="13"/>
  <c r="J7" i="20"/>
  <c r="J32" i="20"/>
  <c r="J9" i="20"/>
  <c r="J59" i="20"/>
  <c r="J40" i="20"/>
  <c r="J35" i="20"/>
  <c r="J36" i="20"/>
  <c r="J58" i="20"/>
  <c r="J54" i="20"/>
  <c r="J15" i="20"/>
  <c r="J60" i="20"/>
  <c r="J23" i="20"/>
  <c r="J5" i="20"/>
  <c r="J57" i="20"/>
  <c r="J17" i="20"/>
  <c r="J21" i="20"/>
  <c r="J48" i="20"/>
  <c r="J14" i="20"/>
  <c r="J18" i="20"/>
  <c r="J38" i="20"/>
  <c r="J45" i="20"/>
  <c r="J6" i="20"/>
  <c r="J46" i="20"/>
  <c r="J61" i="20"/>
  <c r="J49" i="20"/>
  <c r="J52" i="20"/>
  <c r="J29" i="20"/>
  <c r="J41" i="20"/>
  <c r="J34" i="20"/>
  <c r="J31" i="20"/>
  <c r="J12" i="20"/>
  <c r="J27" i="20"/>
  <c r="J10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H49" i="20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H35" i="20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23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E6" i="23"/>
  <c r="F6" i="23"/>
  <c r="G6" i="23" s="1"/>
  <c r="E5" i="23"/>
  <c r="F5" i="23"/>
  <c r="G5" i="23" s="1"/>
  <c r="H21" i="20" s="1"/>
  <c r="A7" i="23" l="1"/>
  <c r="H12" i="20"/>
  <c r="C13" i="13"/>
  <c r="C22" i="15" s="1"/>
  <c r="C24" i="15" s="1"/>
  <c r="F7" i="23" l="1"/>
  <c r="E7" i="23"/>
  <c r="G7" i="23" s="1"/>
  <c r="H60" i="20" s="1"/>
  <c r="A8" i="23" l="1"/>
  <c r="E8" i="23" l="1"/>
  <c r="F8" i="23"/>
  <c r="G8" i="23" l="1"/>
  <c r="H14" i="20" s="1"/>
  <c r="A9" i="23"/>
  <c r="E9" i="23" l="1"/>
  <c r="F9" i="23"/>
  <c r="A10" i="23"/>
  <c r="G9" i="23" l="1"/>
  <c r="H7" i="20" s="1"/>
  <c r="F10" i="23"/>
  <c r="E10" i="23"/>
  <c r="A11" i="23" l="1"/>
  <c r="A12" i="23" s="1"/>
  <c r="G10" i="23"/>
  <c r="H17" i="20" s="1"/>
  <c r="E12" i="23" l="1"/>
  <c r="A13" i="23"/>
  <c r="F12" i="23"/>
  <c r="G12" i="23" s="1"/>
  <c r="E11" i="23"/>
  <c r="G11" i="23" s="1"/>
  <c r="H9" i="20" s="1"/>
  <c r="F11" i="23"/>
  <c r="A14" i="23" l="1"/>
  <c r="E13" i="23"/>
  <c r="F13" i="23"/>
  <c r="G13" i="23" l="1"/>
  <c r="E14" i="23"/>
  <c r="F14" i="23"/>
  <c r="A15" i="23"/>
  <c r="E15" i="23" l="1"/>
  <c r="G15" i="23" s="1"/>
  <c r="F15" i="23"/>
  <c r="A16" i="23"/>
  <c r="G14" i="23"/>
  <c r="F16" i="23" l="1"/>
  <c r="E16" i="23"/>
  <c r="G16" i="23" s="1"/>
  <c r="H56" i="20" s="1"/>
  <c r="A17" i="23"/>
  <c r="E17" i="23" l="1"/>
  <c r="F17" i="23"/>
  <c r="A18" i="23"/>
  <c r="F18" i="23" l="1"/>
  <c r="E18" i="23"/>
  <c r="A19" i="23"/>
  <c r="G17" i="23"/>
  <c r="A20" i="23" l="1"/>
  <c r="F19" i="23"/>
  <c r="E19" i="23"/>
  <c r="G19" i="23" s="1"/>
  <c r="H8" i="20" s="1"/>
  <c r="G18" i="23"/>
  <c r="H10" i="20" s="1"/>
  <c r="E20" i="23" l="1"/>
  <c r="G20" i="23" s="1"/>
  <c r="H16" i="20" s="1"/>
  <c r="A21" i="23"/>
  <c r="F20" i="23"/>
  <c r="A22" i="23" l="1"/>
  <c r="E21" i="23"/>
  <c r="F21" i="23"/>
  <c r="G21" i="23" l="1"/>
  <c r="E22" i="23"/>
  <c r="F22" i="23"/>
  <c r="A23" i="23"/>
  <c r="G22" i="23" l="1"/>
  <c r="A24" i="23"/>
  <c r="F23" i="23"/>
  <c r="E23" i="23"/>
  <c r="G23" i="23" s="1"/>
  <c r="F24" i="23" l="1"/>
  <c r="E24" i="23"/>
  <c r="A25" i="23"/>
  <c r="G24" i="23" l="1"/>
  <c r="H19" i="20" s="1"/>
  <c r="E25" i="23"/>
  <c r="F25" i="23"/>
  <c r="A26" i="23"/>
  <c r="G25" i="23" l="1"/>
  <c r="H46" i="20" s="1"/>
  <c r="A27" i="23"/>
  <c r="E26" i="23"/>
  <c r="G26" i="23" s="1"/>
  <c r="H5" i="20" s="1"/>
  <c r="F26" i="23"/>
  <c r="A28" i="23" l="1"/>
  <c r="F27" i="23"/>
  <c r="E27" i="23"/>
  <c r="G27" i="23" s="1"/>
  <c r="F28" i="23" l="1"/>
  <c r="E28" i="23"/>
  <c r="A29" i="23"/>
  <c r="G28" i="23" l="1"/>
  <c r="H6" i="20" s="1"/>
  <c r="A30" i="23"/>
  <c r="E29" i="23"/>
  <c r="G29" i="23" s="1"/>
  <c r="H4" i="20" s="1"/>
  <c r="F29" i="23"/>
  <c r="A31" i="23" l="1"/>
  <c r="E30" i="23"/>
  <c r="F30" i="23"/>
  <c r="G30" i="23" l="1"/>
  <c r="H57" i="20" s="1"/>
  <c r="E31" i="23"/>
  <c r="A32" i="23"/>
  <c r="F31" i="23"/>
  <c r="E32" i="23" l="1"/>
  <c r="F32" i="23"/>
  <c r="A33" i="23"/>
  <c r="G31" i="23"/>
  <c r="H18" i="20" s="1"/>
  <c r="A34" i="23" l="1"/>
  <c r="F33" i="23"/>
  <c r="E33" i="23"/>
  <c r="G32" i="23"/>
  <c r="H50" i="20" s="1"/>
  <c r="G33" i="23" l="1"/>
  <c r="H20" i="20" s="1"/>
  <c r="F34" i="23"/>
  <c r="A35" i="23"/>
  <c r="E34" i="23"/>
  <c r="G34" i="23" s="1"/>
  <c r="H48" i="20" s="1"/>
  <c r="A36" i="23" l="1"/>
  <c r="F35" i="23"/>
  <c r="E35" i="23"/>
  <c r="G35" i="23" l="1"/>
  <c r="H13" i="20" s="1"/>
  <c r="E36" i="23"/>
  <c r="A37" i="23"/>
  <c r="F36" i="23"/>
  <c r="A38" i="23" l="1"/>
  <c r="E37" i="23"/>
  <c r="G37" i="23" s="1"/>
  <c r="F37" i="23"/>
  <c r="G36" i="23"/>
  <c r="H47" i="20" s="1"/>
  <c r="F38" i="23" l="1"/>
  <c r="E38" i="23"/>
  <c r="G38" i="23" s="1"/>
  <c r="H44" i="20" s="1"/>
  <c r="A39" i="23"/>
  <c r="A40" i="23" l="1"/>
  <c r="E39" i="23"/>
  <c r="G39" i="23" s="1"/>
  <c r="H15" i="20" s="1"/>
  <c r="F39" i="23"/>
  <c r="F40" i="23" l="1"/>
  <c r="E40" i="23"/>
  <c r="G40" i="23" s="1"/>
  <c r="H27" i="20" s="1"/>
  <c r="A41" i="23"/>
  <c r="F41" i="23" l="1"/>
  <c r="A42" i="23"/>
  <c r="E41" i="23"/>
  <c r="G41" i="23" s="1"/>
  <c r="H51" i="20" s="1"/>
  <c r="F42" i="23" l="1"/>
  <c r="A43" i="23"/>
  <c r="E42" i="23"/>
  <c r="G42" i="23" s="1"/>
  <c r="H30" i="20" s="1"/>
  <c r="E43" i="23" l="1"/>
  <c r="G43" i="23" s="1"/>
  <c r="H32" i="20" s="1"/>
  <c r="A44" i="23"/>
  <c r="F43" i="23"/>
  <c r="F44" i="23" l="1"/>
  <c r="E44" i="23"/>
  <c r="G44" i="23" s="1"/>
  <c r="H11" i="20" s="1"/>
  <c r="A45" i="23"/>
  <c r="A46" i="23" l="1"/>
  <c r="F45" i="23"/>
  <c r="E45" i="23"/>
  <c r="G45" i="23" s="1"/>
  <c r="H45" i="20" s="1"/>
  <c r="F46" i="23" l="1"/>
  <c r="E46" i="23"/>
  <c r="A47" i="23"/>
  <c r="A48" i="23" l="1"/>
  <c r="F47" i="23"/>
  <c r="E47" i="23"/>
  <c r="G47" i="23" s="1"/>
  <c r="G46" i="23"/>
  <c r="H26" i="20" s="1"/>
  <c r="F48" i="23" l="1"/>
  <c r="E48" i="23"/>
  <c r="G48" i="23" s="1"/>
  <c r="H65" i="20" s="1"/>
  <c r="A49" i="23"/>
  <c r="F49" i="23" l="1"/>
  <c r="E49" i="23"/>
  <c r="G49" i="23" s="1"/>
  <c r="A50" i="23"/>
  <c r="F50" i="23" l="1"/>
  <c r="A51" i="23"/>
  <c r="E50" i="23"/>
  <c r="G50" i="23" l="1"/>
  <c r="A52" i="23"/>
  <c r="E51" i="23"/>
  <c r="G51" i="23" s="1"/>
  <c r="H24" i="20" s="1"/>
  <c r="F51" i="23"/>
  <c r="E52" i="23" l="1"/>
  <c r="G52" i="23" s="1"/>
  <c r="A53" i="23"/>
  <c r="F52" i="23"/>
  <c r="F53" i="23" l="1"/>
  <c r="E53" i="23"/>
  <c r="A54" i="23"/>
  <c r="G53" i="23" l="1"/>
  <c r="H33" i="20" s="1"/>
  <c r="F54" i="23"/>
  <c r="E54" i="23"/>
  <c r="G54" i="23" s="1"/>
  <c r="H41" i="20" s="1"/>
  <c r="A55" i="23"/>
  <c r="F55" i="23" l="1"/>
  <c r="A56" i="23"/>
  <c r="E55" i="23"/>
  <c r="G55" i="23" s="1"/>
  <c r="H28" i="20" s="1"/>
  <c r="E56" i="23" l="1"/>
  <c r="A57" i="23"/>
  <c r="A58" i="23" s="1"/>
  <c r="A59" i="23" s="1"/>
  <c r="A60" i="23" s="1"/>
  <c r="A61" i="23" s="1"/>
  <c r="A62" i="23" s="1"/>
  <c r="A63" i="23" s="1"/>
  <c r="A64" i="23" s="1"/>
  <c r="A65" i="23" s="1"/>
  <c r="A66" i="23" s="1"/>
  <c r="A67" i="23" s="1"/>
  <c r="A68" i="23" s="1"/>
  <c r="A69" i="23" s="1"/>
  <c r="A70" i="23" s="1"/>
  <c r="A71" i="23" s="1"/>
  <c r="A72" i="23" s="1"/>
  <c r="A73" i="23" s="1"/>
  <c r="A74" i="23" s="1"/>
  <c r="A75" i="23" s="1"/>
  <c r="A76" i="23" s="1"/>
  <c r="A77" i="23" s="1"/>
  <c r="A78" i="23" s="1"/>
  <c r="A79" i="23" s="1"/>
  <c r="A80" i="23" s="1"/>
  <c r="A81" i="23" s="1"/>
  <c r="A82" i="23" s="1"/>
  <c r="A83" i="23" s="1"/>
  <c r="A84" i="23" s="1"/>
  <c r="A85" i="23" s="1"/>
  <c r="A86" i="23" s="1"/>
  <c r="A87" i="23" s="1"/>
  <c r="A88" i="23" s="1"/>
  <c r="A89" i="23" s="1"/>
  <c r="A90" i="23" s="1"/>
  <c r="A91" i="23" s="1"/>
  <c r="A92" i="23" s="1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56" i="23"/>
  <c r="G56" i="23" l="1"/>
</calcChain>
</file>

<file path=xl/sharedStrings.xml><?xml version="1.0" encoding="utf-8"?>
<sst xmlns="http://schemas.openxmlformats.org/spreadsheetml/2006/main" count="2558" uniqueCount="615">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</sst>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center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7011424735247336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99484.372845919774</c:v>
                </c:pt>
                <c:pt idx="25">
                  <c:v>126193.96695754041</c:v>
                </c:pt>
                <c:pt idx="26">
                  <c:v>160074.56086741507</c:v>
                </c:pt>
                <c:pt idx="27">
                  <c:v>203051.42674148007</c:v>
                </c:pt>
                <c:pt idx="28">
                  <c:v>257566.73439135725</c:v>
                </c:pt>
                <c:pt idx="29">
                  <c:v>326718.32810852973</c:v>
                </c:pt>
                <c:pt idx="30">
                  <c:v>414435.76234437345</c:v>
                </c:pt>
                <c:pt idx="31">
                  <c:v>525703.59950209933</c:v>
                </c:pt>
                <c:pt idx="32">
                  <c:v>666844.65878651675</c:v>
                </c:pt>
                <c:pt idx="33">
                  <c:v>845879.31178951368</c:v>
                </c:pt>
                <c:pt idx="34">
                  <c:v>1072981.2418615546</c:v>
                </c:pt>
                <c:pt idx="35">
                  <c:v>1361055.5658952531</c:v>
                </c:pt>
                <c:pt idx="36">
                  <c:v>1726472.1704179335</c:v>
                </c:pt>
                <c:pt idx="37">
                  <c:v>2189995.9339771769</c:v>
                </c:pt>
                <c:pt idx="38">
                  <c:v>2777966.6959100547</c:v>
                </c:pt>
                <c:pt idx="39">
                  <c:v>3523796.0234796717</c:v>
                </c:pt>
                <c:pt idx="40">
                  <c:v>4469865.8314992236</c:v>
                </c:pt>
                <c:pt idx="41">
                  <c:v>5669936.743919339</c:v>
                </c:pt>
                <c:pt idx="42">
                  <c:v>7192203.0530531425</c:v>
                </c:pt>
                <c:pt idx="43">
                  <c:v>9123167.8751657736</c:v>
                </c:pt>
                <c:pt idx="44">
                  <c:v>11572558.708993083</c:v>
                </c:pt>
                <c:pt idx="45">
                  <c:v>14679562.724878408</c:v>
                </c:pt>
                <c:pt idx="46">
                  <c:v>18620736.106197651</c:v>
                </c:pt>
                <c:pt idx="47">
                  <c:v>23620036.893130608</c:v>
                </c:pt>
                <c:pt idx="48">
                  <c:v>29961551.447322205</c:v>
                </c:pt>
                <c:pt idx="49">
                  <c:v>38005637.721574046</c:v>
                </c:pt>
                <c:pt idx="50">
                  <c:v>48209402.679400533</c:v>
                </c:pt>
                <c:pt idx="51">
                  <c:v>61152677.498298645</c:v>
                </c:pt>
                <c:pt idx="52">
                  <c:v>77570966.603343576</c:v>
                </c:pt>
                <c:pt idx="53">
                  <c:v>98397242.867157429</c:v>
                </c:pt>
                <c:pt idx="54">
                  <c:v>124814963.99763872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86270.8</c:v>
                </c:pt>
                <c:pt idx="25">
                  <c:v>94897.88</c:v>
                </c:pt>
                <c:pt idx="26">
                  <c:v>104387.66800000002</c:v>
                </c:pt>
                <c:pt idx="27">
                  <c:v>114826.43480000003</c:v>
                </c:pt>
                <c:pt idx="28">
                  <c:v>126309.07828000005</c:v>
                </c:pt>
                <c:pt idx="29">
                  <c:v>138939.98610800007</c:v>
                </c:pt>
                <c:pt idx="30">
                  <c:v>152833.98471880009</c:v>
                </c:pt>
                <c:pt idx="31">
                  <c:v>168117.38319068012</c:v>
                </c:pt>
                <c:pt idx="32">
                  <c:v>184929.12150974816</c:v>
                </c:pt>
                <c:pt idx="33">
                  <c:v>203422.03366072298</c:v>
                </c:pt>
                <c:pt idx="34">
                  <c:v>223764.23702679531</c:v>
                </c:pt>
                <c:pt idx="35">
                  <c:v>246140.66072947485</c:v>
                </c:pt>
                <c:pt idx="36">
                  <c:v>270754.72680242237</c:v>
                </c:pt>
                <c:pt idx="37">
                  <c:v>297830.19948266464</c:v>
                </c:pt>
                <c:pt idx="38">
                  <c:v>327613.21943093115</c:v>
                </c:pt>
                <c:pt idx="39">
                  <c:v>360374.54137402429</c:v>
                </c:pt>
                <c:pt idx="40">
                  <c:v>396411.99551142677</c:v>
                </c:pt>
                <c:pt idx="41">
                  <c:v>436053.19506256946</c:v>
                </c:pt>
                <c:pt idx="42">
                  <c:v>479658.51456882642</c:v>
                </c:pt>
                <c:pt idx="43">
                  <c:v>527624.36602570908</c:v>
                </c:pt>
                <c:pt idx="44">
                  <c:v>580386.80262828001</c:v>
                </c:pt>
                <c:pt idx="45">
                  <c:v>638425.48289110803</c:v>
                </c:pt>
                <c:pt idx="46">
                  <c:v>702268.03118021891</c:v>
                </c:pt>
                <c:pt idx="47">
                  <c:v>772494.83429824084</c:v>
                </c:pt>
                <c:pt idx="48">
                  <c:v>849744.31772806495</c:v>
                </c:pt>
                <c:pt idx="49">
                  <c:v>934718.74950087152</c:v>
                </c:pt>
                <c:pt idx="50">
                  <c:v>1028190.6244509588</c:v>
                </c:pt>
                <c:pt idx="51">
                  <c:v>1131009.6868960548</c:v>
                </c:pt>
                <c:pt idx="52">
                  <c:v>1244110.6555856604</c:v>
                </c:pt>
                <c:pt idx="53">
                  <c:v>1368521.7211442266</c:v>
                </c:pt>
                <c:pt idx="54">
                  <c:v>1505373.8932586494</c:v>
                </c:pt>
                <c:pt idx="55">
                  <c:v>1655911.2825845145</c:v>
                </c:pt>
                <c:pt idx="56">
                  <c:v>1821502.4108429661</c:v>
                </c:pt>
                <c:pt idx="57">
                  <c:v>2003652.6519272628</c:v>
                </c:pt>
                <c:pt idx="58">
                  <c:v>2204017.9171199892</c:v>
                </c:pt>
                <c:pt idx="59">
                  <c:v>2424419.7088319883</c:v>
                </c:pt>
                <c:pt idx="60">
                  <c:v>2666861.6797151873</c:v>
                </c:pt>
                <c:pt idx="61">
                  <c:v>2933547.8476867061</c:v>
                </c:pt>
                <c:pt idx="62">
                  <c:v>3226902.6324553769</c:v>
                </c:pt>
                <c:pt idx="63">
                  <c:v>3549592.8957009148</c:v>
                </c:pt>
                <c:pt idx="64">
                  <c:v>3904552.1852710065</c:v>
                </c:pt>
                <c:pt idx="65">
                  <c:v>4295007.403798108</c:v>
                </c:pt>
                <c:pt idx="66">
                  <c:v>4724508.1441779193</c:v>
                </c:pt>
                <c:pt idx="67">
                  <c:v>5196958.9585957117</c:v>
                </c:pt>
                <c:pt idx="68">
                  <c:v>5716654.8544552829</c:v>
                </c:pt>
                <c:pt idx="69">
                  <c:v>6288320.3399008121</c:v>
                </c:pt>
                <c:pt idx="70">
                  <c:v>6917152.3738908935</c:v>
                </c:pt>
                <c:pt idx="71">
                  <c:v>7608867.6112799831</c:v>
                </c:pt>
                <c:pt idx="72">
                  <c:v>8369754.3724079821</c:v>
                </c:pt>
                <c:pt idx="73">
                  <c:v>9206729.8096487802</c:v>
                </c:pt>
                <c:pt idx="74">
                  <c:v>10127402.790613659</c:v>
                </c:pt>
                <c:pt idx="75">
                  <c:v>11140143.069675025</c:v>
                </c:pt>
                <c:pt idx="76">
                  <c:v>12254157.376642529</c:v>
                </c:pt>
                <c:pt idx="77">
                  <c:v>13479573.114306783</c:v>
                </c:pt>
                <c:pt idx="78">
                  <c:v>14827530.425737463</c:v>
                </c:pt>
                <c:pt idx="79">
                  <c:v>16310283.468311211</c:v>
                </c:pt>
                <c:pt idx="80">
                  <c:v>17941311.815142334</c:v>
                </c:pt>
                <c:pt idx="81">
                  <c:v>19735442.996656567</c:v>
                </c:pt>
                <c:pt idx="82">
                  <c:v>21708987.296322227</c:v>
                </c:pt>
                <c:pt idx="83">
                  <c:v>23879886.025954451</c:v>
                </c:pt>
                <c:pt idx="84">
                  <c:v>26267874.6285499</c:v>
                </c:pt>
                <c:pt idx="85">
                  <c:v>28894662.091404893</c:v>
                </c:pt>
                <c:pt idx="86">
                  <c:v>31784128.300545383</c:v>
                </c:pt>
                <c:pt idx="87">
                  <c:v>34962541.130599923</c:v>
                </c:pt>
                <c:pt idx="88">
                  <c:v>38458795.243659921</c:v>
                </c:pt>
                <c:pt idx="89">
                  <c:v>42304674.76802592</c:v>
                </c:pt>
                <c:pt idx="90">
                  <c:v>46535142.244828515</c:v>
                </c:pt>
                <c:pt idx="91">
                  <c:v>51188656.469311371</c:v>
                </c:pt>
                <c:pt idx="92">
                  <c:v>56307522.116242513</c:v>
                </c:pt>
                <c:pt idx="93">
                  <c:v>61938274.32786677</c:v>
                </c:pt>
                <c:pt idx="94">
                  <c:v>68132101.760653451</c:v>
                </c:pt>
                <c:pt idx="95">
                  <c:v>74945311.936718807</c:v>
                </c:pt>
                <c:pt idx="96">
                  <c:v>82439843.130390689</c:v>
                </c:pt>
                <c:pt idx="97">
                  <c:v>90683827.443429768</c:v>
                </c:pt>
                <c:pt idx="98">
                  <c:v>99752210.187772751</c:v>
                </c:pt>
                <c:pt idx="99">
                  <c:v>109727431.20655003</c:v>
                </c:pt>
                <c:pt idx="100">
                  <c:v>120700174.32720505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98035</c:v>
                </c:pt>
                <c:pt idx="25">
                  <c:v>122543.75</c:v>
                </c:pt>
                <c:pt idx="26">
                  <c:v>153179.6875</c:v>
                </c:pt>
                <c:pt idx="27">
                  <c:v>191474.609375</c:v>
                </c:pt>
                <c:pt idx="28">
                  <c:v>239343.26171875</c:v>
                </c:pt>
                <c:pt idx="29">
                  <c:v>299179.0771484375</c:v>
                </c:pt>
                <c:pt idx="30">
                  <c:v>373973.84643554688</c:v>
                </c:pt>
                <c:pt idx="31">
                  <c:v>467467.30804443359</c:v>
                </c:pt>
                <c:pt idx="32">
                  <c:v>584334.13505554199</c:v>
                </c:pt>
                <c:pt idx="33">
                  <c:v>730417.66881942749</c:v>
                </c:pt>
                <c:pt idx="34">
                  <c:v>913022.08602428436</c:v>
                </c:pt>
                <c:pt idx="35">
                  <c:v>1141277.6075303555</c:v>
                </c:pt>
                <c:pt idx="36">
                  <c:v>1426597.0094129443</c:v>
                </c:pt>
                <c:pt idx="37">
                  <c:v>1783246.2617661804</c:v>
                </c:pt>
                <c:pt idx="38">
                  <c:v>2229057.8272077255</c:v>
                </c:pt>
                <c:pt idx="39">
                  <c:v>2786322.2840096569</c:v>
                </c:pt>
                <c:pt idx="40">
                  <c:v>3482902.8550120713</c:v>
                </c:pt>
                <c:pt idx="41">
                  <c:v>4353628.5687650889</c:v>
                </c:pt>
                <c:pt idx="42">
                  <c:v>5442035.7109563611</c:v>
                </c:pt>
                <c:pt idx="43">
                  <c:v>6802544.6386954514</c:v>
                </c:pt>
                <c:pt idx="44">
                  <c:v>8503180.7983693145</c:v>
                </c:pt>
                <c:pt idx="45">
                  <c:v>10628975.997961644</c:v>
                </c:pt>
                <c:pt idx="46">
                  <c:v>13286219.997452054</c:v>
                </c:pt>
                <c:pt idx="47">
                  <c:v>16607774.996815067</c:v>
                </c:pt>
                <c:pt idx="48">
                  <c:v>20759718.746018834</c:v>
                </c:pt>
                <c:pt idx="49">
                  <c:v>25949648.432523541</c:v>
                </c:pt>
                <c:pt idx="50">
                  <c:v>32437060.540654428</c:v>
                </c:pt>
                <c:pt idx="51">
                  <c:v>40546325.675818034</c:v>
                </c:pt>
                <c:pt idx="52">
                  <c:v>50682907.09477254</c:v>
                </c:pt>
                <c:pt idx="53">
                  <c:v>63353633.868465677</c:v>
                </c:pt>
                <c:pt idx="54">
                  <c:v>79192042.335582092</c:v>
                </c:pt>
                <c:pt idx="55">
                  <c:v>98990052.919477612</c:v>
                </c:pt>
                <c:pt idx="56">
                  <c:v>123737566.14934701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109799.2</c:v>
                </c:pt>
                <c:pt idx="25">
                  <c:v>153718.87999999998</c:v>
                </c:pt>
                <c:pt idx="26">
                  <c:v>215206.43199999994</c:v>
                </c:pt>
                <c:pt idx="27">
                  <c:v>301289.00479999988</c:v>
                </c:pt>
                <c:pt idx="28">
                  <c:v>421804.60671999981</c:v>
                </c:pt>
                <c:pt idx="29">
                  <c:v>590526.44940799964</c:v>
                </c:pt>
                <c:pt idx="30">
                  <c:v>826737.02917119942</c:v>
                </c:pt>
                <c:pt idx="31">
                  <c:v>1157431.8408396791</c:v>
                </c:pt>
                <c:pt idx="32">
                  <c:v>1620404.5771755506</c:v>
                </c:pt>
                <c:pt idx="33">
                  <c:v>2268566.4080457706</c:v>
                </c:pt>
                <c:pt idx="34">
                  <c:v>3175992.9712640787</c:v>
                </c:pt>
                <c:pt idx="35">
                  <c:v>4446390.1597697102</c:v>
                </c:pt>
                <c:pt idx="36">
                  <c:v>6224946.2236775942</c:v>
                </c:pt>
                <c:pt idx="37">
                  <c:v>8714924.7131486312</c:v>
                </c:pt>
                <c:pt idx="38">
                  <c:v>12200894.598408083</c:v>
                </c:pt>
                <c:pt idx="39">
                  <c:v>17081252.437771313</c:v>
                </c:pt>
                <c:pt idx="40">
                  <c:v>23913753.412879836</c:v>
                </c:pt>
                <c:pt idx="41">
                  <c:v>33479254.778031766</c:v>
                </c:pt>
                <c:pt idx="42">
                  <c:v>46870956.689244471</c:v>
                </c:pt>
                <c:pt idx="43">
                  <c:v>65619339.364942253</c:v>
                </c:pt>
                <c:pt idx="44">
                  <c:v>91867075.110919148</c:v>
                </c:pt>
                <c:pt idx="45">
                  <c:v>128613905.1552868</c:v>
                </c:pt>
                <c:pt idx="46">
                  <c:v>132401060.40000001</c:v>
                </c:pt>
                <c:pt idx="47">
                  <c:v>132401060.40000001</c:v>
                </c:pt>
                <c:pt idx="48">
                  <c:v>132401060.40000001</c:v>
                </c:pt>
                <c:pt idx="49">
                  <c:v>132401060.40000001</c:v>
                </c:pt>
                <c:pt idx="50">
                  <c:v>132401060.40000001</c:v>
                </c:pt>
                <c:pt idx="51">
                  <c:v>132401060.40000001</c:v>
                </c:pt>
                <c:pt idx="52">
                  <c:v>132401060.40000001</c:v>
                </c:pt>
                <c:pt idx="53">
                  <c:v>132401060.40000001</c:v>
                </c:pt>
                <c:pt idx="54">
                  <c:v>132401060.40000001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149</c:v>
                </c:pt>
                <c:pt idx="2">
                  <c:v>216</c:v>
                </c:pt>
                <c:pt idx="3">
                  <c:v>259</c:v>
                </c:pt>
                <c:pt idx="4">
                  <c:v>396</c:v>
                </c:pt>
                <c:pt idx="5">
                  <c:v>508</c:v>
                </c:pt>
                <c:pt idx="6">
                  <c:v>572</c:v>
                </c:pt>
                <c:pt idx="7">
                  <c:v>942</c:v>
                </c:pt>
                <c:pt idx="8">
                  <c:v>1256</c:v>
                </c:pt>
                <c:pt idx="9">
                  <c:v>1634</c:v>
                </c:pt>
                <c:pt idx="10">
                  <c:v>2143</c:v>
                </c:pt>
                <c:pt idx="11">
                  <c:v>2448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12868</c:v>
                </c:pt>
                <c:pt idx="17">
                  <c:v>18231</c:v>
                </c:pt>
                <c:pt idx="18">
                  <c:v>23881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0.26271186440677963</c:v>
                </c:pt>
                <c:pt idx="1">
                  <c:v>0.26271186440677963</c:v>
                </c:pt>
                <c:pt idx="2">
                  <c:v>0.29279552640621703</c:v>
                </c:pt>
                <c:pt idx="3">
                  <c:v>0.30508779740806108</c:v>
                </c:pt>
                <c:pt idx="4">
                  <c:v>0.33534535094426227</c:v>
                </c:pt>
                <c:pt idx="5">
                  <c:v>0.33070726873867051</c:v>
                </c:pt>
                <c:pt idx="6">
                  <c:v>0.33374623419292532</c:v>
                </c:pt>
                <c:pt idx="7">
                  <c:v>0.33009001801071336</c:v>
                </c:pt>
                <c:pt idx="8">
                  <c:v>0.34084627127067185</c:v>
                </c:pt>
                <c:pt idx="9">
                  <c:v>0.34718938231383051</c:v>
                </c:pt>
                <c:pt idx="10">
                  <c:v>0.34422367239527846</c:v>
                </c:pt>
                <c:pt idx="11">
                  <c:v>0.33294021959522141</c:v>
                </c:pt>
                <c:pt idx="12">
                  <c:v>0.31782478170049488</c:v>
                </c:pt>
                <c:pt idx="13">
                  <c:v>0.2991463677790806</c:v>
                </c:pt>
                <c:pt idx="14">
                  <c:v>0.286013660945101</c:v>
                </c:pt>
                <c:pt idx="15">
                  <c:v>0.2826333841003304</c:v>
                </c:pt>
                <c:pt idx="16">
                  <c:v>0.32130746384840281</c:v>
                </c:pt>
                <c:pt idx="17">
                  <c:v>0.35874031358364356</c:v>
                </c:pt>
                <c:pt idx="18">
                  <c:v>0.40487872866450342</c:v>
                </c:pt>
                <c:pt idx="19">
                  <c:v>0.40383251376621004</c:v>
                </c:pt>
                <c:pt idx="20">
                  <c:v>0.40715498544201467</c:v>
                </c:pt>
                <c:pt idx="21">
                  <c:v>0.3749102496985246</c:v>
                </c:pt>
                <c:pt idx="22">
                  <c:v>0.33669029393096711</c:v>
                </c:pt>
                <c:pt idx="23">
                  <c:v>0.28607211044399761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2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23528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Number of active</a:t>
                </a:r>
                <a:r>
                  <a:rPr lang="en-GB" baseline="0"/>
                  <a:t> cases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4.7819969487470654E-3"/>
              <c:y val="0.23629153960829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/>
                  <a:t>Rate of</a:t>
                </a:r>
                <a:r>
                  <a:rPr lang="en-GB" baseline="0"/>
                  <a:t> increase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7"/>
        <c:delete val="1"/>
      </c:legendEntry>
      <c:legendEntry>
        <c:idx val="8"/>
        <c:delete val="1"/>
      </c:legendEntry>
      <c:layout>
        <c:manualLayout>
          <c:xMode val="edge"/>
          <c:yMode val="edge"/>
          <c:x val="0"/>
          <c:y val="0.90596842778897335"/>
          <c:w val="0.99757747238268935"/>
          <c:h val="9.40315914166993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3110.280702800706</c:v>
                </c:pt>
                <c:pt idx="25">
                  <c:v>3421.308773080777</c:v>
                </c:pt>
                <c:pt idx="26">
                  <c:v>3763.4396503888552</c:v>
                </c:pt>
                <c:pt idx="27">
                  <c:v>4139.7836154277411</c:v>
                </c:pt>
                <c:pt idx="28">
                  <c:v>4553.7619769705152</c:v>
                </c:pt>
                <c:pt idx="29">
                  <c:v>5009.1381746675679</c:v>
                </c:pt>
                <c:pt idx="30">
                  <c:v>5510.0519921343248</c:v>
                </c:pt>
                <c:pt idx="31">
                  <c:v>6061.0571913477579</c:v>
                </c:pt>
                <c:pt idx="32">
                  <c:v>6667.1629104825352</c:v>
                </c:pt>
                <c:pt idx="33">
                  <c:v>7333.879201530789</c:v>
                </c:pt>
                <c:pt idx="34">
                  <c:v>8067.2671216838689</c:v>
                </c:pt>
                <c:pt idx="35">
                  <c:v>8873.9938338522552</c:v>
                </c:pt>
                <c:pt idx="36">
                  <c:v>9761.3932172374825</c:v>
                </c:pt>
                <c:pt idx="37">
                  <c:v>10737.532538961232</c:v>
                </c:pt>
                <c:pt idx="38">
                  <c:v>11811.285792857358</c:v>
                </c:pt>
                <c:pt idx="39">
                  <c:v>12992.414372143094</c:v>
                </c:pt>
                <c:pt idx="40">
                  <c:v>14291.655809357404</c:v>
                </c:pt>
                <c:pt idx="41">
                  <c:v>15720.821390293146</c:v>
                </c:pt>
                <c:pt idx="42">
                  <c:v>17292.903529322459</c:v>
                </c:pt>
                <c:pt idx="43">
                  <c:v>19022.193882254709</c:v>
                </c:pt>
                <c:pt idx="44">
                  <c:v>20924.413270480178</c:v>
                </c:pt>
                <c:pt idx="45">
                  <c:v>23016.854597528196</c:v>
                </c:pt>
                <c:pt idx="46">
                  <c:v>25318.540057281021</c:v>
                </c:pt>
                <c:pt idx="47">
                  <c:v>27850.394063009124</c:v>
                </c:pt>
                <c:pt idx="48">
                  <c:v>30635.433469310035</c:v>
                </c:pt>
                <c:pt idx="49">
                  <c:v>33698.97681624104</c:v>
                </c:pt>
                <c:pt idx="50">
                  <c:v>37068.874497865152</c:v>
                </c:pt>
                <c:pt idx="51">
                  <c:v>40775.76194765167</c:v>
                </c:pt>
                <c:pt idx="52">
                  <c:v>44853.33814241684</c:v>
                </c:pt>
                <c:pt idx="53">
                  <c:v>49338.671956658531</c:v>
                </c:pt>
                <c:pt idx="54">
                  <c:v>54272.539152324389</c:v>
                </c:pt>
                <c:pt idx="55">
                  <c:v>59699.793067556835</c:v>
                </c:pt>
                <c:pt idx="56">
                  <c:v>65669.772374312524</c:v>
                </c:pt>
                <c:pt idx="57">
                  <c:v>72236.749611743784</c:v>
                </c:pt>
                <c:pt idx="58">
                  <c:v>79460.424572918157</c:v>
                </c:pt>
                <c:pt idx="59">
                  <c:v>87406.467030209984</c:v>
                </c:pt>
                <c:pt idx="60">
                  <c:v>96147.113733230988</c:v>
                </c:pt>
                <c:pt idx="61">
                  <c:v>105761.8251065541</c:v>
                </c:pt>
                <c:pt idx="62">
                  <c:v>116338.00761720951</c:v>
                </c:pt>
                <c:pt idx="63">
                  <c:v>127971.80837893047</c:v>
                </c:pt>
                <c:pt idx="64">
                  <c:v>140768.98921682354</c:v>
                </c:pt>
                <c:pt idx="65">
                  <c:v>154845.88813850589</c:v>
                </c:pt>
                <c:pt idx="66">
                  <c:v>170330.47695235652</c:v>
                </c:pt>
                <c:pt idx="67">
                  <c:v>187363.52464759219</c:v>
                </c:pt>
                <c:pt idx="68">
                  <c:v>206099.87711235142</c:v>
                </c:pt>
                <c:pt idx="69">
                  <c:v>226709.86482358657</c:v>
                </c:pt>
                <c:pt idx="70">
                  <c:v>249380.85130594525</c:v>
                </c:pt>
                <c:pt idx="71">
                  <c:v>274318.93643653975</c:v>
                </c:pt>
                <c:pt idx="72">
                  <c:v>301750.83008019376</c:v>
                </c:pt>
                <c:pt idx="73">
                  <c:v>331925.91308821313</c:v>
                </c:pt>
                <c:pt idx="74">
                  <c:v>365118.50439703447</c:v>
                </c:pt>
                <c:pt idx="75">
                  <c:v>401630.35483673791</c:v>
                </c:pt>
                <c:pt idx="76">
                  <c:v>441793.39032041177</c:v>
                </c:pt>
                <c:pt idx="77">
                  <c:v>485972.72935245303</c:v>
                </c:pt>
                <c:pt idx="78">
                  <c:v>534570.00228769833</c:v>
                </c:pt>
                <c:pt idx="79">
                  <c:v>588027.00251646829</c:v>
                </c:pt>
                <c:pt idx="80">
                  <c:v>646829.70276811509</c:v>
                </c:pt>
                <c:pt idx="81">
                  <c:v>711512.67304492672</c:v>
                </c:pt>
                <c:pt idx="82">
                  <c:v>782663.94034941948</c:v>
                </c:pt>
                <c:pt idx="83">
                  <c:v>860930.33438436151</c:v>
                </c:pt>
                <c:pt idx="84">
                  <c:v>947023.36782279774</c:v>
                </c:pt>
                <c:pt idx="85">
                  <c:v>1041725.7046050776</c:v>
                </c:pt>
                <c:pt idx="86">
                  <c:v>1145898.2750655855</c:v>
                </c:pt>
                <c:pt idx="87">
                  <c:v>1260488.102572144</c:v>
                </c:pt>
                <c:pt idx="88">
                  <c:v>1386536.9128293586</c:v>
                </c:pt>
                <c:pt idx="89">
                  <c:v>1525190.6041122947</c:v>
                </c:pt>
                <c:pt idx="90">
                  <c:v>1677709.6645235242</c:v>
                </c:pt>
                <c:pt idx="91">
                  <c:v>1845480.6309758769</c:v>
                </c:pt>
                <c:pt idx="92">
                  <c:v>2030028.6940734647</c:v>
                </c:pt>
                <c:pt idx="93">
                  <c:v>2233031.5634808117</c:v>
                </c:pt>
                <c:pt idx="94">
                  <c:v>2456334.7198288925</c:v>
                </c:pt>
                <c:pt idx="95">
                  <c:v>2701968.1918117823</c:v>
                </c:pt>
                <c:pt idx="96">
                  <c:v>2972165.0109929605</c:v>
                </c:pt>
                <c:pt idx="97">
                  <c:v>3269381.5120922569</c:v>
                </c:pt>
                <c:pt idx="98">
                  <c:v>3596319.6633014828</c:v>
                </c:pt>
                <c:pt idx="99">
                  <c:v>3955951.6296316315</c:v>
                </c:pt>
                <c:pt idx="100">
                  <c:v>4351546.7925947951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3534.4098895462571</c:v>
                </c:pt>
                <c:pt idx="25">
                  <c:v>4418.0123619328215</c:v>
                </c:pt>
                <c:pt idx="26">
                  <c:v>5522.5154524160262</c:v>
                </c:pt>
                <c:pt idx="27">
                  <c:v>6903.1443155200332</c:v>
                </c:pt>
                <c:pt idx="28">
                  <c:v>8628.9303944000403</c:v>
                </c:pt>
                <c:pt idx="29">
                  <c:v>10786.162993000051</c:v>
                </c:pt>
                <c:pt idx="30">
                  <c:v>13482.703741250065</c:v>
                </c:pt>
                <c:pt idx="31">
                  <c:v>16853.379676562581</c:v>
                </c:pt>
                <c:pt idx="32">
                  <c:v>21066.724595703225</c:v>
                </c:pt>
                <c:pt idx="33">
                  <c:v>26333.405744629032</c:v>
                </c:pt>
                <c:pt idx="34">
                  <c:v>32916.757180786291</c:v>
                </c:pt>
                <c:pt idx="35">
                  <c:v>41145.946475982862</c:v>
                </c:pt>
                <c:pt idx="36">
                  <c:v>51432.43309497858</c:v>
                </c:pt>
                <c:pt idx="37">
                  <c:v>64290.541368723221</c:v>
                </c:pt>
                <c:pt idx="38">
                  <c:v>80363.176710904023</c:v>
                </c:pt>
                <c:pt idx="39">
                  <c:v>100453.97088863004</c:v>
                </c:pt>
                <c:pt idx="40">
                  <c:v>125567.46361078756</c:v>
                </c:pt>
                <c:pt idx="41">
                  <c:v>156959.32951348444</c:v>
                </c:pt>
                <c:pt idx="42">
                  <c:v>196199.16189185553</c:v>
                </c:pt>
                <c:pt idx="43">
                  <c:v>245248.95236481942</c:v>
                </c:pt>
                <c:pt idx="44">
                  <c:v>306561.19045602431</c:v>
                </c:pt>
                <c:pt idx="45">
                  <c:v>383201.48807003041</c:v>
                </c:pt>
                <c:pt idx="46">
                  <c:v>479001.86008753796</c:v>
                </c:pt>
                <c:pt idx="47">
                  <c:v>598752.32510942244</c:v>
                </c:pt>
                <c:pt idx="48">
                  <c:v>748440.40638677811</c:v>
                </c:pt>
                <c:pt idx="49">
                  <c:v>935550.50798347255</c:v>
                </c:pt>
                <c:pt idx="50">
                  <c:v>1169438.1349793407</c:v>
                </c:pt>
                <c:pt idx="51">
                  <c:v>1461797.6687241758</c:v>
                </c:pt>
                <c:pt idx="52">
                  <c:v>1827247.0859052197</c:v>
                </c:pt>
                <c:pt idx="53">
                  <c:v>2284058.8573815245</c:v>
                </c:pt>
                <c:pt idx="54">
                  <c:v>2855073.5717269056</c:v>
                </c:pt>
                <c:pt idx="55">
                  <c:v>3568841.9646586319</c:v>
                </c:pt>
                <c:pt idx="56">
                  <c:v>4461052.4558232902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3958.5390762918078</c:v>
                </c:pt>
                <c:pt idx="25">
                  <c:v>5541.9547068085303</c:v>
                </c:pt>
                <c:pt idx="26">
                  <c:v>7758.7365895319408</c:v>
                </c:pt>
                <c:pt idx="27">
                  <c:v>10862.231225344716</c:v>
                </c:pt>
                <c:pt idx="28">
                  <c:v>15207.123715482601</c:v>
                </c:pt>
                <c:pt idx="29">
                  <c:v>21289.973201675639</c:v>
                </c:pt>
                <c:pt idx="30">
                  <c:v>29805.962482345891</c:v>
                </c:pt>
                <c:pt idx="31">
                  <c:v>41728.347475284245</c:v>
                </c:pt>
                <c:pt idx="32">
                  <c:v>58419.686465397943</c:v>
                </c:pt>
                <c:pt idx="33">
                  <c:v>81787.561051557102</c:v>
                </c:pt>
                <c:pt idx="34">
                  <c:v>114502.58547217994</c:v>
                </c:pt>
                <c:pt idx="35">
                  <c:v>160303.61966105193</c:v>
                </c:pt>
                <c:pt idx="36">
                  <c:v>224425.0675254727</c:v>
                </c:pt>
                <c:pt idx="37">
                  <c:v>314195.09453566174</c:v>
                </c:pt>
                <c:pt idx="38">
                  <c:v>439873.1323499264</c:v>
                </c:pt>
                <c:pt idx="39">
                  <c:v>615822.38528989686</c:v>
                </c:pt>
                <c:pt idx="40">
                  <c:v>862151.33940585551</c:v>
                </c:pt>
                <c:pt idx="41">
                  <c:v>1207011.8751681976</c:v>
                </c:pt>
                <c:pt idx="42">
                  <c:v>1689816.6252354765</c:v>
                </c:pt>
                <c:pt idx="43">
                  <c:v>2365743.2753296667</c:v>
                </c:pt>
                <c:pt idx="44">
                  <c:v>3312040.5854615336</c:v>
                </c:pt>
                <c:pt idx="45">
                  <c:v>4636856.8196461471</c:v>
                </c:pt>
                <c:pt idx="46">
                  <c:v>4773393.3520086836</c:v>
                </c:pt>
                <c:pt idx="47">
                  <c:v>4773393.3520086836</c:v>
                </c:pt>
                <c:pt idx="48">
                  <c:v>4773393.3520086836</c:v>
                </c:pt>
                <c:pt idx="49">
                  <c:v>4773393.3520086836</c:v>
                </c:pt>
                <c:pt idx="50">
                  <c:v>4773393.3520086836</c:v>
                </c:pt>
                <c:pt idx="51">
                  <c:v>4773393.3520086836</c:v>
                </c:pt>
                <c:pt idx="52">
                  <c:v>4773393.3520086836</c:v>
                </c:pt>
                <c:pt idx="53">
                  <c:v>4773393.3520086836</c:v>
                </c:pt>
                <c:pt idx="54">
                  <c:v>4773393.3520086836</c:v>
                </c:pt>
                <c:pt idx="55">
                  <c:v>4773393.3520086836</c:v>
                </c:pt>
                <c:pt idx="56">
                  <c:v>4773393.3520086836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4.2541986736008397</c:v>
                </c:pt>
                <c:pt idx="1">
                  <c:v>5.3718271386993655</c:v>
                </c:pt>
                <c:pt idx="2">
                  <c:v>7.7873467245574695</c:v>
                </c:pt>
                <c:pt idx="3">
                  <c:v>9.337605563242521</c:v>
                </c:pt>
                <c:pt idx="4">
                  <c:v>14.276802328355361</c:v>
                </c:pt>
                <c:pt idx="5">
                  <c:v>18.314685815162935</c:v>
                </c:pt>
                <c:pt idx="6">
                  <c:v>20.622047807624408</c:v>
                </c:pt>
                <c:pt idx="7">
                  <c:v>33.961484326542298</c:v>
                </c:pt>
                <c:pt idx="8">
                  <c:v>45.281979102056397</c:v>
                </c:pt>
                <c:pt idx="9">
                  <c:v>58.909835870031962</c:v>
                </c:pt>
                <c:pt idx="10">
                  <c:v>77.260574216327115</c:v>
                </c:pt>
                <c:pt idx="11">
                  <c:v>88.256596211651313</c:v>
                </c:pt>
                <c:pt idx="12">
                  <c:v>117.78361920893173</c:v>
                </c:pt>
                <c:pt idx="13">
                  <c:v>154.12457059019991</c:v>
                </c:pt>
                <c:pt idx="14">
                  <c:v>217.10834247817166</c:v>
                </c:pt>
                <c:pt idx="15">
                  <c:v>257.52322987737966</c:v>
                </c:pt>
                <c:pt idx="16">
                  <c:v>463.92397060928477</c:v>
                </c:pt>
                <c:pt idx="17">
                  <c:v>657.27369507132971</c:v>
                </c:pt>
                <c:pt idx="18">
                  <c:v>860.97049596831903</c:v>
                </c:pt>
                <c:pt idx="19">
                  <c:v>1128.4442244381887</c:v>
                </c:pt>
                <c:pt idx="20">
                  <c:v>1488.5729579178396</c:v>
                </c:pt>
                <c:pt idx="21">
                  <c:v>1816.795201345484</c:v>
                </c:pt>
                <c:pt idx="22">
                  <c:v>2221.6290734290756</c:v>
                </c:pt>
                <c:pt idx="23">
                  <c:v>2827.5279116370057</c:v>
                </c:pt>
                <c:pt idx="24">
                  <c:v>3586.6634491959599</c:v>
                </c:pt>
                <c:pt idx="25">
                  <c:v>4549.611922433869</c:v>
                </c:pt>
                <c:pt idx="26">
                  <c:v>5771.0930891474072</c:v>
                </c:pt>
                <c:pt idx="27">
                  <c:v>7320.5178840369708</c:v>
                </c:pt>
                <c:pt idx="28">
                  <c:v>9285.932710266201</c:v>
                </c:pt>
                <c:pt idx="29">
                  <c:v>11779.022695596535</c:v>
                </c:pt>
                <c:pt idx="30">
                  <c:v>14941.458224221918</c:v>
                </c:pt>
                <c:pt idx="31">
                  <c:v>18952.945387364558</c:v>
                </c:pt>
                <c:pt idx="32">
                  <c:v>24041.437821249187</c:v>
                </c:pt>
                <c:pt idx="33">
                  <c:v>30496.090222384239</c:v>
                </c:pt>
                <c:pt idx="34">
                  <c:v>38683.689626491585</c:v>
                </c:pt>
                <c:pt idx="35">
                  <c:v>49069.498162106996</c:v>
                </c:pt>
                <c:pt idx="36">
                  <c:v>62243.691672887588</c:v>
                </c:pt>
                <c:pt idx="37">
                  <c:v>78954.896589126598</c:v>
                </c:pt>
                <c:pt idx="38">
                  <c:v>100152.7307885412</c:v>
                </c:pt>
                <c:pt idx="39">
                  <c:v>127041.76584006044</c:v>
                </c:pt>
                <c:pt idx="40">
                  <c:v>161149.97704692977</c:v>
                </c:pt>
                <c:pt idx="41">
                  <c:v>204415.57097781624</c:v>
                </c:pt>
                <c:pt idx="42">
                  <c:v>259297.12447937788</c:v>
                </c:pt>
                <c:pt idx="43">
                  <c:v>328913.29384379683</c:v>
                </c:pt>
                <c:pt idx="44">
                  <c:v>417220.03313530691</c:v>
                </c:pt>
                <c:pt idx="45">
                  <c:v>529235.39214591566</c:v>
                </c:pt>
                <c:pt idx="46">
                  <c:v>671324.66817336704</c:v>
                </c:pt>
                <c:pt idx="47">
                  <c:v>851562.11543355195</c:v>
                </c:pt>
                <c:pt idx="48">
                  <c:v>1080189.7663239106</c:v>
                </c:pt>
                <c:pt idx="49">
                  <c:v>1370199.4371565622</c:v>
                </c:pt>
                <c:pt idx="50">
                  <c:v>1738070.9909643603</c:v>
                </c:pt>
                <c:pt idx="51">
                  <c:v>2204708.8093254408</c:v>
                </c:pt>
                <c:pt idx="52">
                  <c:v>2796629.6884227055</c:v>
                </c:pt>
                <c:pt idx="53">
                  <c:v>3547469.6617918713</c:v>
                </c:pt>
                <c:pt idx="54">
                  <c:v>4499895.3752906034</c:v>
                </c:pt>
                <c:pt idx="55">
                  <c:v>4773393.3520086836</c:v>
                </c:pt>
                <c:pt idx="56">
                  <c:v>4773393.3520086836</c:v>
                </c:pt>
                <c:pt idx="57">
                  <c:v>4773393.3520086836</c:v>
                </c:pt>
                <c:pt idx="58">
                  <c:v>4773393.3520086836</c:v>
                </c:pt>
                <c:pt idx="59">
                  <c:v>4773393.3520086836</c:v>
                </c:pt>
                <c:pt idx="60">
                  <c:v>4773393.3520086836</c:v>
                </c:pt>
                <c:pt idx="61">
                  <c:v>4773393.3520086836</c:v>
                </c:pt>
                <c:pt idx="62">
                  <c:v>4773393.3520086836</c:v>
                </c:pt>
                <c:pt idx="63">
                  <c:v>4773393.3520086836</c:v>
                </c:pt>
                <c:pt idx="64">
                  <c:v>4773393.3520086836</c:v>
                </c:pt>
                <c:pt idx="65">
                  <c:v>4773393.3520086836</c:v>
                </c:pt>
                <c:pt idx="66">
                  <c:v>4773393.3520086836</c:v>
                </c:pt>
                <c:pt idx="67">
                  <c:v>4773393.3520086836</c:v>
                </c:pt>
                <c:pt idx="68">
                  <c:v>4773393.3520086836</c:v>
                </c:pt>
                <c:pt idx="69">
                  <c:v>4773393.3520086836</c:v>
                </c:pt>
                <c:pt idx="70">
                  <c:v>4773393.3520086836</c:v>
                </c:pt>
                <c:pt idx="71">
                  <c:v>4773393.3520086836</c:v>
                </c:pt>
                <c:pt idx="72">
                  <c:v>4773393.3520086836</c:v>
                </c:pt>
                <c:pt idx="73">
                  <c:v>4773393.3520086836</c:v>
                </c:pt>
                <c:pt idx="74">
                  <c:v>4773393.3520086836</c:v>
                </c:pt>
                <c:pt idx="75">
                  <c:v>4773393.3520086836</c:v>
                </c:pt>
                <c:pt idx="76">
                  <c:v>4773393.3520086836</c:v>
                </c:pt>
                <c:pt idx="77">
                  <c:v>4773393.3520086836</c:v>
                </c:pt>
                <c:pt idx="78">
                  <c:v>4773393.3520086836</c:v>
                </c:pt>
                <c:pt idx="79">
                  <c:v>4773393.3520086836</c:v>
                </c:pt>
                <c:pt idx="80">
                  <c:v>4773393.3520086836</c:v>
                </c:pt>
                <c:pt idx="81">
                  <c:v>4773393.3520086836</c:v>
                </c:pt>
                <c:pt idx="82">
                  <c:v>4773393.3520086836</c:v>
                </c:pt>
                <c:pt idx="83">
                  <c:v>4773393.3520086836</c:v>
                </c:pt>
                <c:pt idx="84">
                  <c:v>4773393.3520086836</c:v>
                </c:pt>
                <c:pt idx="85">
                  <c:v>4773393.3520086836</c:v>
                </c:pt>
                <c:pt idx="86">
                  <c:v>4773393.3520086836</c:v>
                </c:pt>
                <c:pt idx="87">
                  <c:v>4773393.3520086836</c:v>
                </c:pt>
                <c:pt idx="88">
                  <c:v>4773393.3520086836</c:v>
                </c:pt>
                <c:pt idx="89">
                  <c:v>4773393.3520086836</c:v>
                </c:pt>
                <c:pt idx="90">
                  <c:v>4773393.3520086836</c:v>
                </c:pt>
                <c:pt idx="91">
                  <c:v>4773393.3520086836</c:v>
                </c:pt>
                <c:pt idx="92">
                  <c:v>4773393.3520086836</c:v>
                </c:pt>
                <c:pt idx="93">
                  <c:v>4773393.3520086836</c:v>
                </c:pt>
                <c:pt idx="94">
                  <c:v>4773393.3520086836</c:v>
                </c:pt>
                <c:pt idx="95">
                  <c:v>4773393.3520086836</c:v>
                </c:pt>
                <c:pt idx="96">
                  <c:v>4773393.3520086836</c:v>
                </c:pt>
                <c:pt idx="97">
                  <c:v>4773393.3520086836</c:v>
                </c:pt>
                <c:pt idx="98">
                  <c:v>4773393.3520086836</c:v>
                </c:pt>
                <c:pt idx="99">
                  <c:v>4773393.3520086836</c:v>
                </c:pt>
                <c:pt idx="100">
                  <c:v>4773393.3520086836</c:v>
                </c:pt>
                <c:pt idx="101">
                  <c:v>4773393.3520086836</c:v>
                </c:pt>
                <c:pt idx="102">
                  <c:v>4773393.3520086836</c:v>
                </c:pt>
                <c:pt idx="103">
                  <c:v>4773393.3520086836</c:v>
                </c:pt>
                <c:pt idx="104">
                  <c:v>4773393.3520086836</c:v>
                </c:pt>
                <c:pt idx="105">
                  <c:v>4773393.3520086836</c:v>
                </c:pt>
                <c:pt idx="106">
                  <c:v>4773393.3520086836</c:v>
                </c:pt>
                <c:pt idx="107">
                  <c:v>4773393.3520086836</c:v>
                </c:pt>
                <c:pt idx="108">
                  <c:v>4773393.3520086836</c:v>
                </c:pt>
                <c:pt idx="109">
                  <c:v>4773393.3520086836</c:v>
                </c:pt>
                <c:pt idx="110">
                  <c:v>4773393.3520086836</c:v>
                </c:pt>
                <c:pt idx="111">
                  <c:v>4773393.3520086836</c:v>
                </c:pt>
                <c:pt idx="112">
                  <c:v>4773393.3520086836</c:v>
                </c:pt>
                <c:pt idx="113">
                  <c:v>4773393.3520086836</c:v>
                </c:pt>
                <c:pt idx="114">
                  <c:v>4773393.3520086836</c:v>
                </c:pt>
                <c:pt idx="115">
                  <c:v>4773393.3520086836</c:v>
                </c:pt>
                <c:pt idx="116">
                  <c:v>4773393.3520086836</c:v>
                </c:pt>
                <c:pt idx="117">
                  <c:v>4773393.3520086836</c:v>
                </c:pt>
                <c:pt idx="118">
                  <c:v>4773393.3520086836</c:v>
                </c:pt>
                <c:pt idx="119">
                  <c:v>4773393.3520086836</c:v>
                </c:pt>
                <c:pt idx="120">
                  <c:v>4773393.3520086836</c:v>
                </c:pt>
                <c:pt idx="121">
                  <c:v>4773393.3520086836</c:v>
                </c:pt>
                <c:pt idx="122">
                  <c:v>4773393.3520086836</c:v>
                </c:pt>
                <c:pt idx="123">
                  <c:v>4773393.3520086836</c:v>
                </c:pt>
                <c:pt idx="124">
                  <c:v>4773393.3520086836</c:v>
                </c:pt>
                <c:pt idx="125">
                  <c:v>4773393.3520086836</c:v>
                </c:pt>
                <c:pt idx="126">
                  <c:v>4773393.3520086836</c:v>
                </c:pt>
                <c:pt idx="127">
                  <c:v>4773393.3520086836</c:v>
                </c:pt>
                <c:pt idx="128">
                  <c:v>4773393.3520086836</c:v>
                </c:pt>
                <c:pt idx="129">
                  <c:v>4773393.3520086836</c:v>
                </c:pt>
                <c:pt idx="130">
                  <c:v>4773393.3520086836</c:v>
                </c:pt>
                <c:pt idx="131">
                  <c:v>4773393.3520086836</c:v>
                </c:pt>
                <c:pt idx="132">
                  <c:v>4773393.3520086836</c:v>
                </c:pt>
                <c:pt idx="133">
                  <c:v>4773393.3520086836</c:v>
                </c:pt>
                <c:pt idx="134">
                  <c:v>4773393.3520086836</c:v>
                </c:pt>
                <c:pt idx="135">
                  <c:v>4773393.3520086836</c:v>
                </c:pt>
                <c:pt idx="136">
                  <c:v>4773393.3520086836</c:v>
                </c:pt>
                <c:pt idx="137">
                  <c:v>4773393.3520086836</c:v>
                </c:pt>
                <c:pt idx="138">
                  <c:v>4773393.3520086836</c:v>
                </c:pt>
                <c:pt idx="139">
                  <c:v>4773393.3520086836</c:v>
                </c:pt>
                <c:pt idx="140">
                  <c:v>4773393.3520086836</c:v>
                </c:pt>
                <c:pt idx="141">
                  <c:v>4773393.3520086836</c:v>
                </c:pt>
                <c:pt idx="142">
                  <c:v>4773393.3520086836</c:v>
                </c:pt>
                <c:pt idx="143">
                  <c:v>4773393.3520086836</c:v>
                </c:pt>
                <c:pt idx="144">
                  <c:v>4773393.3520086836</c:v>
                </c:pt>
                <c:pt idx="145">
                  <c:v>4773393.3520086836</c:v>
                </c:pt>
                <c:pt idx="146">
                  <c:v>4773393.3520086836</c:v>
                </c:pt>
                <c:pt idx="147">
                  <c:v>4773393.3520086836</c:v>
                </c:pt>
                <c:pt idx="148">
                  <c:v>4773393.3520086836</c:v>
                </c:pt>
                <c:pt idx="149">
                  <c:v>4773393.3520086836</c:v>
                </c:pt>
                <c:pt idx="150">
                  <c:v>4773393.3520086836</c:v>
                </c:pt>
                <c:pt idx="151">
                  <c:v>4773393.3520086836</c:v>
                </c:pt>
                <c:pt idx="152">
                  <c:v>4773393.3520086836</c:v>
                </c:pt>
                <c:pt idx="153">
                  <c:v>4773393.3520086836</c:v>
                </c:pt>
                <c:pt idx="154">
                  <c:v>4773393.3520086836</c:v>
                </c:pt>
                <c:pt idx="155">
                  <c:v>4773393.3520086836</c:v>
                </c:pt>
                <c:pt idx="156">
                  <c:v>4773393.3520086836</c:v>
                </c:pt>
                <c:pt idx="157">
                  <c:v>4773393.3520086836</c:v>
                </c:pt>
                <c:pt idx="158">
                  <c:v>4773393.3520086836</c:v>
                </c:pt>
                <c:pt idx="159">
                  <c:v>4773393.3520086836</c:v>
                </c:pt>
                <c:pt idx="160">
                  <c:v>4773393.3520086836</c:v>
                </c:pt>
                <c:pt idx="161">
                  <c:v>4773393.3520086836</c:v>
                </c:pt>
                <c:pt idx="162">
                  <c:v>4773393.3520086836</c:v>
                </c:pt>
                <c:pt idx="163">
                  <c:v>4773393.3520086836</c:v>
                </c:pt>
                <c:pt idx="164">
                  <c:v>4773393.3520086836</c:v>
                </c:pt>
                <c:pt idx="165">
                  <c:v>4773393.3520086836</c:v>
                </c:pt>
                <c:pt idx="166">
                  <c:v>4773393.3520086836</c:v>
                </c:pt>
                <c:pt idx="167">
                  <c:v>4773393.3520086836</c:v>
                </c:pt>
                <c:pt idx="168">
                  <c:v>4773393.3520086836</c:v>
                </c:pt>
                <c:pt idx="169">
                  <c:v>4773393.3520086836</c:v>
                </c:pt>
                <c:pt idx="170">
                  <c:v>4773393.3520086836</c:v>
                </c:pt>
                <c:pt idx="171">
                  <c:v>4773393.3520086836</c:v>
                </c:pt>
                <c:pt idx="172">
                  <c:v>4773393.3520086836</c:v>
                </c:pt>
                <c:pt idx="173">
                  <c:v>4773393.3520086836</c:v>
                </c:pt>
                <c:pt idx="174">
                  <c:v>4773393.3520086836</c:v>
                </c:pt>
                <c:pt idx="175">
                  <c:v>4773393.3520086836</c:v>
                </c:pt>
                <c:pt idx="176">
                  <c:v>4773393.3520086836</c:v>
                </c:pt>
                <c:pt idx="177">
                  <c:v>4773393.3520086836</c:v>
                </c:pt>
                <c:pt idx="178">
                  <c:v>4773393.3520086836</c:v>
                </c:pt>
                <c:pt idx="179">
                  <c:v>4773393.3520086836</c:v>
                </c:pt>
                <c:pt idx="180">
                  <c:v>4773393.3520086836</c:v>
                </c:pt>
                <c:pt idx="181">
                  <c:v>4773393.3520086836</c:v>
                </c:pt>
                <c:pt idx="182">
                  <c:v>4773393.3520086836</c:v>
                </c:pt>
                <c:pt idx="183">
                  <c:v>4773393.3520086836</c:v>
                </c:pt>
                <c:pt idx="184">
                  <c:v>4773393.3520086836</c:v>
                </c:pt>
                <c:pt idx="185">
                  <c:v>4773393.3520086836</c:v>
                </c:pt>
                <c:pt idx="186">
                  <c:v>4773393.3520086836</c:v>
                </c:pt>
                <c:pt idx="187">
                  <c:v>4773393.3520086836</c:v>
                </c:pt>
                <c:pt idx="188">
                  <c:v>4773393.3520086836</c:v>
                </c:pt>
                <c:pt idx="189">
                  <c:v>4773393.3520086836</c:v>
                </c:pt>
                <c:pt idx="190">
                  <c:v>4773393.3520086836</c:v>
                </c:pt>
                <c:pt idx="191">
                  <c:v>4773393.3520086836</c:v>
                </c:pt>
                <c:pt idx="192">
                  <c:v>4773393.3520086836</c:v>
                </c:pt>
                <c:pt idx="193">
                  <c:v>4773393.3520086836</c:v>
                </c:pt>
                <c:pt idx="194">
                  <c:v>4773393.3520086836</c:v>
                </c:pt>
                <c:pt idx="195">
                  <c:v>4773393.3520086836</c:v>
                </c:pt>
                <c:pt idx="196">
                  <c:v>4773393.3520086836</c:v>
                </c:pt>
                <c:pt idx="197">
                  <c:v>4773393.3520086836</c:v>
                </c:pt>
                <c:pt idx="198">
                  <c:v>4773393.3520086836</c:v>
                </c:pt>
                <c:pt idx="199">
                  <c:v>4773393.3520086836</c:v>
                </c:pt>
                <c:pt idx="200">
                  <c:v>4773393.3520086836</c:v>
                </c:pt>
                <c:pt idx="201">
                  <c:v>4773393.3520086836</c:v>
                </c:pt>
                <c:pt idx="202">
                  <c:v>4773393.3520086836</c:v>
                </c:pt>
                <c:pt idx="203">
                  <c:v>4773393.3520086836</c:v>
                </c:pt>
                <c:pt idx="204">
                  <c:v>4773393.3520086836</c:v>
                </c:pt>
                <c:pt idx="205">
                  <c:v>4773393.3520086836</c:v>
                </c:pt>
                <c:pt idx="206">
                  <c:v>4773393.3520086836</c:v>
                </c:pt>
                <c:pt idx="207">
                  <c:v>4773393.3520086836</c:v>
                </c:pt>
                <c:pt idx="208">
                  <c:v>4773393.3520086836</c:v>
                </c:pt>
                <c:pt idx="209">
                  <c:v>4773393.3520086836</c:v>
                </c:pt>
                <c:pt idx="210">
                  <c:v>4773393.3520086836</c:v>
                </c:pt>
                <c:pt idx="211">
                  <c:v>4773393.3520086836</c:v>
                </c:pt>
                <c:pt idx="212">
                  <c:v>4773393.3520086836</c:v>
                </c:pt>
                <c:pt idx="213">
                  <c:v>4773393.3520086836</c:v>
                </c:pt>
                <c:pt idx="214">
                  <c:v>4773393.3520086836</c:v>
                </c:pt>
                <c:pt idx="215">
                  <c:v>4773393.3520086836</c:v>
                </c:pt>
                <c:pt idx="216">
                  <c:v>4773393.3520086836</c:v>
                </c:pt>
                <c:pt idx="217">
                  <c:v>4773393.3520086836</c:v>
                </c:pt>
                <c:pt idx="218">
                  <c:v>4773393.3520086836</c:v>
                </c:pt>
                <c:pt idx="219">
                  <c:v>4773393.3520086836</c:v>
                </c:pt>
                <c:pt idx="220">
                  <c:v>4773393.3520086836</c:v>
                </c:pt>
                <c:pt idx="221">
                  <c:v>4773393.3520086836</c:v>
                </c:pt>
                <c:pt idx="222">
                  <c:v>4773393.3520086836</c:v>
                </c:pt>
                <c:pt idx="223">
                  <c:v>4773393.3520086836</c:v>
                </c:pt>
                <c:pt idx="224">
                  <c:v>4773393.3520086836</c:v>
                </c:pt>
                <c:pt idx="225">
                  <c:v>4773393.3520086836</c:v>
                </c:pt>
                <c:pt idx="226">
                  <c:v>4773393.3520086836</c:v>
                </c:pt>
                <c:pt idx="227">
                  <c:v>4773393.3520086836</c:v>
                </c:pt>
                <c:pt idx="228">
                  <c:v>4773393.3520086836</c:v>
                </c:pt>
                <c:pt idx="229">
                  <c:v>4773393.3520086836</c:v>
                </c:pt>
                <c:pt idx="230">
                  <c:v>4773393.3520086836</c:v>
                </c:pt>
                <c:pt idx="231">
                  <c:v>4773393.3520086836</c:v>
                </c:pt>
                <c:pt idx="232">
                  <c:v>4773393.3520086836</c:v>
                </c:pt>
                <c:pt idx="233">
                  <c:v>4773393.3520086836</c:v>
                </c:pt>
                <c:pt idx="234">
                  <c:v>4773393.3520086836</c:v>
                </c:pt>
                <c:pt idx="235">
                  <c:v>4773393.3520086836</c:v>
                </c:pt>
                <c:pt idx="236">
                  <c:v>4773393.3520086836</c:v>
                </c:pt>
                <c:pt idx="237">
                  <c:v>4773393.3520086836</c:v>
                </c:pt>
                <c:pt idx="238">
                  <c:v>4773393.3520086836</c:v>
                </c:pt>
                <c:pt idx="239">
                  <c:v>4773393.3520086836</c:v>
                </c:pt>
                <c:pt idx="240">
                  <c:v>4773393.3520086836</c:v>
                </c:pt>
                <c:pt idx="241">
                  <c:v>4773393.3520086836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1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35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18432.3448836898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548</c:v>
                </c:pt>
                <c:pt idx="5">
                  <c:v>643</c:v>
                </c:pt>
                <c:pt idx="6">
                  <c:v>920</c:v>
                </c:pt>
                <c:pt idx="7">
                  <c:v>1406</c:v>
                </c:pt>
                <c:pt idx="8">
                  <c:v>2075</c:v>
                </c:pt>
                <c:pt idx="9">
                  <c:v>2877</c:v>
                </c:pt>
                <c:pt idx="10">
                  <c:v>5509</c:v>
                </c:pt>
                <c:pt idx="11">
                  <c:v>6087</c:v>
                </c:pt>
                <c:pt idx="12">
                  <c:v>8141</c:v>
                </c:pt>
                <c:pt idx="13">
                  <c:v>9802</c:v>
                </c:pt>
                <c:pt idx="14">
                  <c:v>11891</c:v>
                </c:pt>
                <c:pt idx="15">
                  <c:v>16630</c:v>
                </c:pt>
                <c:pt idx="16">
                  <c:v>19716</c:v>
                </c:pt>
                <c:pt idx="17">
                  <c:v>23707</c:v>
                </c:pt>
                <c:pt idx="18">
                  <c:v>27440</c:v>
                </c:pt>
                <c:pt idx="19">
                  <c:v>30587</c:v>
                </c:pt>
                <c:pt idx="20">
                  <c:v>34110</c:v>
                </c:pt>
                <c:pt idx="21">
                  <c:v>36814</c:v>
                </c:pt>
                <c:pt idx="22">
                  <c:v>39829</c:v>
                </c:pt>
                <c:pt idx="23">
                  <c:v>42354</c:v>
                </c:pt>
                <c:pt idx="24">
                  <c:v>44386</c:v>
                </c:pt>
                <c:pt idx="25">
                  <c:v>44759</c:v>
                </c:pt>
                <c:pt idx="26">
                  <c:v>59895</c:v>
                </c:pt>
                <c:pt idx="27">
                  <c:v>66358</c:v>
                </c:pt>
                <c:pt idx="28">
                  <c:v>68413</c:v>
                </c:pt>
                <c:pt idx="29">
                  <c:v>70513</c:v>
                </c:pt>
                <c:pt idx="30">
                  <c:v>72434</c:v>
                </c:pt>
                <c:pt idx="31">
                  <c:v>74211</c:v>
                </c:pt>
                <c:pt idx="32">
                  <c:v>74619</c:v>
                </c:pt>
                <c:pt idx="33">
                  <c:v>75077</c:v>
                </c:pt>
                <c:pt idx="34">
                  <c:v>75550</c:v>
                </c:pt>
                <c:pt idx="35">
                  <c:v>77001</c:v>
                </c:pt>
                <c:pt idx="36">
                  <c:v>77022</c:v>
                </c:pt>
                <c:pt idx="37">
                  <c:v>77241</c:v>
                </c:pt>
                <c:pt idx="38">
                  <c:v>77754</c:v>
                </c:pt>
                <c:pt idx="39">
                  <c:v>78166</c:v>
                </c:pt>
                <c:pt idx="40">
                  <c:v>78600</c:v>
                </c:pt>
                <c:pt idx="41">
                  <c:v>78928</c:v>
                </c:pt>
                <c:pt idx="42">
                  <c:v>79356</c:v>
                </c:pt>
                <c:pt idx="43">
                  <c:v>79932</c:v>
                </c:pt>
                <c:pt idx="44">
                  <c:v>80136</c:v>
                </c:pt>
                <c:pt idx="45">
                  <c:v>80261</c:v>
                </c:pt>
                <c:pt idx="46">
                  <c:v>80386</c:v>
                </c:pt>
                <c:pt idx="47">
                  <c:v>80537</c:v>
                </c:pt>
                <c:pt idx="48">
                  <c:v>80690</c:v>
                </c:pt>
                <c:pt idx="49">
                  <c:v>80770</c:v>
                </c:pt>
                <c:pt idx="50">
                  <c:v>80823</c:v>
                </c:pt>
                <c:pt idx="51">
                  <c:v>80860</c:v>
                </c:pt>
                <c:pt idx="52">
                  <c:v>80887</c:v>
                </c:pt>
                <c:pt idx="53">
                  <c:v>80921</c:v>
                </c:pt>
                <c:pt idx="54">
                  <c:v>80932</c:v>
                </c:pt>
                <c:pt idx="55">
                  <c:v>80945</c:v>
                </c:pt>
                <c:pt idx="56">
                  <c:v>80977</c:v>
                </c:pt>
                <c:pt idx="57">
                  <c:v>81003</c:v>
                </c:pt>
                <c:pt idx="58">
                  <c:v>81033</c:v>
                </c:pt>
                <c:pt idx="59">
                  <c:v>81058</c:v>
                </c:pt>
                <c:pt idx="60">
                  <c:v>81102</c:v>
                </c:pt>
                <c:pt idx="61">
                  <c:v>81156</c:v>
                </c:pt>
                <c:pt idx="62">
                  <c:v>81250</c:v>
                </c:pt>
                <c:pt idx="63">
                  <c:v>81305</c:v>
                </c:pt>
                <c:pt idx="64">
                  <c:v>81435</c:v>
                </c:pt>
                <c:pt idx="65">
                  <c:v>81498</c:v>
                </c:pt>
                <c:pt idx="66">
                  <c:v>81591</c:v>
                </c:pt>
                <c:pt idx="67">
                  <c:v>81661</c:v>
                </c:pt>
                <c:pt idx="68">
                  <c:v>81782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2"/>
          <c:order val="10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109054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4"/>
          <c:order val="11"/>
          <c:tx>
            <c:strRef>
              <c:f>Days_Since_100!$H$15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2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3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4"/>
          <c:tx>
            <c:strRef>
              <c:f>Days_Since_100!$H$18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C00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5"/>
          <c:tx>
            <c:strRef>
              <c:f>Days_Since_100!$H$19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6"/>
          <c:tx>
            <c:strRef>
              <c:f>Days_Since_100!$H$20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7"/>
          <c:tx>
            <c:strRef>
              <c:f>Days_Since_100!$H$21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18"/>
          <c:tx>
            <c:strRef>
              <c:f>Days_Since_100!$H$22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19"/>
          <c:tx>
            <c:strRef>
              <c:f>Days_Since_100!$H$23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0"/>
          <c:tx>
            <c:strRef>
              <c:f>Days_Since_100!$H$24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1"/>
          <c:tx>
            <c:strRef>
              <c:f>Days_Since_100!$H$25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2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3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4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5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6"/>
          <c:tx>
            <c:strRef>
              <c:f>Days_Since_100!$H$30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7"/>
          <c:tx>
            <c:strRef>
              <c:f>Days_Since_100!$H$31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28"/>
          <c:tx>
            <c:strRef>
              <c:f>Days_Since_100!$H$32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29"/>
          <c:tx>
            <c:strRef>
              <c:f>Days_Since_100!$H$33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0"/>
          <c:tx>
            <c:strRef>
              <c:f>Days_Since_100!$H$34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1"/>
          <c:tx>
            <c:strRef>
              <c:f>Days_Since_100!$H$35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2"/>
          <c:tx>
            <c:strRef>
              <c:f>Days_Since_100!$H$36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3"/>
          <c:tx>
            <c:strRef>
              <c:f>Days_Since_100!$H$37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4"/>
          <c:tx>
            <c:strRef>
              <c:f>Days_Since_100!$H$38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5"/>
          <c:tx>
            <c:strRef>
              <c:f>Days_Since_100!$H$39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6"/>
          <c:tx>
            <c:strRef>
              <c:f>Days_Since_100!$H$40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7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38"/>
          <c:tx>
            <c:strRef>
              <c:f>Days_Since_100!$H$42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39"/>
          <c:tx>
            <c:strRef>
              <c:f>Days_Since_100!$H$43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0"/>
          <c:tx>
            <c:strRef>
              <c:f>Days_Since_100!$H$44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1"/>
          <c:tx>
            <c:strRef>
              <c:f>Days_Since_100!$H$45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2"/>
          <c:tx>
            <c:strRef>
              <c:f>Days_Since_100!$H$46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3"/>
          <c:tx>
            <c:strRef>
              <c:f>Days_Since_100!$H$47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4"/>
          <c:tx>
            <c:strRef>
              <c:f>Days_Since_100!$H$48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5"/>
          <c:tx>
            <c:strRef>
              <c:f>Days_Since_100!$H$49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6"/>
          <c:tx>
            <c:strRef>
              <c:f>Days_Since_100!$H$50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7"/>
          <c:tx>
            <c:strRef>
              <c:f>Days_Since_100!$H$51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48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49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0"/>
          <c:tx>
            <c:strRef>
              <c:f>Days_Since_100!$H$54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1"/>
          <c:tx>
            <c:strRef>
              <c:f>Days_Since_100!$H$55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2"/>
          <c:tx>
            <c:strRef>
              <c:f>Days_Since_100!$H$56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3"/>
          <c:tx>
            <c:strRef>
              <c:f>Days_Since_100!$H$57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4"/>
          <c:tx>
            <c:strRef>
              <c:f>Days_Since_100!$H$58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5"/>
          <c:tx>
            <c:strRef>
              <c:f>Days_Since_100!$H$59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6"/>
          <c:tx>
            <c:strRef>
              <c:f>Days_Since_100!$H$60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7"/>
          <c:tx>
            <c:strRef>
              <c:f>Days_Since_100!$H$61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58"/>
          <c:tx>
            <c:strRef>
              <c:f>Days_Since_100!$H$62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59"/>
          <c:tx>
            <c:strRef>
              <c:f>Days_Since_100!$H$63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0"/>
          <c:tx>
            <c:strRef>
              <c:f>Days_Since_100!$H$64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1"/>
          <c:tx>
            <c:strRef>
              <c:f>Days_Since_100!$H$65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2"/>
          <c:tx>
            <c:strRef>
              <c:f>Days_Since_100!$H$66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3"/>
          <c:tx>
            <c:strRef>
              <c:f>Days_Since_100!$H$67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4"/>
          <c:tx>
            <c:strRef>
              <c:f>Days_Since_100!$H$68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5"/>
          <c:tx>
            <c:strRef>
              <c:f>Days_Since_100!$H$69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6"/>
          <c:tx>
            <c:strRef>
              <c:f>Days_Since_100!$H$70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7"/>
          <c:tx>
            <c:strRef>
              <c:f>Days_Since_100!$H$71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68"/>
          <c:tx>
            <c:strRef>
              <c:f>Days_Since_100!$H$72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69"/>
          <c:tx>
            <c:strRef>
              <c:f>Days_Since_100!$H$73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0"/>
          <c:tx>
            <c:strRef>
              <c:f>Days_Since_100!$H$74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1"/>
          <c:tx>
            <c:strRef>
              <c:f>Days_Since_100!$H$75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2"/>
          <c:tx>
            <c:strRef>
              <c:f>Days_Since_100!$H$76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3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4"/>
          <c:tx>
            <c:strRef>
              <c:f>Days_Since_100!$H$78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5"/>
          <c:tx>
            <c:strRef>
              <c:f>Days_Since_100!$H$79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6"/>
          <c:tx>
            <c:strRef>
              <c:f>Days_Since_100!$H$80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7"/>
          <c:tx>
            <c:strRef>
              <c:f>Days_Since_100!$H$81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78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79"/>
          <c:tx>
            <c:strRef>
              <c:f>Days_Since_100!$H$83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0"/>
          <c:tx>
            <c:strRef>
              <c:f>Days_Since_100!$H$84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1"/>
          <c:tx>
            <c:strRef>
              <c:f>Days_Since_100!$H$85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2"/>
          <c:tx>
            <c:strRef>
              <c:f>Days_Since_100!$H$86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3"/>
          <c:tx>
            <c:strRef>
              <c:f>Days_Since_100!$H$87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4"/>
          <c:tx>
            <c:strRef>
              <c:f>Days_Since_100!$H$88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5"/>
          <c:tx>
            <c:strRef>
              <c:f>Days_Since_100!$H$89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6"/>
          <c:tx>
            <c:strRef>
              <c:f>Days_Since_100!$H$90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87"/>
          <c:tx>
            <c:strRef>
              <c:f>Days_Since_100!$H$91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88"/>
          <c:tx>
            <c:strRef>
              <c:f>Days_Since_100!$H$92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89"/>
          <c:tx>
            <c:strRef>
              <c:f>Days_Since_100!$H$93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90"/>
          <c:tx>
            <c:strRef>
              <c:f>Days_Since_100!$H$94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91"/>
          <c:tx>
            <c:strRef>
              <c:f>Days_Since_100!$H$95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92"/>
          <c:tx>
            <c:strRef>
              <c:f>Days_Since_100!$H$96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93"/>
          <c:tx>
            <c:strRef>
              <c:f>Days_Since_100!$H$97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  <c:pt idx="2">
                  <c:v>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94"/>
          <c:tx>
            <c:strRef>
              <c:f>Days_Since_100!$H$98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95"/>
          <c:tx>
            <c:strRef>
              <c:f>Days_Since_100!$H$99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96"/>
          <c:tx>
            <c:strRef>
              <c:f>Days_Since_100!$H$100</c:f>
              <c:strCache>
                <c:ptCount val="1"/>
                <c:pt idx="0">
                  <c:v>Sri Lanka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97"/>
          <c:tx>
            <c:strRef>
              <c:f>Days_Since_100!$H$101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00206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00B0F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7E6E6">
                  <a:lumMod val="75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9"/>
          <c:tx>
            <c:strRef>
              <c:f>Deaths_since_10!$H$41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40"/>
          <c:tx>
            <c:strRef>
              <c:f>Deaths_since_10!$H$42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41"/>
          <c:tx>
            <c:strRef>
              <c:f>Deaths_since_10!$H$43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42"/>
          <c:tx>
            <c:strRef>
              <c:f>Deaths_since_10!$H$44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43"/>
          <c:tx>
            <c:strRef>
              <c:f>Deaths_since_10!$H$45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44"/>
          <c:tx>
            <c:strRef>
              <c:f>Deaths_since_10!$H$46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45"/>
          <c:tx>
            <c:strRef>
              <c:f>Deaths_since_10!$H$47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46"/>
          <c:tx>
            <c:strRef>
              <c:f>Deaths_since_10!$H$48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9</c:v>
                </c:pt>
                <c:pt idx="1">
                  <c:v>10</c:v>
                </c:pt>
                <c:pt idx="2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7"/>
          <c:tx>
            <c:strRef>
              <c:f>Deaths_since_10!$H$49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8"/>
          <c:tx>
            <c:strRef>
              <c:f>Deaths_since_10!$H$50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9"/>
          <c:tx>
            <c:strRef>
              <c:f>Deaths_since_10!$H$51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50"/>
          <c:tx>
            <c:strRef>
              <c:f>Deaths_since_10!$H$52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51"/>
          <c:tx>
            <c:strRef>
              <c:f>Deaths_since_10!$H$53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52"/>
          <c:tx>
            <c:strRef>
              <c:f>Deaths_since_10!$H$54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53"/>
          <c:tx>
            <c:strRef>
              <c:f>Deaths_since_10!$H$55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54"/>
          <c:tx>
            <c:strRef>
              <c:f>Deaths_since_10!$H$56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81595754084749972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ser>
          <c:idx val="1"/>
          <c:order val="7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537-457A-B9F5-6C785DCF197D}"/>
            </c:ext>
          </c:extLst>
        </c:ser>
        <c:ser>
          <c:idx val="2"/>
          <c:order val="8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537-457A-B9F5-6C785DCF197D}"/>
            </c:ext>
          </c:extLst>
        </c:ser>
        <c:ser>
          <c:idx val="3"/>
          <c:order val="9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537-457A-B9F5-6C785DCF197D}"/>
            </c:ext>
          </c:extLst>
        </c:ser>
        <c:ser>
          <c:idx val="4"/>
          <c:order val="10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537-457A-B9F5-6C785DCF197D}"/>
            </c:ext>
          </c:extLst>
        </c:ser>
        <c:ser>
          <c:idx val="5"/>
          <c:order val="11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537-457A-B9F5-6C785DCF197D}"/>
            </c:ext>
          </c:extLst>
        </c:ser>
        <c:ser>
          <c:idx val="6"/>
          <c:order val="12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537-457A-B9F5-6C785DCF197D}"/>
            </c:ext>
          </c:extLst>
        </c:ser>
        <c:ser>
          <c:idx val="0"/>
          <c:order val="13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CumulativeConfirmed!$C$127:$BO$127</c:f>
              <c:numCache>
                <c:formatCode>General</c:formatCode>
                <c:ptCount val="65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1"/>
        <c:lblOffset val="100"/>
        <c:baseTimeUnit val="days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2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/>
            </a:solidFill>
            <a:ln>
              <a:solidFill>
                <a:srgbClr val="FF0000"/>
              </a:solidFill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CumulativeConfirmed!$C$128:$BO$128</c:f>
              <c:numCache>
                <c:formatCode>General</c:formatCode>
                <c:ptCount val="65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D-47B5-ADE8-BE9B8864125A}"/>
            </c:ext>
          </c:extLst>
        </c:ser>
        <c:ser>
          <c:idx val="3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CumulativeConfirmed!$C$129:$BO$129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CumulativeConfirmed!$C$130:$BO$130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CumulativeConfirmed!$C$131:$BO$131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CumulativeConfirmed!$C$132:$BO$132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cat>
            <c:numRef>
              <c:f>CumulativeConfirmed!$C$1:$BO$1</c:f>
              <c:numCache>
                <c:formatCode>m/d/yyyy</c:formatCode>
                <c:ptCount val="65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</c:numCache>
            </c:numRef>
          </c:cat>
          <c:val>
            <c:numRef>
              <c:f>CumulativeConfirmed!$C$133:$BO$133</c:f>
              <c:numCache>
                <c:formatCode>General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596333168160732"/>
          <c:h val="0.5828894977872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130659</xdr:colOff>
      <xdr:row>1</xdr:row>
      <xdr:rowOff>2510</xdr:rowOff>
    </xdr:from>
    <xdr:to>
      <xdr:col>20</xdr:col>
      <xdr:colOff>343646</xdr:colOff>
      <xdr:row>27</xdr:row>
      <xdr:rowOff>165651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130661</xdr:colOff>
      <xdr:row>27</xdr:row>
      <xdr:rowOff>151848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0.39791</cdr:x>
      <cdr:y>0.6948</cdr:y>
    </cdr:from>
    <cdr:to>
      <cdr:x>0.50925</cdr:x>
      <cdr:y>0.75481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4193457" y="3676177"/>
          <a:ext cx="1173372" cy="317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0.10853</cdr:x>
      <cdr:y>0.30807</cdr:y>
    </cdr:from>
    <cdr:to>
      <cdr:x>0.3063</cdr:x>
      <cdr:y>0.3759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143364" y="1641920"/>
          <a:ext cx="2083474" cy="3615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0.56686</cdr:x>
      <cdr:y>0.35973</cdr:y>
    </cdr:from>
    <cdr:to>
      <cdr:x>0.76577</cdr:x>
      <cdr:y>0.42756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971762" y="1917261"/>
          <a:ext cx="2095483" cy="361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69" zoomScaleNormal="69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US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31" t="s">
        <v>543</v>
      </c>
      <c r="X3" s="132"/>
      <c r="Y3" s="133"/>
      <c r="Z3" s="140" t="s">
        <v>38</v>
      </c>
      <c r="AA3" s="141"/>
      <c r="AB3" s="141"/>
      <c r="AC3" s="142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34"/>
      <c r="X4" s="135"/>
      <c r="Y4" s="136"/>
      <c r="Z4" s="143"/>
      <c r="AA4" s="144"/>
      <c r="AB4" s="144"/>
      <c r="AC4" s="145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37"/>
      <c r="X5" s="138"/>
      <c r="Y5" s="139"/>
      <c r="Z5" s="146"/>
      <c r="AA5" s="147"/>
      <c r="AB5" s="147"/>
      <c r="AC5" s="148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477</v>
      </c>
      <c r="C7" s="107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31" t="s">
        <v>542</v>
      </c>
      <c r="X8" s="132"/>
      <c r="Y8" s="133"/>
      <c r="Z8" s="140">
        <v>5</v>
      </c>
      <c r="AA8" s="142"/>
      <c r="AB8" s="149" t="s">
        <v>551</v>
      </c>
      <c r="AC8" s="150"/>
      <c r="AD8" s="150"/>
      <c r="AE8" s="150"/>
      <c r="AF8" s="150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34"/>
      <c r="X9" s="135"/>
      <c r="Y9" s="136"/>
      <c r="Z9" s="143"/>
      <c r="AA9" s="145"/>
      <c r="AB9" s="149"/>
      <c r="AC9" s="150"/>
      <c r="AD9" s="150"/>
      <c r="AE9" s="150"/>
      <c r="AF9" s="150"/>
    </row>
    <row r="10" spans="1:32" ht="15.6" customHeight="1" x14ac:dyDescent="0.25">
      <c r="A10" s="46"/>
      <c r="B10" s="109" t="s">
        <v>505</v>
      </c>
      <c r="C10" s="117">
        <f>Projections_Data!C4</f>
        <v>83836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37"/>
      <c r="X10" s="138"/>
      <c r="Y10" s="139"/>
      <c r="Z10" s="146"/>
      <c r="AA10" s="148"/>
      <c r="AB10" s="149"/>
      <c r="AC10" s="150"/>
      <c r="AD10" s="150"/>
      <c r="AE10" s="150"/>
      <c r="AF10" s="150"/>
    </row>
    <row r="11" spans="1:32" ht="15.6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5.6" customHeight="1" x14ac:dyDescent="0.25">
      <c r="A12" s="46"/>
      <c r="B12" s="109" t="s">
        <v>590</v>
      </c>
      <c r="C12" s="115">
        <f ca="1">Projections_Data!C6</f>
        <v>78428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5.6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59" t="s">
        <v>544</v>
      </c>
      <c r="X13" s="159"/>
      <c r="Y13" s="159"/>
      <c r="Z13" s="159"/>
      <c r="AA13" s="159"/>
    </row>
    <row r="14" spans="1:32" ht="15.6" customHeight="1" x14ac:dyDescent="0.25">
      <c r="A14" s="46"/>
      <c r="B14" s="109" t="s">
        <v>591</v>
      </c>
      <c r="C14" s="113">
        <f ca="1">Projections_Data!C7</f>
        <v>4199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59"/>
      <c r="X14" s="159"/>
      <c r="Y14" s="159"/>
      <c r="Z14" s="159"/>
      <c r="AA14" s="159"/>
    </row>
    <row r="15" spans="1:32" ht="15.6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60" t="s">
        <v>545</v>
      </c>
      <c r="X15" s="160"/>
      <c r="Y15" s="160"/>
      <c r="Z15" s="161">
        <v>0.4</v>
      </c>
      <c r="AA15" s="162"/>
    </row>
    <row r="16" spans="1:32" ht="15.6" customHeight="1" x14ac:dyDescent="0.25">
      <c r="A16" s="46"/>
      <c r="B16" s="109" t="s">
        <v>514</v>
      </c>
      <c r="C16" s="111">
        <f>Projections_Data!C8</f>
        <v>1209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60"/>
      <c r="X16" s="160"/>
      <c r="Y16" s="160"/>
      <c r="Z16" s="162"/>
      <c r="AA16" s="162"/>
    </row>
    <row r="17" spans="1:42" ht="15.6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60" t="s">
        <v>546</v>
      </c>
      <c r="X17" s="160"/>
      <c r="Y17" s="160"/>
      <c r="Z17" s="161">
        <v>0.25</v>
      </c>
      <c r="AA17" s="162"/>
    </row>
    <row r="18" spans="1:42" ht="15.6" customHeight="1" x14ac:dyDescent="0.25">
      <c r="A18" s="46"/>
      <c r="B18" s="123" t="s">
        <v>603</v>
      </c>
      <c r="C18" s="155">
        <f ca="1">Projections_Data!C11</f>
        <v>0.26848029843830989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60"/>
      <c r="X18" s="160"/>
      <c r="Y18" s="160"/>
      <c r="Z18" s="162"/>
      <c r="AA18" s="162"/>
    </row>
    <row r="19" spans="1:42" ht="15.6" customHeight="1" x14ac:dyDescent="0.25">
      <c r="A19" s="46"/>
      <c r="B19" s="124"/>
      <c r="C19" s="15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60" t="s">
        <v>547</v>
      </c>
      <c r="X19" s="160"/>
      <c r="Y19" s="160"/>
      <c r="Z19" s="161">
        <v>0.1</v>
      </c>
      <c r="AA19" s="162"/>
    </row>
    <row r="20" spans="1:42" ht="19.8" customHeight="1" x14ac:dyDescent="0.25">
      <c r="A20" s="46"/>
      <c r="B20" s="151" t="s">
        <v>507</v>
      </c>
      <c r="C20" s="153">
        <f>Projections_Data!C14</f>
        <v>106376.5985314815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60"/>
      <c r="X20" s="160"/>
      <c r="Y20" s="160"/>
      <c r="Z20" s="162"/>
      <c r="AA20" s="162"/>
    </row>
    <row r="21" spans="1:42" ht="19.8" customHeight="1" x14ac:dyDescent="0.25">
      <c r="A21" s="46"/>
      <c r="B21" s="152"/>
      <c r="C21" s="154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9.8" customHeight="1" x14ac:dyDescent="0.25">
      <c r="A22" s="46"/>
      <c r="B22" s="123" t="s">
        <v>604</v>
      </c>
      <c r="C22" s="119">
        <f>Projections_Data!C13</f>
        <v>0.31539923538504366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9.8" customHeight="1" x14ac:dyDescent="0.25">
      <c r="A23" s="46"/>
      <c r="B23" s="124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605</v>
      </c>
      <c r="C24" s="111">
        <f>C16*(1+C22)</f>
        <v>1590.3176755805177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</row>
    <row r="26" spans="1:42" ht="15.6" customHeight="1" x14ac:dyDescent="0.25">
      <c r="A26" s="46"/>
      <c r="B26" s="157" t="s">
        <v>529</v>
      </c>
      <c r="C26" s="15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15.6" customHeight="1" x14ac:dyDescent="0.25">
      <c r="A27" s="46"/>
      <c r="B27" s="158"/>
      <c r="C27" s="158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x14ac:dyDescent="0.25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8"/>
    </row>
    <row r="29" spans="1:42" ht="15.6" customHeight="1" x14ac:dyDescent="0.25">
      <c r="A29" s="46"/>
      <c r="B29" s="101" t="str">
        <f>Projections_Data!B35</f>
        <v xml:space="preserve">US critically ill projections </v>
      </c>
      <c r="C29" s="102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59" t="s">
        <v>548</v>
      </c>
      <c r="X32" s="159"/>
      <c r="Y32" s="159"/>
      <c r="Z32" s="163"/>
      <c r="AA32" s="163"/>
      <c r="AB32" s="164" t="s">
        <v>549</v>
      </c>
      <c r="AC32" s="165"/>
      <c r="AD32" s="165"/>
      <c r="AE32" s="165"/>
      <c r="AF32" s="165"/>
      <c r="AG32" s="165"/>
      <c r="AH32" s="165"/>
      <c r="AI32" s="165"/>
      <c r="AJ32" s="165"/>
      <c r="AK32" s="165"/>
      <c r="AL32" s="165"/>
      <c r="AM32" s="165"/>
      <c r="AN32" s="165"/>
      <c r="AO32" s="165"/>
      <c r="AP32" s="165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59"/>
      <c r="X33" s="159"/>
      <c r="Y33" s="159"/>
      <c r="Z33" s="163"/>
      <c r="AA33" s="163"/>
      <c r="AB33" s="164"/>
      <c r="AC33" s="165"/>
      <c r="AD33" s="165"/>
      <c r="AE33" s="165"/>
      <c r="AF33" s="165"/>
      <c r="AG33" s="165"/>
      <c r="AH33" s="165"/>
      <c r="AI33" s="165"/>
      <c r="AJ33" s="165"/>
      <c r="AK33" s="165"/>
      <c r="AL33" s="165"/>
      <c r="AM33" s="165"/>
      <c r="AN33" s="165"/>
      <c r="AO33" s="165"/>
      <c r="AP33" s="165"/>
    </row>
    <row r="34" spans="1:43" ht="15.6" customHeight="1" x14ac:dyDescent="0.25">
      <c r="A34" s="46"/>
      <c r="B34" s="128" t="s">
        <v>465</v>
      </c>
      <c r="C34" s="130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59"/>
      <c r="X34" s="159"/>
      <c r="Y34" s="159"/>
      <c r="Z34" s="163"/>
      <c r="AA34" s="163"/>
      <c r="AB34" s="164"/>
      <c r="AC34" s="165"/>
      <c r="AD34" s="165"/>
      <c r="AE34" s="165"/>
      <c r="AF34" s="165"/>
      <c r="AG34" s="165"/>
      <c r="AH34" s="165"/>
      <c r="AI34" s="165"/>
      <c r="AJ34" s="165"/>
      <c r="AK34" s="165"/>
      <c r="AL34" s="165"/>
      <c r="AM34" s="165"/>
      <c r="AN34" s="165"/>
      <c r="AO34" s="165"/>
      <c r="AP34" s="165"/>
    </row>
    <row r="35" spans="1:43" ht="18" customHeight="1" x14ac:dyDescent="0.25">
      <c r="A35" s="46"/>
      <c r="B35" s="128"/>
      <c r="C35" s="13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59"/>
      <c r="X35" s="159"/>
      <c r="Y35" s="159"/>
      <c r="Z35" s="163"/>
      <c r="AA35" s="163"/>
      <c r="AB35" s="164"/>
      <c r="AC35" s="165"/>
      <c r="AD35" s="165"/>
      <c r="AE35" s="165"/>
      <c r="AF35" s="165"/>
      <c r="AG35" s="165"/>
      <c r="AH35" s="165"/>
      <c r="AI35" s="165"/>
      <c r="AJ35" s="165"/>
      <c r="AK35" s="165"/>
      <c r="AL35" s="165"/>
      <c r="AM35" s="165"/>
      <c r="AN35" s="165"/>
      <c r="AO35" s="165"/>
      <c r="AP35" s="165"/>
    </row>
    <row r="36" spans="1:43" ht="18" customHeight="1" x14ac:dyDescent="0.25">
      <c r="A36" s="46"/>
      <c r="B36" s="122" t="s">
        <v>519</v>
      </c>
      <c r="C36" s="121">
        <f>Projections_Data!C15</f>
        <v>3.6052531132210505E-2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59"/>
      <c r="X36" s="159"/>
      <c r="Y36" s="159"/>
      <c r="Z36" s="163"/>
      <c r="AA36" s="163"/>
      <c r="AB36" s="164"/>
      <c r="AC36" s="165"/>
      <c r="AD36" s="165"/>
      <c r="AE36" s="165"/>
      <c r="AF36" s="165"/>
      <c r="AG36" s="165"/>
      <c r="AH36" s="165"/>
      <c r="AI36" s="165"/>
      <c r="AJ36" s="165"/>
      <c r="AK36" s="165"/>
      <c r="AL36" s="165"/>
      <c r="AM36" s="165"/>
      <c r="AN36" s="165"/>
      <c r="AO36" s="165"/>
      <c r="AP36" s="165"/>
    </row>
    <row r="37" spans="1:43" ht="20.399999999999999" customHeight="1" x14ac:dyDescent="0.25">
      <c r="A37" s="46"/>
      <c r="B37" s="12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22" t="s">
        <v>518</v>
      </c>
      <c r="C38" s="130">
        <f ca="1">Projections!C12*Projections!C36</f>
        <v>2827.5279116370057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22"/>
      <c r="C39" s="13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59" t="s">
        <v>465</v>
      </c>
      <c r="X39" s="159"/>
      <c r="Y39" s="159"/>
      <c r="Z39" s="167"/>
      <c r="AA39" s="167"/>
      <c r="AB39" s="166" t="s">
        <v>550</v>
      </c>
      <c r="AC39" s="166"/>
      <c r="AD39" s="166"/>
      <c r="AE39" s="166"/>
      <c r="AF39" s="166"/>
      <c r="AG39" s="166"/>
      <c r="AH39" s="166"/>
      <c r="AI39" s="166"/>
      <c r="AJ39" s="166"/>
      <c r="AK39" s="166"/>
      <c r="AL39" s="166"/>
      <c r="AM39" s="166"/>
      <c r="AN39" s="166"/>
      <c r="AO39" s="166"/>
      <c r="AP39" s="166"/>
      <c r="AQ39" s="166"/>
    </row>
    <row r="40" spans="1:43" ht="20.399999999999999" customHeight="1" x14ac:dyDescent="0.25">
      <c r="A40" s="46"/>
      <c r="B40" s="122" t="s">
        <v>488</v>
      </c>
      <c r="C40" s="129">
        <f ca="1">Projections_Data!D31</f>
        <v>43931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59"/>
      <c r="X40" s="159"/>
      <c r="Y40" s="159"/>
      <c r="Z40" s="167"/>
      <c r="AA40" s="167"/>
      <c r="AB40" s="166"/>
      <c r="AC40" s="166"/>
      <c r="AD40" s="166"/>
      <c r="AE40" s="166"/>
      <c r="AF40" s="166"/>
      <c r="AG40" s="166"/>
      <c r="AH40" s="166"/>
      <c r="AI40" s="166"/>
      <c r="AJ40" s="166"/>
      <c r="AK40" s="166"/>
      <c r="AL40" s="166"/>
      <c r="AM40" s="166"/>
      <c r="AN40" s="166"/>
      <c r="AO40" s="166"/>
      <c r="AP40" s="166"/>
      <c r="AQ40" s="166"/>
    </row>
    <row r="41" spans="1:43" ht="20.399999999999999" customHeight="1" x14ac:dyDescent="0.25">
      <c r="A41" s="46"/>
      <c r="B41" s="122"/>
      <c r="C41" s="129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59"/>
      <c r="X41" s="159"/>
      <c r="Y41" s="159"/>
      <c r="Z41" s="167"/>
      <c r="AA41" s="167"/>
      <c r="AB41" s="166"/>
      <c r="AC41" s="166"/>
      <c r="AD41" s="166"/>
      <c r="AE41" s="166"/>
      <c r="AF41" s="166"/>
      <c r="AG41" s="166"/>
      <c r="AH41" s="166"/>
      <c r="AI41" s="166"/>
      <c r="AJ41" s="166"/>
      <c r="AK41" s="166"/>
      <c r="AL41" s="166"/>
      <c r="AM41" s="166"/>
      <c r="AN41" s="166"/>
      <c r="AO41" s="166"/>
      <c r="AP41" s="166"/>
      <c r="AQ41" s="166"/>
    </row>
    <row r="42" spans="1:43" ht="20.399999999999999" customHeight="1" x14ac:dyDescent="0.25">
      <c r="A42" s="46"/>
      <c r="B42" s="128" t="s">
        <v>489</v>
      </c>
      <c r="C42" s="127">
        <f ca="1">IFERROR(C40-TODAY(),"N/A")</f>
        <v>14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59"/>
      <c r="X42" s="159"/>
      <c r="Y42" s="159"/>
      <c r="Z42" s="167"/>
      <c r="AA42" s="167"/>
      <c r="AB42" s="166"/>
      <c r="AC42" s="166"/>
      <c r="AD42" s="166"/>
      <c r="AE42" s="166"/>
      <c r="AF42" s="166"/>
      <c r="AG42" s="166"/>
      <c r="AH42" s="166"/>
      <c r="AI42" s="166"/>
      <c r="AJ42" s="166"/>
      <c r="AK42" s="166"/>
      <c r="AL42" s="166"/>
      <c r="AM42" s="166"/>
      <c r="AN42" s="166"/>
      <c r="AO42" s="166"/>
      <c r="AP42" s="166"/>
      <c r="AQ42" s="166"/>
    </row>
    <row r="43" spans="1:43" ht="18" customHeight="1" x14ac:dyDescent="0.25">
      <c r="A43" s="46"/>
      <c r="B43" s="128"/>
      <c r="C43" s="12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6"/>
      <c r="C45" s="12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31" t="s">
        <v>542</v>
      </c>
      <c r="X45" s="132"/>
      <c r="Y45" s="133"/>
      <c r="Z45" s="140"/>
      <c r="AA45" s="142"/>
    </row>
    <row r="46" spans="1:43" ht="15.6" customHeight="1" x14ac:dyDescent="0.25">
      <c r="A46" s="46"/>
      <c r="B46" s="126"/>
      <c r="C46" s="12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34"/>
      <c r="X46" s="135"/>
      <c r="Y46" s="136"/>
      <c r="Z46" s="143"/>
      <c r="AA46" s="145"/>
    </row>
    <row r="47" spans="1:43" ht="13.8" customHeight="1" x14ac:dyDescent="0.25">
      <c r="A47" s="46"/>
      <c r="B47" s="126"/>
      <c r="C47" s="12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37"/>
      <c r="X47" s="138"/>
      <c r="Y47" s="139"/>
      <c r="Z47" s="146"/>
      <c r="AA47" s="148"/>
    </row>
    <row r="48" spans="1:43" ht="14.4" customHeight="1" x14ac:dyDescent="0.25">
      <c r="A48" s="46"/>
      <c r="B48" s="126"/>
      <c r="C48" s="12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26/03/2020.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3">
    <mergeCell ref="W45:Y47"/>
    <mergeCell ref="Z45:AA47"/>
    <mergeCell ref="AB32:AP36"/>
    <mergeCell ref="AB39:AQ42"/>
    <mergeCell ref="Z39:AA42"/>
    <mergeCell ref="W39:Y42"/>
    <mergeCell ref="Z19:AA20"/>
    <mergeCell ref="W32:Y36"/>
    <mergeCell ref="Z32:AA36"/>
    <mergeCell ref="Z8:AA10"/>
    <mergeCell ref="W8:Y10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B26:C27"/>
    <mergeCell ref="W13:AA14"/>
    <mergeCell ref="W15:Y16"/>
    <mergeCell ref="Z15:AA16"/>
    <mergeCell ref="W17:Y18"/>
    <mergeCell ref="Z17:AA18"/>
    <mergeCell ref="W19:Y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Days_Since_100!$C$5:$C$49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H72" sqref="H7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8" t="s">
        <v>559</v>
      </c>
      <c r="C2" s="168"/>
      <c r="D2" s="168"/>
      <c r="E2" s="168"/>
      <c r="F2" s="168"/>
      <c r="G2" s="168"/>
      <c r="H2" s="168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2">
      <c r="B4" s="83">
        <v>1</v>
      </c>
      <c r="C4" s="78" t="s">
        <v>78</v>
      </c>
      <c r="D4" s="79">
        <f>VLOOKUP(C4,Country_Data!B:F,5,FALSE)</f>
        <v>6909</v>
      </c>
      <c r="E4" s="75">
        <f>D4*Projections_Data!$C$15</f>
        <v>249.08693759244238</v>
      </c>
      <c r="F4" s="79">
        <f>VLOOKUP(C4,Country_Data!C:G,5,FALSE)</f>
        <v>49</v>
      </c>
      <c r="G4" s="80">
        <f>IFERROR(VLOOKUP(C4,Days_Since_100!C:G,5,FALSE)-1,0)</f>
        <v>0.19679073910745104</v>
      </c>
      <c r="H4" s="84">
        <f>IFERROR(VLOOKUP(C4,Deaths_since_10!C:G,5,FALSE)-1,0)</f>
        <v>0.43688237801406848</v>
      </c>
      <c r="I4" s="58"/>
      <c r="J4" s="68" t="str">
        <f t="shared" ref="J4:J23" si="0">IFERROR(LOG((M4/E4),1+G4),"")</f>
        <v/>
      </c>
      <c r="K4" s="67">
        <v>12.2</v>
      </c>
      <c r="L4" s="61">
        <f>VLOOKUP(C4,Country_Data!C:J,8,FALSE)</f>
        <v>9006398</v>
      </c>
      <c r="M4" s="60"/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1">B4+1</f>
        <v>2</v>
      </c>
      <c r="C5" s="62" t="s">
        <v>81</v>
      </c>
      <c r="D5" s="75">
        <f>VLOOKUP(C5,Country_Data!B:F,5,FALSE)</f>
        <v>2985</v>
      </c>
      <c r="E5" s="75">
        <f>D5*Projections_Data!$C$15</f>
        <v>107.61680542964835</v>
      </c>
      <c r="F5" s="75">
        <f>VLOOKUP(C5,Country_Data!C:G,5,FALSE)</f>
        <v>77</v>
      </c>
      <c r="G5" s="76">
        <f>IFERROR(VLOOKUP(C5,Days_Since_100!C:G,5,FALSE)-1,0)</f>
        <v>0.23932074288758809</v>
      </c>
      <c r="H5" s="77">
        <f>IFERROR(VLOOKUP(C5,Deaths_since_10!C:G,5,FALSE)-1,0)</f>
        <v>0.38701096125132395</v>
      </c>
      <c r="J5" s="68">
        <f t="shared" si="0"/>
        <v>20.592111711100802</v>
      </c>
      <c r="K5" s="67">
        <v>4.2</v>
      </c>
      <c r="L5" s="61">
        <f>VLOOKUP(C5,Country_Data!C:J,8,FALSE)</f>
        <v>212559417</v>
      </c>
      <c r="M5" s="60">
        <f t="shared" ref="M5:M12" si="2">(L5/100000)*K5</f>
        <v>8927.4955140000002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1"/>
        <v>3</v>
      </c>
      <c r="C6" s="62" t="s">
        <v>108</v>
      </c>
      <c r="D6" s="75">
        <f>VLOOKUP(C6,Country_Data!B:F,5,FALSE)</f>
        <v>3544</v>
      </c>
      <c r="E6" s="75">
        <f>D6*Projections_Data!$C$15</f>
        <v>127.77017033255403</v>
      </c>
      <c r="F6" s="75">
        <f>VLOOKUP(C6,Country_Data!C:G,5,FALSE)</f>
        <v>60</v>
      </c>
      <c r="G6" s="76">
        <f>IFERROR(VLOOKUP(C6,Days_Since_100!C:G,5,FALSE)-1,0)</f>
        <v>0.22590480902321808</v>
      </c>
      <c r="H6" s="77">
        <f>IFERROR(VLOOKUP(C6,Deaths_since_10!C:G,5,FALSE)-1,0)</f>
        <v>0.3797296614612149</v>
      </c>
      <c r="J6" s="68">
        <f t="shared" si="0"/>
        <v>10.926114229152992</v>
      </c>
      <c r="K6" s="67">
        <v>11.6</v>
      </c>
      <c r="L6" s="61">
        <f>VLOOKUP(C6,Country_Data!C:J,8,FALSE)</f>
        <v>10196709</v>
      </c>
      <c r="M6" s="60">
        <f t="shared" si="2"/>
        <v>1182.818244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1"/>
        <v>4</v>
      </c>
      <c r="C7" s="62" t="s">
        <v>38</v>
      </c>
      <c r="D7" s="75">
        <f>VLOOKUP(C7,Country_Data!B:F,5,FALSE)</f>
        <v>83836</v>
      </c>
      <c r="E7" s="75">
        <f>D7*Projections_Data!$C$15</f>
        <v>3022.5</v>
      </c>
      <c r="F7" s="75">
        <f>VLOOKUP(C7,Country_Data!C:G,5,FALSE)</f>
        <v>1209</v>
      </c>
      <c r="G7" s="76">
        <f>IFERROR(VLOOKUP(C7,Days_Since_100!C:G,5,FALSE)-1,0)</f>
        <v>0.26886538636721102</v>
      </c>
      <c r="H7" s="77">
        <f>IFERROR(VLOOKUP(C7,Deaths_since_10!C:G,5,FALSE)-1,0)</f>
        <v>0.31539923538504366</v>
      </c>
      <c r="J7" s="68" t="str">
        <f t="shared" si="0"/>
        <v/>
      </c>
      <c r="K7" s="67"/>
      <c r="L7" s="61">
        <f>VLOOKUP(C7,Country_Data!C:J,8,FALSE)</f>
        <v>331002651</v>
      </c>
      <c r="M7" s="60">
        <f t="shared" si="2"/>
        <v>0</v>
      </c>
      <c r="O7" s="59">
        <f t="array" ref="O7">IF(OR(C7=$Q$4:$Q$22),1,0)</f>
        <v>1</v>
      </c>
      <c r="Q7" s="59" t="s">
        <v>58</v>
      </c>
    </row>
    <row r="8" spans="2:18" s="59" customFormat="1" ht="13.8" customHeight="1" x14ac:dyDescent="0.3">
      <c r="B8" s="66">
        <f t="shared" si="1"/>
        <v>5</v>
      </c>
      <c r="C8" s="62" t="s">
        <v>63</v>
      </c>
      <c r="D8" s="75">
        <f>VLOOKUP(C8,Country_Data!B:F,5,FALSE)</f>
        <v>6235</v>
      </c>
      <c r="E8" s="75">
        <f>D8*Projections_Data!$C$15</f>
        <v>224.78753160933249</v>
      </c>
      <c r="F8" s="75">
        <f>VLOOKUP(C8,Country_Data!C:G,5,FALSE)</f>
        <v>220</v>
      </c>
      <c r="G8" s="76">
        <f>IFERROR(VLOOKUP(C8,Days_Since_100!C:G,5,FALSE)-1,0)</f>
        <v>0.17238866723010027</v>
      </c>
      <c r="H8" s="77">
        <f>IFERROR(VLOOKUP(C8,Deaths_since_10!C:G,5,FALSE)-1,0)</f>
        <v>0.26843896801582701</v>
      </c>
      <c r="J8" s="68">
        <f t="shared" si="0"/>
        <v>1.0717127455804802</v>
      </c>
      <c r="K8" s="67">
        <v>2.2999999999999998</v>
      </c>
      <c r="L8" s="61">
        <f>VLOOKUP(C8,Country_Data!C:J,8,FALSE)</f>
        <v>11589623</v>
      </c>
      <c r="M8" s="60">
        <f t="shared" si="2"/>
        <v>266.561329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1"/>
        <v>6</v>
      </c>
      <c r="C9" s="62" t="s">
        <v>53</v>
      </c>
      <c r="D9" s="75">
        <f>VLOOKUP(C9,Country_Data!B:F,5,FALSE)</f>
        <v>43938</v>
      </c>
      <c r="E9" s="75">
        <f>D9*Projections_Data!$C$15</f>
        <v>1584.0761128870652</v>
      </c>
      <c r="F9" s="75">
        <f>VLOOKUP(C9,Country_Data!C:G,5,FALSE)</f>
        <v>267</v>
      </c>
      <c r="G9" s="76">
        <f>IFERROR(VLOOKUP(C9,Days_Since_100!C:G,5,FALSE)-1,0)</f>
        <v>0.14616360427005559</v>
      </c>
      <c r="H9" s="77">
        <f>IFERROR(VLOOKUP(C9,Deaths_since_10!C:G,5,FALSE)-1,0)</f>
        <v>0.26022007941246028</v>
      </c>
      <c r="J9" s="68" t="str">
        <f t="shared" si="0"/>
        <v/>
      </c>
      <c r="K9" s="67"/>
      <c r="L9" s="61">
        <f>VLOOKUP(C9,Country_Data!C:J,8,FALSE)</f>
        <v>83783942</v>
      </c>
      <c r="M9" s="60">
        <f t="shared" si="2"/>
        <v>0</v>
      </c>
      <c r="O9" s="59">
        <f t="array" ref="O9">IF(OR(C9=$Q$4:$Q$22),1,0)</f>
        <v>1</v>
      </c>
      <c r="Q9" s="59" t="s">
        <v>53</v>
      </c>
    </row>
    <row r="10" spans="2:18" s="59" customFormat="1" ht="13.8" customHeight="1" x14ac:dyDescent="0.3">
      <c r="B10" s="66">
        <f t="shared" si="1"/>
        <v>7</v>
      </c>
      <c r="C10" s="62" t="s">
        <v>89</v>
      </c>
      <c r="D10" s="75">
        <f>VLOOKUP(C10,Country_Data!B:F,5,FALSE)</f>
        <v>7468</v>
      </c>
      <c r="E10" s="75">
        <f>D10*Projections_Data!$C$15</f>
        <v>269.24030249534803</v>
      </c>
      <c r="F10" s="75">
        <f>VLOOKUP(C10,Country_Data!C:G,5,FALSE)</f>
        <v>435</v>
      </c>
      <c r="G10" s="76">
        <f>IFERROR(VLOOKUP(C10,Days_Since_100!C:G,5,FALSE)-1,0)</f>
        <v>0.15457084113163511</v>
      </c>
      <c r="H10" s="77">
        <f>IFERROR(VLOOKUP(C10,Deaths_since_10!C:G,5,FALSE)-1,0)</f>
        <v>0.25995123905532203</v>
      </c>
      <c r="J10" s="68" t="str">
        <f t="shared" si="0"/>
        <v/>
      </c>
      <c r="K10" s="67"/>
      <c r="L10" s="61">
        <f>VLOOKUP(C10,Country_Data!C:J,8,FALSE)</f>
        <v>17134872</v>
      </c>
      <c r="M10" s="60">
        <f t="shared" si="2"/>
        <v>0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1"/>
        <v>8</v>
      </c>
      <c r="C11" s="62" t="s">
        <v>137</v>
      </c>
      <c r="D11" s="75">
        <f>VLOOKUP(C11,Country_Data!B:F,5,FALSE)</f>
        <v>1221</v>
      </c>
      <c r="E11" s="75">
        <f>D11*Projections_Data!$C$15</f>
        <v>44.02014051242903</v>
      </c>
      <c r="F11" s="75">
        <f>VLOOKUP(C11,Country_Data!C:G,5,FALSE)</f>
        <v>16</v>
      </c>
      <c r="G11" s="76">
        <f>IFERROR(VLOOKUP(C11,Days_Since_100!C:G,5,FALSE)-1,0)</f>
        <v>0.17899014484237785</v>
      </c>
      <c r="H11" s="77">
        <f>IFERROR(VLOOKUP(C11,Deaths_since_10!C:G,5,FALSE)-1,0)</f>
        <v>0.25992104989487319</v>
      </c>
      <c r="J11" s="68" t="str">
        <f t="shared" si="0"/>
        <v/>
      </c>
      <c r="K11" s="67"/>
      <c r="L11" s="61">
        <f>VLOOKUP(C11,Country_Data!C:J,8,FALSE)</f>
        <v>37846611</v>
      </c>
      <c r="M11" s="60">
        <f t="shared" si="2"/>
        <v>0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1"/>
        <v>9</v>
      </c>
      <c r="C12" s="62" t="s">
        <v>60</v>
      </c>
      <c r="D12" s="75">
        <f>VLOOKUP(C12,Country_Data!B:F,5,FALSE)</f>
        <v>57786</v>
      </c>
      <c r="E12" s="75">
        <f>D12*Projections_Data!$C$15</f>
        <v>2083.3315640059163</v>
      </c>
      <c r="F12" s="75">
        <f>VLOOKUP(C12,Country_Data!C:G,5,FALSE)</f>
        <v>4365</v>
      </c>
      <c r="G12" s="76">
        <f>IFERROR(VLOOKUP(C12,Days_Since_100!C:G,5,FALSE)-1,0)</f>
        <v>0.17892652613991467</v>
      </c>
      <c r="H12" s="77">
        <f>IFERROR(VLOOKUP(C12,Deaths_since_10!C:G,5,FALSE)-1,0)</f>
        <v>0.25990067896049363</v>
      </c>
      <c r="J12" s="68">
        <f t="shared" si="0"/>
        <v>2.3866180228037206</v>
      </c>
      <c r="K12" s="67">
        <v>6.6</v>
      </c>
      <c r="L12" s="61">
        <f>VLOOKUP(C12,Country_Data!C:J,8,FALSE)</f>
        <v>46754778</v>
      </c>
      <c r="M12" s="60">
        <f t="shared" si="2"/>
        <v>3085.8153479999996</v>
      </c>
      <c r="O12" s="59">
        <f t="array" ref="O12">IF(OR(C12=$Q$4:$Q$22),1,0)</f>
        <v>1</v>
      </c>
    </row>
    <row r="13" spans="2:18" s="59" customFormat="1" ht="13.8" customHeight="1" x14ac:dyDescent="0.3">
      <c r="B13" s="66">
        <f t="shared" si="1"/>
        <v>10</v>
      </c>
      <c r="C13" s="62" t="s">
        <v>103</v>
      </c>
      <c r="D13" s="75">
        <f>VLOOKUP(C13,Country_Data!B:F,5,FALSE)</f>
        <v>1403</v>
      </c>
      <c r="E13" s="75">
        <f>D13*Projections_Data!$C$15</f>
        <v>50.581701178491336</v>
      </c>
      <c r="F13" s="75">
        <f>VLOOKUP(C13,Country_Data!C:G,5,FALSE)</f>
        <v>34</v>
      </c>
      <c r="G13" s="76">
        <f>IFERROR(VLOOKUP(C13,Days_Since_100!C:G,5,FALSE)-1,0)</f>
        <v>0.22625680603203469</v>
      </c>
      <c r="H13" s="77">
        <f>IFERROR(VLOOKUP(C13,Deaths_since_10!C:G,5,FALSE)-1,0)</f>
        <v>0.24835389411334763</v>
      </c>
      <c r="J13" s="68" t="str">
        <f t="shared" si="0"/>
        <v/>
      </c>
      <c r="K13" s="67"/>
      <c r="L13" s="61">
        <f>VLOOKUP(C13,Country_Data!C:J,8,FALSE)</f>
        <v>17643054</v>
      </c>
      <c r="M13" s="60"/>
      <c r="O13" s="59">
        <f t="array" ref="O13">IF(OR(C13=$Q$4:$Q$22),1,0)</f>
        <v>0</v>
      </c>
    </row>
    <row r="14" spans="2:18" s="59" customFormat="1" ht="13.8" customHeight="1" x14ac:dyDescent="0.3">
      <c r="B14" s="66">
        <f t="shared" si="1"/>
        <v>11</v>
      </c>
      <c r="C14" s="62" t="s">
        <v>41</v>
      </c>
      <c r="D14" s="75">
        <f>VLOOKUP(C14,Country_Data!B:F,5,FALSE)</f>
        <v>29551</v>
      </c>
      <c r="E14" s="75">
        <f>D14*Projections_Data!$C$15</f>
        <v>1065.3883474879526</v>
      </c>
      <c r="F14" s="75">
        <f>VLOOKUP(C14,Country_Data!C:G,5,FALSE)</f>
        <v>1698</v>
      </c>
      <c r="G14" s="76">
        <f>IFERROR(VLOOKUP(C14,Days_Since_100!C:G,5,FALSE)-1,0)</f>
        <v>0.15361995339021162</v>
      </c>
      <c r="H14" s="77">
        <f>IFERROR(VLOOKUP(C14,Deaths_since_10!C:G,5,FALSE)-1,0)</f>
        <v>0.24705571851215247</v>
      </c>
      <c r="J14" s="68">
        <f t="shared" si="0"/>
        <v>9.5614344795978496</v>
      </c>
      <c r="K14" s="67">
        <v>6.4</v>
      </c>
      <c r="L14" s="61">
        <f>VLOOKUP(C14,Country_Data!C:J,8,FALSE)</f>
        <v>65273511</v>
      </c>
      <c r="M14" s="60">
        <f t="shared" ref="M14:M23" si="3">(L14/100000)*K14</f>
        <v>4177.5047039999999</v>
      </c>
      <c r="O14" s="59">
        <f t="array" ref="O14">IF(OR(C14=$Q$4:$Q$22),1,0)</f>
        <v>1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1"/>
        <v>12</v>
      </c>
      <c r="C15" s="62" t="s">
        <v>43</v>
      </c>
      <c r="D15" s="75">
        <f>VLOOKUP(C15,Country_Data!B:F,5,FALSE)</f>
        <v>2031</v>
      </c>
      <c r="E15" s="75">
        <f>D15*Projections_Data!$C$15</f>
        <v>73.222690729519542</v>
      </c>
      <c r="F15" s="75">
        <f>VLOOKUP(C15,Country_Data!C:G,5,FALSE)</f>
        <v>23</v>
      </c>
      <c r="G15" s="76">
        <f>IFERROR(VLOOKUP(C15,Days_Since_100!C:G,5,FALSE)-1,0)</f>
        <v>0.11415351756601733</v>
      </c>
      <c r="H15" s="77">
        <f>IFERROR(VLOOKUP(C15,Deaths_since_10!C:G,5,FALSE)-1,0)</f>
        <v>0.23149303238398788</v>
      </c>
      <c r="J15" s="68">
        <f t="shared" si="0"/>
        <v>42.088733643123525</v>
      </c>
      <c r="K15" s="67">
        <v>21.4</v>
      </c>
      <c r="L15" s="61">
        <f>VLOOKUP(C15,Country_Data!C:J,8,FALSE)</f>
        <v>32365999</v>
      </c>
      <c r="M15" s="60">
        <f t="shared" si="3"/>
        <v>6926.323785999999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1"/>
        <v>13</v>
      </c>
      <c r="C16" s="62" t="s">
        <v>77</v>
      </c>
      <c r="D16" s="75">
        <f>VLOOKUP(C16,Country_Data!B:F,5,FALSE)</f>
        <v>11811</v>
      </c>
      <c r="E16" s="75">
        <f>D16*Projections_Data!$C$15</f>
        <v>425.81644520253826</v>
      </c>
      <c r="F16" s="75">
        <f>VLOOKUP(C16,Country_Data!C:G,5,FALSE)</f>
        <v>191</v>
      </c>
      <c r="G16" s="76">
        <f>IFERROR(VLOOKUP(C16,Days_Since_100!C:G,5,FALSE)-1,0)</f>
        <v>0.12428957187309364</v>
      </c>
      <c r="H16" s="77">
        <f>IFERROR(VLOOKUP(C16,Deaths_since_10!C:G,5,FALSE)-1,0)</f>
        <v>0.20557552002444002</v>
      </c>
      <c r="J16" s="68" t="str">
        <f t="shared" si="0"/>
        <v/>
      </c>
      <c r="K16" s="67"/>
      <c r="L16" s="61">
        <f>VLOOKUP(C16,Country_Data!C:J,8,FALSE)</f>
        <v>8654622</v>
      </c>
      <c r="M16" s="60">
        <f t="shared" si="3"/>
        <v>0</v>
      </c>
      <c r="O16" s="59">
        <f t="array" ref="O16">IF(OR(C16=$Q$4:$Q$22),1,0)</f>
        <v>0</v>
      </c>
    </row>
    <row r="17" spans="2:15" s="59" customFormat="1" ht="13.8" customHeight="1" x14ac:dyDescent="0.3">
      <c r="B17" s="66">
        <f t="shared" si="1"/>
        <v>14</v>
      </c>
      <c r="C17" s="62" t="s">
        <v>349</v>
      </c>
      <c r="D17" s="75">
        <f>VLOOKUP(C17,Country_Data!B:F,5,FALSE)</f>
        <v>11812</v>
      </c>
      <c r="E17" s="75">
        <f>D17*Projections_Data!$C$15</f>
        <v>425.85249773367048</v>
      </c>
      <c r="F17" s="75">
        <f>VLOOKUP(C17,Country_Data!C:G,5,FALSE)</f>
        <v>580</v>
      </c>
      <c r="G17" s="76">
        <f>IFERROR(VLOOKUP(C17,Days_Since_100!C:G,5,FALSE)-1,0)</f>
        <v>0.18444393048580521</v>
      </c>
      <c r="H17" s="77">
        <f>IFERROR(VLOOKUP(C17,Deaths_since_10!C:G,5,FALSE)-1,0)</f>
        <v>0.1990641741051542</v>
      </c>
      <c r="J17" s="68">
        <f t="shared" si="0"/>
        <v>20.961544217594469</v>
      </c>
      <c r="K17" s="67">
        <v>21.8</v>
      </c>
      <c r="L17" s="61">
        <f>VLOOKUP(C17,Country_Data!C:J,8,FALSE)</f>
        <v>67886011</v>
      </c>
      <c r="M17" s="60">
        <f t="shared" si="3"/>
        <v>14799.150398</v>
      </c>
      <c r="O17" s="59">
        <f t="array" ref="O17">IF(OR(C17=$Q$4:$Q$22),1,0)</f>
        <v>1</v>
      </c>
    </row>
    <row r="18" spans="2:15" s="59" customFormat="1" ht="13.8" customHeight="1" x14ac:dyDescent="0.3">
      <c r="B18" s="66">
        <f t="shared" si="1"/>
        <v>15</v>
      </c>
      <c r="C18" s="62" t="s">
        <v>56</v>
      </c>
      <c r="D18" s="75">
        <f>VLOOKUP(C18,Country_Data!B:F,5,FALSE)</f>
        <v>707</v>
      </c>
      <c r="E18" s="75">
        <f>D18*Projections_Data!$C$15</f>
        <v>25.489139510472828</v>
      </c>
      <c r="F18" s="75">
        <f>VLOOKUP(C18,Country_Data!C:G,5,FALSE)</f>
        <v>45</v>
      </c>
      <c r="G18" s="76">
        <f>IFERROR(VLOOKUP(C18,Days_Since_100!C:G,5,FALSE)-1,0)</f>
        <v>0.18156116313221649</v>
      </c>
      <c r="H18" s="77">
        <f>IFERROR(VLOOKUP(C18,Deaths_since_10!C:G,5,FALSE)-1,0)</f>
        <v>0.18820611352011474</v>
      </c>
      <c r="J18" s="68">
        <f t="shared" si="0"/>
        <v>37.681939134971188</v>
      </c>
      <c r="K18" s="67">
        <v>12.5</v>
      </c>
      <c r="L18" s="61">
        <f>VLOOKUP(C18,Country_Data!C:J,8,FALSE)</f>
        <v>109581078</v>
      </c>
      <c r="M18" s="60">
        <f t="shared" si="3"/>
        <v>13697.634750000001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1"/>
        <v>16</v>
      </c>
      <c r="C19" s="62" t="s">
        <v>107</v>
      </c>
      <c r="D19" s="75">
        <f>VLOOKUP(C19,Country_Data!B:F,5,FALSE)</f>
        <v>893</v>
      </c>
      <c r="E19" s="75">
        <f>D19*Projections_Data!$C$15</f>
        <v>32.194910301063985</v>
      </c>
      <c r="F19" s="75">
        <f>VLOOKUP(C19,Country_Data!C:G,5,FALSE)</f>
        <v>78</v>
      </c>
      <c r="G19" s="76">
        <f>IFERROR(VLOOKUP(C19,Days_Since_100!C:G,5,FALSE)-1,0)</f>
        <v>0.14690590567177919</v>
      </c>
      <c r="H19" s="77">
        <f>IFERROR(VLOOKUP(C19,Deaths_since_10!C:G,5,FALSE)-1,0)</f>
        <v>0.15468148270605053</v>
      </c>
      <c r="J19" s="68" t="str">
        <f t="shared" si="0"/>
        <v/>
      </c>
      <c r="K19" s="67"/>
      <c r="L19" s="61">
        <f>VLOOKUP(C19,Country_Data!C:J,8,FALSE)</f>
        <v>273523615</v>
      </c>
      <c r="M19" s="60">
        <f t="shared" si="3"/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1"/>
        <v>17</v>
      </c>
      <c r="C20" s="62" t="s">
        <v>45</v>
      </c>
      <c r="D20" s="75">
        <f>VLOOKUP(C20,Country_Data!B:F,5,FALSE)</f>
        <v>4042</v>
      </c>
      <c r="E20" s="75">
        <f>D20*Projections_Data!$C$15</f>
        <v>145.72433083639487</v>
      </c>
      <c r="F20" s="75">
        <f>VLOOKUP(C20,Country_Data!C:G,5,FALSE)</f>
        <v>38</v>
      </c>
      <c r="G20" s="76">
        <f>IFERROR(VLOOKUP(C20,Days_Since_100!C:G,5,FALSE)-1,0)</f>
        <v>0.25916047396116282</v>
      </c>
      <c r="H20" s="77">
        <f>IFERROR(VLOOKUP(C20,Deaths_since_10!C:G,5,FALSE)-1,0)</f>
        <v>0.1486983549970351</v>
      </c>
      <c r="J20" s="68">
        <f t="shared" si="0"/>
        <v>12.511292579533054</v>
      </c>
      <c r="K20" s="67">
        <v>6.9</v>
      </c>
      <c r="L20" s="61">
        <f>VLOOKUP(C20,Country_Data!C:J,8,FALSE)</f>
        <v>37742154</v>
      </c>
      <c r="M20" s="60">
        <f t="shared" si="3"/>
        <v>2604.2086260000001</v>
      </c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1"/>
        <v>18</v>
      </c>
      <c r="C21" s="62" t="s">
        <v>58</v>
      </c>
      <c r="D21" s="75">
        <f>VLOOKUP(C21,Country_Data!B:F,5,FALSE)</f>
        <v>80589</v>
      </c>
      <c r="E21" s="75">
        <f>D21*Projections_Data!$C$15</f>
        <v>2905.4374314137126</v>
      </c>
      <c r="F21" s="75">
        <f>VLOOKUP(C21,Country_Data!C:G,5,FALSE)</f>
        <v>8215</v>
      </c>
      <c r="G21" s="76">
        <f>IFERROR(VLOOKUP(C21,Days_Since_100!C:G,5,FALSE)-1,0)</f>
        <v>8.5070243600696482E-2</v>
      </c>
      <c r="H21" s="77">
        <f>IFERROR(VLOOKUP(C21,Deaths_since_10!C:G,5,FALSE)-1,0)</f>
        <v>0.11230028889083132</v>
      </c>
      <c r="J21" s="68">
        <f t="shared" si="0"/>
        <v>2.7193124194855147</v>
      </c>
      <c r="K21" s="67">
        <v>6</v>
      </c>
      <c r="L21" s="61">
        <f>VLOOKUP(C21,Country_Data!C:J,8,FALSE)</f>
        <v>60461826</v>
      </c>
      <c r="M21" s="60">
        <f t="shared" si="3"/>
        <v>3627.7095599999998</v>
      </c>
      <c r="O21" s="59">
        <f t="array" ref="O21">IF(OR(C21=$Q$4:$Q$22),1,0)</f>
        <v>1</v>
      </c>
    </row>
    <row r="22" spans="2:15" s="59" customFormat="1" ht="13.8" customHeight="1" x14ac:dyDescent="0.3">
      <c r="B22" s="66">
        <f t="shared" si="1"/>
        <v>19</v>
      </c>
      <c r="C22" s="62" t="s">
        <v>145</v>
      </c>
      <c r="D22" s="75">
        <f>VLOOKUP(C22,Country_Data!B:F,5,FALSE)</f>
        <v>927</v>
      </c>
      <c r="E22" s="75">
        <f>D22*Projections_Data!$C$15</f>
        <v>33.420696359559138</v>
      </c>
      <c r="F22" s="75">
        <f>VLOOKUP(C22,Country_Data!C:G,5,FALSE)</f>
        <v>0</v>
      </c>
      <c r="G22" s="76">
        <f>IFERROR(VLOOKUP(C22,Days_Since_100!C:G,5,FALSE)-1,0)</f>
        <v>0.31030892293277157</v>
      </c>
      <c r="H22" s="77">
        <f>IFERROR(VLOOKUP(C22,Deaths_since_10!C:G,5,FALSE)-1,0)</f>
        <v>0</v>
      </c>
      <c r="J22" s="68" t="str">
        <f t="shared" si="0"/>
        <v/>
      </c>
      <c r="K22" s="67"/>
      <c r="L22" s="61">
        <f>VLOOKUP(C22,Country_Data!C:J,8,FALSE)</f>
        <v>59308690</v>
      </c>
      <c r="M22" s="60">
        <f t="shared" si="3"/>
        <v>0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1"/>
        <v>20</v>
      </c>
      <c r="C23" s="62" t="s">
        <v>124</v>
      </c>
      <c r="D23" s="75">
        <f>VLOOKUP(C23,Country_Data!B:F,5,FALSE)</f>
        <v>1306</v>
      </c>
      <c r="E23" s="75">
        <f>D23*Projections_Data!$C$15</f>
        <v>47.084605658666916</v>
      </c>
      <c r="F23" s="75">
        <f>VLOOKUP(C23,Country_Data!C:G,5,FALSE)</f>
        <v>4</v>
      </c>
      <c r="G23" s="76">
        <f>IFERROR(VLOOKUP(C23,Days_Since_100!C:G,5,FALSE)-1,0)</f>
        <v>0.19452096996814672</v>
      </c>
      <c r="H23" s="77">
        <f>IFERROR(VLOOKUP(C23,Deaths_since_10!C:G,5,FALSE)-1,0)</f>
        <v>0</v>
      </c>
      <c r="J23" s="68">
        <f t="shared" si="0"/>
        <v>26.866226130669954</v>
      </c>
      <c r="K23" s="67">
        <v>29.2</v>
      </c>
      <c r="L23" s="61">
        <f>VLOOKUP(C23,Country_Data!C:J,8,FALSE)</f>
        <v>19116201</v>
      </c>
      <c r="M23" s="60">
        <f t="shared" si="3"/>
        <v>5581.9306919999999</v>
      </c>
      <c r="O23" s="59">
        <f t="array" ref="O23">IF(OR(C23=$Q$4:$Q$22),1,0)</f>
        <v>0</v>
      </c>
    </row>
    <row r="24" spans="2:15" s="59" customFormat="1" ht="13.8" hidden="1" customHeight="1" x14ac:dyDescent="0.3">
      <c r="B24" s="66">
        <f t="shared" si="1"/>
        <v>21</v>
      </c>
      <c r="C24" s="62" t="s">
        <v>99</v>
      </c>
      <c r="D24" s="75">
        <f>VLOOKUP(C24,Country_Data!B:F,5,FALSE)</f>
        <v>1453</v>
      </c>
      <c r="E24" s="75">
        <f>D24*Projections_Data!$C$15</f>
        <v>52.384327735101863</v>
      </c>
      <c r="F24" s="75">
        <f>VLOOKUP(C24,Country_Data!C:G,5,FALSE)</f>
        <v>9</v>
      </c>
      <c r="G24" s="76">
        <f>IFERROR(VLOOKUP(C24,Days_Since_100!C:G,5,FALSE)-1,0)</f>
        <v>0.1674496581072793</v>
      </c>
      <c r="H24" s="77">
        <f>IFERROR(VLOOKUP(C24,Deaths_since_10!C:G,5,FALSE)-1,0)</f>
        <v>2.3836255539609663E-2</v>
      </c>
      <c r="J24" s="68">
        <f t="shared" ref="J24:J43" si="4">IFERROR(LOG((M24/E24),1+G24),"")</f>
        <v>7.0169879709014245</v>
      </c>
      <c r="K24" s="67">
        <v>24.8</v>
      </c>
      <c r="L24" s="61">
        <f>VLOOKUP(C24,Country_Data!C:J,8,FALSE)</f>
        <v>625978</v>
      </c>
      <c r="M24" s="60">
        <f t="shared" ref="M24:M27" si="5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1"/>
        <v>22</v>
      </c>
      <c r="C25" s="62" t="s">
        <v>35</v>
      </c>
      <c r="D25" s="75">
        <f>VLOOKUP(C25,Country_Data!B:F,5,FALSE)</f>
        <v>1045</v>
      </c>
      <c r="E25" s="75">
        <f>D25*Projections_Data!$C$15</f>
        <v>37.674895033159977</v>
      </c>
      <c r="F25" s="75">
        <f>VLOOKUP(C25,Country_Data!C:G,5,FALSE)</f>
        <v>4</v>
      </c>
      <c r="G25" s="76">
        <f>IFERROR(VLOOKUP(C25,Days_Since_100!C:G,5,FALSE)-1,0)</f>
        <v>0.20518826346585239</v>
      </c>
      <c r="H25" s="77">
        <f>IFERROR(VLOOKUP(C25,Deaths_since_10!C:G,5,FALSE)-1,0)</f>
        <v>0</v>
      </c>
      <c r="J25" s="68" t="str">
        <f t="shared" si="4"/>
        <v/>
      </c>
      <c r="K25" s="67"/>
      <c r="L25" s="61">
        <f>VLOOKUP(C25,Country_Data!C:J,8,FALSE)</f>
        <v>69799978</v>
      </c>
      <c r="M25" s="60">
        <f t="shared" si="5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1"/>
        <v>23</v>
      </c>
      <c r="C26" s="62" t="s">
        <v>48</v>
      </c>
      <c r="D26" s="75">
        <f>VLOOKUP(C26,Country_Data!B:F,5,FALSE)</f>
        <v>2810</v>
      </c>
      <c r="E26" s="75">
        <f>D26*Projections_Data!$C$15</f>
        <v>101.30761248151153</v>
      </c>
      <c r="F26" s="75">
        <f>VLOOKUP(C26,Country_Data!C:G,5,FALSE)</f>
        <v>13</v>
      </c>
      <c r="G26" s="76">
        <f>IFERROR(VLOOKUP(C26,Days_Since_100!C:G,5,FALSE)-1,0)</f>
        <v>0.21278375158450702</v>
      </c>
      <c r="H26" s="77">
        <f>IFERROR(VLOOKUP(C26,Deaths_since_10!C:G,5,FALSE)-1,0)</f>
        <v>0.27475487839819612</v>
      </c>
      <c r="J26" s="68" t="str">
        <f t="shared" si="4"/>
        <v/>
      </c>
      <c r="K26" s="67"/>
      <c r="L26" s="61">
        <f>VLOOKUP(C26,Country_Data!C:J,8,FALSE)</f>
        <v>25499884</v>
      </c>
      <c r="M26" s="60">
        <f t="shared" si="5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1"/>
        <v>24</v>
      </c>
      <c r="C27" s="62" t="s">
        <v>86</v>
      </c>
      <c r="D27" s="75">
        <f>VLOOKUP(C27,Country_Data!B:F,5,FALSE)</f>
        <v>1029</v>
      </c>
      <c r="E27" s="75">
        <f>D27*Projections_Data!$C$15</f>
        <v>37.098054535044611</v>
      </c>
      <c r="F27" s="75">
        <f>VLOOKUP(C27,Country_Data!C:G,5,FALSE)</f>
        <v>23</v>
      </c>
      <c r="G27" s="76">
        <f>IFERROR(VLOOKUP(C27,Days_Since_100!C:G,5,FALSE)-1,0)</f>
        <v>0.22899428144188994</v>
      </c>
      <c r="H27" s="77">
        <f>IFERROR(VLOOKUP(C27,Deaths_since_10!C:G,5,FALSE)-1,0)</f>
        <v>0.44599761096244239</v>
      </c>
      <c r="J27" s="68" t="str">
        <f t="shared" si="4"/>
        <v/>
      </c>
      <c r="K27" s="67"/>
      <c r="L27" s="61">
        <f>VLOOKUP(C27,Country_Data!C:J,8,FALSE)</f>
        <v>19237691</v>
      </c>
      <c r="M27" s="60">
        <f t="shared" si="5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1"/>
        <v>25</v>
      </c>
      <c r="C28" s="62" t="s">
        <v>79</v>
      </c>
      <c r="D28" s="75">
        <f>VLOOKUP(C28,Country_Data!B:F,5,FALSE)</f>
        <v>2693</v>
      </c>
      <c r="E28" s="75">
        <f>D28*Projections_Data!$C$15</f>
        <v>97.089466339042886</v>
      </c>
      <c r="F28" s="75">
        <f>VLOOKUP(C28,Country_Data!C:G,5,FALSE)</f>
        <v>8</v>
      </c>
      <c r="G28" s="76">
        <f>IFERROR(VLOOKUP(C28,Days_Since_100!C:G,5,FALSE)-1,0)</f>
        <v>0.30482200427435902</v>
      </c>
      <c r="H28" s="77">
        <f>IFERROR(VLOOKUP(C28,Deaths_since_10!C:G,5,FALSE)-1,0)</f>
        <v>0</v>
      </c>
      <c r="J28" s="68" t="str">
        <f t="shared" si="4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1"/>
        <v>26</v>
      </c>
      <c r="C29" s="62" t="s">
        <v>113</v>
      </c>
      <c r="D29" s="75">
        <f>VLOOKUP(C29,Country_Data!B:F,5,FALSE)</f>
        <v>1012</v>
      </c>
      <c r="E29" s="75">
        <f>D29*Projections_Data!$C$15</f>
        <v>36.485161505797031</v>
      </c>
      <c r="F29" s="75">
        <f>VLOOKUP(C29,Country_Data!C:G,5,FALSE)</f>
        <v>3</v>
      </c>
      <c r="G29" s="76">
        <f>IFERROR(VLOOKUP(C29,Days_Since_100!C:G,5,FALSE)-1,0)</f>
        <v>0.20886802113206215</v>
      </c>
      <c r="H29" s="77">
        <f>IFERROR(VLOOKUP(C29,Deaths_since_10!C:G,5,FALSE)-1,0)</f>
        <v>0</v>
      </c>
      <c r="J29" s="68">
        <f t="shared" si="4"/>
        <v>23.870287624946513</v>
      </c>
      <c r="K29" s="67">
        <v>9.6999999999999993</v>
      </c>
      <c r="L29" s="61">
        <f>VLOOKUP(C29,Country_Data!C:J,8,FALSE)</f>
        <v>34813871</v>
      </c>
      <c r="M29" s="60">
        <f t="shared" ref="M29:M36" si="6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1"/>
        <v>27</v>
      </c>
      <c r="C30" s="62" t="s">
        <v>57</v>
      </c>
      <c r="D30" s="75">
        <f>VLOOKUP(C30,Country_Data!B:F,5,FALSE)</f>
        <v>727</v>
      </c>
      <c r="E30" s="75">
        <f>D30*Projections_Data!$C$15</f>
        <v>26.210190133117038</v>
      </c>
      <c r="F30" s="75">
        <f>VLOOKUP(C30,Country_Data!C:G,5,FALSE)</f>
        <v>20</v>
      </c>
      <c r="G30" s="76">
        <f>IFERROR(VLOOKUP(C30,Days_Since_100!C:G,5,FALSE)-1,0)</f>
        <v>0.17112727119464188</v>
      </c>
      <c r="H30" s="77">
        <f>IFERROR(VLOOKUP(C30,Deaths_since_10!C:G,5,FALSE)-1,0)</f>
        <v>0.25992104989487319</v>
      </c>
      <c r="J30" s="68" t="str">
        <f t="shared" si="4"/>
        <v/>
      </c>
      <c r="K30" s="67"/>
      <c r="L30" s="61">
        <f>VLOOKUP(C30,Country_Data!C:J,8,FALSE)</f>
        <v>1380004385</v>
      </c>
      <c r="M30" s="60">
        <f t="shared" si="6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1"/>
        <v>28</v>
      </c>
      <c r="C31" s="62" t="s">
        <v>344</v>
      </c>
      <c r="D31" s="75">
        <f>VLOOKUP(C31,Country_Data!B:F,5,FALSE)</f>
        <v>840</v>
      </c>
      <c r="E31" s="75">
        <f>D31*Projections_Data!$C$15</f>
        <v>30.284126151056824</v>
      </c>
      <c r="F31" s="75">
        <f>VLOOKUP(C31,Country_Data!C:G,5,FALSE)</f>
        <v>3</v>
      </c>
      <c r="G31" s="76">
        <f>IFERROR(VLOOKUP(C31,Days_Since_100!C:G,5,FALSE)-1,0)</f>
        <v>0.22380316466607342</v>
      </c>
      <c r="H31" s="77">
        <f>IFERROR(VLOOKUP(C31,Deaths_since_10!C:G,5,FALSE)-1,0)</f>
        <v>0</v>
      </c>
      <c r="J31" s="68">
        <f t="shared" si="4"/>
        <v>28.455266698590393</v>
      </c>
      <c r="K31" s="67">
        <v>6.5</v>
      </c>
      <c r="L31" s="61">
        <f>VLOOKUP(C31,Country_Data!C:J,8,FALSE)</f>
        <v>145934462</v>
      </c>
      <c r="M31" s="60">
        <f t="shared" si="6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1"/>
        <v>29</v>
      </c>
      <c r="C32" s="62" t="s">
        <v>98</v>
      </c>
      <c r="D32" s="75">
        <f>VLOOKUP(C32,Country_Data!B:F,5,FALSE)</f>
        <v>1819</v>
      </c>
      <c r="E32" s="75">
        <f>D32*Projections_Data!$C$15</f>
        <v>65.579554129490916</v>
      </c>
      <c r="F32" s="75">
        <f>VLOOKUP(C32,Country_Data!C:G,5,FALSE)</f>
        <v>19</v>
      </c>
      <c r="G32" s="76">
        <f>IFERROR(VLOOKUP(C32,Days_Since_100!C:G,5,FALSE)-1,0)</f>
        <v>0.1830214209534422</v>
      </c>
      <c r="H32" s="77">
        <f>IFERROR(VLOOKUP(C32,Deaths_since_10!C:G,5,FALSE)-1,0)</f>
        <v>1.1111111111111112</v>
      </c>
      <c r="J32" s="68" t="str">
        <f t="shared" si="4"/>
        <v/>
      </c>
      <c r="K32" s="67"/>
      <c r="L32" s="61">
        <f>VLOOKUP(C32,Country_Data!C:J,8,FALSE)</f>
        <v>4937786</v>
      </c>
      <c r="M32" s="60">
        <f t="shared" si="6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1"/>
        <v>30</v>
      </c>
      <c r="C33" s="62" t="s">
        <v>80</v>
      </c>
      <c r="D33" s="75">
        <f>VLOOKUP(C33,Country_Data!B:F,5,FALSE)</f>
        <v>1201</v>
      </c>
      <c r="E33" s="75">
        <f>D33*Projections_Data!$C$15</f>
        <v>43.299089889784817</v>
      </c>
      <c r="F33" s="75">
        <f>VLOOKUP(C33,Country_Data!C:G,5,FALSE)</f>
        <v>9</v>
      </c>
      <c r="G33" s="76">
        <f>IFERROR(VLOOKUP(C33,Days_Since_100!C:G,5,FALSE)-1,0)</f>
        <v>0.10469917444851684</v>
      </c>
      <c r="H33" s="77">
        <f>IFERROR(VLOOKUP(C33,Deaths_since_10!C:G,5,FALSE)-1,0)</f>
        <v>0.125</v>
      </c>
      <c r="J33" s="68" t="str">
        <f t="shared" si="4"/>
        <v/>
      </c>
      <c r="K33" s="67"/>
      <c r="L33" s="61">
        <f>VLOOKUP(C33,Country_Data!C:J,8,FALSE)</f>
        <v>220892340</v>
      </c>
      <c r="M33" s="60">
        <f t="shared" si="6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1"/>
        <v>31</v>
      </c>
      <c r="C34" s="62" t="s">
        <v>111</v>
      </c>
      <c r="D34" s="75">
        <f>VLOOKUP(C34,Country_Data!B:F,5,FALSE)</f>
        <v>244</v>
      </c>
      <c r="E34" s="75">
        <f>D34*Projections_Data!$C$15</f>
        <v>8.7968175962593627</v>
      </c>
      <c r="F34" s="75">
        <f>VLOOKUP(C34,Country_Data!C:G,5,FALSE)</f>
        <v>0</v>
      </c>
      <c r="G34" s="76">
        <f>IFERROR(VLOOKUP(C34,Days_Since_100!C:G,5,FALSE)-1,0)</f>
        <v>0.14496873612332051</v>
      </c>
      <c r="H34" s="77">
        <f>IFERROR(VLOOKUP(C34,Deaths_since_10!C:G,5,FALSE)-1,0)</f>
        <v>0</v>
      </c>
      <c r="J34" s="68">
        <f t="shared" si="4"/>
        <v>23.346992174092627</v>
      </c>
      <c r="K34" s="67">
        <v>11</v>
      </c>
      <c r="L34" s="61">
        <f>VLOOKUP(C34,Country_Data!C:J,8,FALSE)</f>
        <v>1886198</v>
      </c>
      <c r="M34" s="60">
        <f t="shared" si="6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1"/>
        <v>32</v>
      </c>
      <c r="C35" s="62" t="s">
        <v>67</v>
      </c>
      <c r="D35" s="75">
        <f>VLOOKUP(C35,Country_Data!B:F,5,FALSE)</f>
        <v>368</v>
      </c>
      <c r="E35" s="75">
        <f>D35*Projections_Data!$C$15</f>
        <v>13.267331456653466</v>
      </c>
      <c r="F35" s="75">
        <f>VLOOKUP(C35,Country_Data!C:G,5,FALSE)</f>
        <v>6</v>
      </c>
      <c r="G35" s="76">
        <f>IFERROR(VLOOKUP(C35,Days_Since_100!C:G,5,FALSE)-1,0)</f>
        <v>0.1449888102635597</v>
      </c>
      <c r="H35" s="77">
        <f>IFERROR(VLOOKUP(C35,Deaths_since_10!C:G,5,FALSE)-1,0)</f>
        <v>0</v>
      </c>
      <c r="J35" s="68">
        <f t="shared" si="4"/>
        <v>25.453156522453789</v>
      </c>
      <c r="K35" s="67">
        <v>6.1</v>
      </c>
      <c r="L35" s="61">
        <f>VLOOKUP(C35,Country_Data!C:J,8,FALSE)</f>
        <v>6825445</v>
      </c>
      <c r="M35" s="60">
        <f t="shared" si="6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1"/>
        <v>33</v>
      </c>
      <c r="C36" s="62" t="s">
        <v>342</v>
      </c>
      <c r="D36" s="75">
        <f>VLOOKUP(C36,Country_Data!B:F,5,FALSE)</f>
        <v>252</v>
      </c>
      <c r="E36" s="75">
        <f>D36*Projections_Data!$C$15</f>
        <v>9.0852378453170477</v>
      </c>
      <c r="F36" s="75">
        <f>VLOOKUP(C36,Country_Data!C:G,5,FALSE)</f>
        <v>2</v>
      </c>
      <c r="G36" s="76">
        <f>IFERROR(VLOOKUP(C36,Days_Since_100!C:G,5,FALSE)-1,0)</f>
        <v>0.10494795379650301</v>
      </c>
      <c r="H36" s="77">
        <f>IFERROR(VLOOKUP(C36,Deaths_since_10!C:G,5,FALSE)-1,0)</f>
        <v>0</v>
      </c>
      <c r="J36" s="68" t="str">
        <f t="shared" si="4"/>
        <v/>
      </c>
      <c r="K36" s="67"/>
      <c r="L36" s="61">
        <f>VLOOKUP(C36,Country_Data!C:J,8,FALSE)</f>
        <v>23816775</v>
      </c>
      <c r="M36" s="60">
        <f t="shared" si="6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7">B36+1</f>
        <v>34</v>
      </c>
      <c r="C37" s="62" t="s">
        <v>54</v>
      </c>
      <c r="D37" s="75">
        <f>VLOOKUP(C37,Country_Data!B:F,5,FALSE)</f>
        <v>958</v>
      </c>
      <c r="E37" s="75">
        <f>D37*Projections_Data!$C$15</f>
        <v>34.538324824657664</v>
      </c>
      <c r="F37" s="75">
        <f>VLOOKUP(C37,Country_Data!C:G,5,FALSE)</f>
        <v>5</v>
      </c>
      <c r="G37" s="76">
        <f>IFERROR(VLOOKUP(C37,Days_Since_100!C:G,5,FALSE)-1,0)</f>
        <v>0.12868502767003398</v>
      </c>
      <c r="H37" s="77">
        <f>IFERROR(VLOOKUP(C37,Deaths_since_10!C:G,5,FALSE)-1,0)</f>
        <v>0</v>
      </c>
      <c r="I37" s="58"/>
      <c r="J37" s="68" t="str">
        <f t="shared" si="4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7"/>
        <v>35</v>
      </c>
      <c r="C38" s="62" t="s">
        <v>199</v>
      </c>
      <c r="D38" s="75">
        <f>VLOOKUP(C38,Country_Data!B:F,5,FALSE)</f>
        <v>264</v>
      </c>
      <c r="E38" s="75">
        <f>D38*Projections_Data!$C$15</f>
        <v>9.5178682189035726</v>
      </c>
      <c r="F38" s="75">
        <f>VLOOKUP(C38,Country_Data!C:G,5,FALSE)</f>
        <v>3</v>
      </c>
      <c r="G38" s="76">
        <f>IFERROR(VLOOKUP(C38,Days_Since_100!C:G,5,FALSE)-1,0)</f>
        <v>0.10124326279298246</v>
      </c>
      <c r="H38" s="77">
        <f>IFERROR(VLOOKUP(C38,Deaths_since_10!C:G,5,FALSE)-1,0)</f>
        <v>0</v>
      </c>
      <c r="J38" s="68" t="str">
        <f t="shared" si="4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7"/>
        <v>36</v>
      </c>
      <c r="C39" s="62" t="s">
        <v>92</v>
      </c>
      <c r="D39" s="75">
        <f>VLOOKUP(C39,Country_Data!B:F,5,FALSE)</f>
        <v>802</v>
      </c>
      <c r="E39" s="75">
        <f>D39*Projections_Data!$C$15</f>
        <v>28.914129968032825</v>
      </c>
      <c r="F39" s="75">
        <f>VLOOKUP(C39,Country_Data!C:G,5,FALSE)</f>
        <v>5</v>
      </c>
      <c r="G39" s="76">
        <f>IFERROR(VLOOKUP(C39,Days_Since_100!C:G,5,FALSE)-1,0)</f>
        <v>0.11138017503610298</v>
      </c>
      <c r="H39" s="77">
        <f>IFERROR(VLOOKUP(C39,Deaths_since_10!C:G,5,FALSE)-1,0)</f>
        <v>0</v>
      </c>
      <c r="J39" s="68" t="str">
        <f t="shared" si="4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7"/>
        <v>37</v>
      </c>
      <c r="C40" s="62" t="s">
        <v>92</v>
      </c>
      <c r="D40" s="75">
        <f>VLOOKUP(C40,Country_Data!B:F,5,FALSE)</f>
        <v>802</v>
      </c>
      <c r="E40" s="75">
        <f>D40*Projections_Data!$C$15</f>
        <v>28.914129968032825</v>
      </c>
      <c r="F40" s="75">
        <f>VLOOKUP(C40,Country_Data!C:G,5,FALSE)</f>
        <v>5</v>
      </c>
      <c r="G40" s="76">
        <f>IFERROR(VLOOKUP(C40,Days_Since_100!C:G,5,FALSE)-1,0)</f>
        <v>0.11138017503610298</v>
      </c>
      <c r="H40" s="77">
        <f>IFERROR(VLOOKUP(C40,Deaths_since_10!C:G,5,FALSE)-1,0)</f>
        <v>0</v>
      </c>
      <c r="J40" s="68">
        <f t="shared" si="4"/>
        <v>5.9602045152342331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7"/>
        <v>38</v>
      </c>
      <c r="C41" s="62" t="s">
        <v>160</v>
      </c>
      <c r="D41" s="75">
        <f>VLOOKUP(C41,Country_Data!B:F,5,FALSE)</f>
        <v>580</v>
      </c>
      <c r="E41" s="75">
        <f>D41*Projections_Data!$C$15</f>
        <v>20.910468056682092</v>
      </c>
      <c r="F41" s="75">
        <f>VLOOKUP(C41,Country_Data!C:G,5,FALSE)</f>
        <v>9</v>
      </c>
      <c r="G41" s="76">
        <f>IFERROR(VLOOKUP(C41,Days_Since_100!C:G,5,FALSE)-1,0)</f>
        <v>0.12771712300946247</v>
      </c>
      <c r="H41" s="77">
        <f>IFERROR(VLOOKUP(C41,Deaths_since_10!C:G,5,FALSE)-1,0)</f>
        <v>0</v>
      </c>
      <c r="J41" s="68">
        <f t="shared" si="4"/>
        <v>51.046711028676178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7"/>
        <v>39</v>
      </c>
      <c r="C42" s="62" t="s">
        <v>162</v>
      </c>
      <c r="D42" s="75">
        <f>VLOOKUP(C42,Country_Data!B:F,5,FALSE)</f>
        <v>226</v>
      </c>
      <c r="E42" s="75">
        <f>D42*Projections_Data!$C$15</f>
        <v>8.1478720358795744</v>
      </c>
      <c r="F42" s="75">
        <f>VLOOKUP(C42,Country_Data!C:G,5,FALSE)</f>
        <v>1</v>
      </c>
      <c r="G42" s="76">
        <f>IFERROR(VLOOKUP(C42,Days_Since_100!C:G,5,FALSE)-1,0)</f>
        <v>4.8908699414033752E-2</v>
      </c>
      <c r="H42" s="77">
        <f>IFERROR(VLOOKUP(C42,Deaths_since_10!C:G,5,FALSE)-1,0)</f>
        <v>0</v>
      </c>
      <c r="I42" s="58"/>
      <c r="J42" s="68" t="str">
        <f t="shared" si="4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7"/>
        <v>40</v>
      </c>
      <c r="C43" s="62" t="s">
        <v>40</v>
      </c>
      <c r="D43" s="75">
        <f>VLOOKUP(C43,Country_Data!B:F,5,FALSE)</f>
        <v>683</v>
      </c>
      <c r="E43" s="75">
        <f>D43*Projections_Data!$C$15</f>
        <v>24.623878763299775</v>
      </c>
      <c r="F43" s="75">
        <f>VLOOKUP(C43,Country_Data!C:G,5,FALSE)</f>
        <v>2</v>
      </c>
      <c r="G43" s="76">
        <f>IFERROR(VLOOKUP(C43,Days_Since_100!C:G,5,FALSE)-1,0)</f>
        <v>9.5941547209287492E-2</v>
      </c>
      <c r="H43" s="77">
        <f>IFERROR(VLOOKUP(C43,Deaths_since_10!C:G,5,FALSE)-1,0)</f>
        <v>0</v>
      </c>
      <c r="J43" s="68" t="str">
        <f t="shared" si="4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7"/>
        <v>41</v>
      </c>
      <c r="C44" s="62" t="s">
        <v>65</v>
      </c>
      <c r="D44" s="75">
        <f>VLOOKUP(C44,Country_Data!B:F,5,FALSE)</f>
        <v>495</v>
      </c>
      <c r="E44" s="75">
        <f>D44*Projections_Data!$C$15</f>
        <v>17.846002910444199</v>
      </c>
      <c r="F44" s="75">
        <f>VLOOKUP(C44,Country_Data!C:G,5,FALSE)</f>
        <v>24</v>
      </c>
      <c r="G44" s="76">
        <f>IFERROR(VLOOKUP(C44,Days_Since_100!C:G,5,FALSE)-1,0)</f>
        <v>0.10981751293348574</v>
      </c>
      <c r="H44" s="77">
        <f>IFERROR(VLOOKUP(C44,Deaths_since_10!C:G,5,FALSE)-1,0)</f>
        <v>0.19135789816709159</v>
      </c>
      <c r="J44" s="68">
        <f t="shared" ref="J44:J66" si="8">IFERROR(LOG((M44/E44),1+G44),"")</f>
        <v>42.53001922441328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7"/>
        <v>42</v>
      </c>
      <c r="C45" s="62" t="s">
        <v>85</v>
      </c>
      <c r="D45" s="75">
        <f>VLOOKUP(C45,Country_Data!B:F,5,FALSE)</f>
        <v>3369</v>
      </c>
      <c r="E45" s="75">
        <f>D45*Projections_Data!$C$15</f>
        <v>121.46097738441719</v>
      </c>
      <c r="F45" s="75">
        <f>VLOOKUP(C45,Country_Data!C:G,5,FALSE)</f>
        <v>14</v>
      </c>
      <c r="G45" s="76">
        <f>IFERROR(VLOOKUP(C45,Days_Since_100!C:G,5,FALSE)-1,0)</f>
        <v>9.7273803849192264E-2</v>
      </c>
      <c r="H45" s="77">
        <f>IFERROR(VLOOKUP(C45,Deaths_since_10!C:G,5,FALSE)-1,0)</f>
        <v>0.1186889420813968</v>
      </c>
      <c r="J45" s="68">
        <f t="shared" si="8"/>
        <v>13.710821734891413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7"/>
        <v>43</v>
      </c>
      <c r="C46" s="62" t="s">
        <v>59</v>
      </c>
      <c r="D46" s="75">
        <f>VLOOKUP(C46,Country_Data!B:F,5,FALSE)</f>
        <v>2840</v>
      </c>
      <c r="E46" s="75">
        <f>D46*Projections_Data!$C$15</f>
        <v>102.38918841547783</v>
      </c>
      <c r="F46" s="75">
        <f>VLOOKUP(C46,Country_Data!C:G,5,FALSE)</f>
        <v>77</v>
      </c>
      <c r="G46" s="76">
        <f>IFERROR(VLOOKUP(C46,Days_Since_100!C:G,5,FALSE)-1,0)</f>
        <v>0.10005197616979267</v>
      </c>
      <c r="H46" s="77">
        <f>IFERROR(VLOOKUP(C46,Deaths_since_10!C:G,5,FALSE)-1,0)</f>
        <v>0.30945972654651199</v>
      </c>
      <c r="J46" s="68">
        <f t="shared" si="8"/>
        <v>27.971476920369131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7"/>
        <v>44</v>
      </c>
      <c r="C47" s="62" t="s">
        <v>83</v>
      </c>
      <c r="D47" s="75">
        <f>VLOOKUP(C47,Country_Data!B:F,5,FALSE)</f>
        <v>892</v>
      </c>
      <c r="E47" s="75">
        <f>D47*Projections_Data!$C$15</f>
        <v>32.158857769931771</v>
      </c>
      <c r="F47" s="75">
        <f>VLOOKUP(C47,Country_Data!C:G,5,FALSE)</f>
        <v>26</v>
      </c>
      <c r="G47" s="76">
        <f>IFERROR(VLOOKUP(C47,Days_Since_100!C:G,5,FALSE)-1,0)</f>
        <v>0.10973120152108495</v>
      </c>
      <c r="H47" s="77">
        <f>IFERROR(VLOOKUP(C47,Deaths_since_10!C:G,5,FALSE)-1,0)</f>
        <v>0.1486983549970351</v>
      </c>
      <c r="J47" s="68" t="str">
        <f t="shared" si="8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7"/>
        <v>45</v>
      </c>
      <c r="C48" s="62" t="s">
        <v>70</v>
      </c>
      <c r="D48" s="75">
        <f>VLOOKUP(C48,Country_Data!B:F,5,FALSE)</f>
        <v>382</v>
      </c>
      <c r="E48" s="75">
        <f>D48*Projections_Data!$C$15</f>
        <v>13.772066892504412</v>
      </c>
      <c r="F48" s="75">
        <f>VLOOKUP(C48,Country_Data!C:G,5,FALSE)</f>
        <v>36</v>
      </c>
      <c r="G48" s="76">
        <f>IFERROR(VLOOKUP(C48,Days_Since_100!C:G,5,FALSE)-1,0)</f>
        <v>0.12287113523900772</v>
      </c>
      <c r="H48" s="77">
        <f>IFERROR(VLOOKUP(C48,Deaths_since_10!C:G,5,FALSE)-1,0)</f>
        <v>0.16190525490599006</v>
      </c>
      <c r="J48" s="68">
        <f t="shared" si="8"/>
        <v>44.285743894033153</v>
      </c>
      <c r="K48" s="67">
        <v>5.8</v>
      </c>
      <c r="L48" s="61">
        <f>VLOOKUP(C48,Country_Data!C:J,8,FALSE)</f>
        <v>40222493</v>
      </c>
      <c r="M48" s="60">
        <f t="shared" ref="M48:M61" si="9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7"/>
        <v>46</v>
      </c>
      <c r="C49" s="62" t="s">
        <v>141</v>
      </c>
      <c r="D49" s="75">
        <f>VLOOKUP(C49,Country_Data!B:F,5,FALSE)</f>
        <v>562</v>
      </c>
      <c r="E49" s="75">
        <f>D49*Projections_Data!$C$15</f>
        <v>20.261522496302305</v>
      </c>
      <c r="F49" s="75">
        <f>VLOOKUP(C49,Country_Data!C:G,5,FALSE)</f>
        <v>6</v>
      </c>
      <c r="G49" s="76">
        <f>IFERROR(VLOOKUP(C49,Days_Since_100!C:G,5,FALSE)-1,0)</f>
        <v>7.9710956172760028E-2</v>
      </c>
      <c r="H49" s="77">
        <f>IFERROR(VLOOKUP(C49,Deaths_since_10!C:G,5,FALSE)-1,0)</f>
        <v>0</v>
      </c>
      <c r="J49" s="68" t="str">
        <f t="shared" si="8"/>
        <v/>
      </c>
      <c r="K49" s="67"/>
      <c r="L49" s="61">
        <f>VLOOKUP(C49,Country_Data!C:J,8,FALSE)</f>
        <v>2078938</v>
      </c>
      <c r="M49" s="60">
        <f t="shared" si="9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7"/>
        <v>47</v>
      </c>
      <c r="C50" s="62" t="s">
        <v>87</v>
      </c>
      <c r="D50" s="75">
        <f>VLOOKUP(C50,Country_Data!B:F,5,FALSE)</f>
        <v>2023</v>
      </c>
      <c r="E50" s="75">
        <f>D50*Projections_Data!$C$15</f>
        <v>72.934270480461848</v>
      </c>
      <c r="F50" s="75">
        <f>VLOOKUP(C50,Country_Data!C:G,5,FALSE)</f>
        <v>41</v>
      </c>
      <c r="G50" s="76">
        <f>IFERROR(VLOOKUP(C50,Days_Since_100!C:G,5,FALSE)-1,0)</f>
        <v>7.3350363432644228E-2</v>
      </c>
      <c r="H50" s="77">
        <f>IFERROR(VLOOKUP(C50,Deaths_since_10!C:G,5,FALSE)-1,0)</f>
        <v>0.25825336604246707</v>
      </c>
      <c r="J50" s="68" t="str">
        <f t="shared" si="8"/>
        <v/>
      </c>
      <c r="K50" s="67"/>
      <c r="L50" s="61">
        <f>VLOOKUP(C50,Country_Data!C:J,8,FALSE)</f>
        <v>5792202</v>
      </c>
      <c r="M50" s="60">
        <f t="shared" si="9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7"/>
        <v>48</v>
      </c>
      <c r="C51" s="62" t="s">
        <v>90</v>
      </c>
      <c r="D51" s="75">
        <f>VLOOKUP(C51,Country_Data!B:F,5,FALSE)</f>
        <v>208</v>
      </c>
      <c r="E51" s="75">
        <f>D51*Projections_Data!$C$15</f>
        <v>7.4989264754997853</v>
      </c>
      <c r="F51" s="75">
        <f>VLOOKUP(C51,Country_Data!C:G,5,FALSE)</f>
        <v>21</v>
      </c>
      <c r="G51" s="76">
        <f>IFERROR(VLOOKUP(C51,Days_Since_100!C:G,5,FALSE)-1,0)</f>
        <v>7.6316922514810814E-2</v>
      </c>
      <c r="H51" s="77">
        <f>IFERROR(VLOOKUP(C51,Deaths_since_10!C:G,5,FALSE)-1,0)</f>
        <v>9.805797673485328E-3</v>
      </c>
      <c r="J51" s="68" t="str">
        <f t="shared" si="8"/>
        <v/>
      </c>
      <c r="K51" s="67"/>
      <c r="L51" s="61">
        <f>VLOOKUP(C51,Country_Data!C:J,8,FALSE)</f>
        <v>33931</v>
      </c>
      <c r="M51" s="60">
        <f t="shared" si="9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7"/>
        <v>49</v>
      </c>
      <c r="C52" s="62" t="s">
        <v>55</v>
      </c>
      <c r="D52" s="75">
        <f>VLOOKUP(C52,Country_Data!B:F,5,FALSE)</f>
        <v>333</v>
      </c>
      <c r="E52" s="75">
        <f>D52*Projections_Data!$C$15</f>
        <v>12.005492867026097</v>
      </c>
      <c r="F52" s="75">
        <f>VLOOKUP(C52,Country_Data!C:G,5,FALSE)</f>
        <v>2</v>
      </c>
      <c r="G52" s="76">
        <f>IFERROR(VLOOKUP(C52,Days_Since_100!C:G,5,FALSE)-1,0)</f>
        <v>0.16828973416570703</v>
      </c>
      <c r="H52" s="77">
        <f>IFERROR(VLOOKUP(C52,Deaths_since_10!C:G,5,FALSE)-1,0)</f>
        <v>0</v>
      </c>
      <c r="J52" s="68">
        <f t="shared" si="8"/>
        <v>25.786740166793717</v>
      </c>
      <c r="K52" s="67">
        <v>6.7</v>
      </c>
      <c r="L52" s="61">
        <f>VLOOKUP(C52,Country_Data!C:J,8,FALSE)</f>
        <v>9890402</v>
      </c>
      <c r="M52" s="60">
        <f t="shared" si="9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7"/>
        <v>50</v>
      </c>
      <c r="C53" s="62" t="s">
        <v>73</v>
      </c>
      <c r="D53" s="75">
        <f>VLOOKUP(C53,Country_Data!B:F,5,FALSE)</f>
        <v>458</v>
      </c>
      <c r="E53" s="75">
        <f>D53*Projections_Data!$C$15</f>
        <v>16.512059258552412</v>
      </c>
      <c r="F53" s="75">
        <f>VLOOKUP(C53,Country_Data!C:G,5,FALSE)</f>
        <v>4</v>
      </c>
      <c r="G53" s="76">
        <f>IFERROR(VLOOKUP(C53,Days_Since_100!C:G,5,FALSE)-1,0)</f>
        <v>8.4708710650335917E-2</v>
      </c>
      <c r="H53" s="77">
        <f>IFERROR(VLOOKUP(C53,Deaths_since_10!C:G,5,FALSE)-1,0)</f>
        <v>0</v>
      </c>
      <c r="J53" s="68" t="str">
        <f t="shared" si="8"/>
        <v/>
      </c>
      <c r="K53" s="67"/>
      <c r="L53" s="61">
        <f>VLOOKUP(C53,Country_Data!C:J,8,FALSE)</f>
        <v>1701575</v>
      </c>
      <c r="M53" s="60">
        <f t="shared" si="9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7"/>
        <v>51</v>
      </c>
      <c r="C54" s="62" t="s">
        <v>88</v>
      </c>
      <c r="D54" s="75">
        <f>VLOOKUP(C54,Country_Data!B:F,5,FALSE)</f>
        <v>538</v>
      </c>
      <c r="E54" s="75">
        <f>D54*Projections_Data!$C$15</f>
        <v>19.396261749129252</v>
      </c>
      <c r="F54" s="75">
        <f>VLOOKUP(C54,Country_Data!C:G,5,FALSE)</f>
        <v>1</v>
      </c>
      <c r="G54" s="76">
        <f>IFERROR(VLOOKUP(C54,Days_Since_100!C:G,5,FALSE)-1,0)</f>
        <v>0.11946925289038357</v>
      </c>
      <c r="H54" s="77">
        <f>IFERROR(VLOOKUP(C54,Deaths_since_10!C:G,5,FALSE)-1,0)</f>
        <v>0</v>
      </c>
      <c r="J54" s="68" t="str">
        <f t="shared" si="8"/>
        <v/>
      </c>
      <c r="K54" s="67"/>
      <c r="L54" s="61">
        <f>VLOOKUP(C54,Country_Data!C:J,8,FALSE)</f>
        <v>1326535</v>
      </c>
      <c r="M54" s="60">
        <f t="shared" si="9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7"/>
        <v>52</v>
      </c>
      <c r="C55" s="62" t="s">
        <v>74</v>
      </c>
      <c r="D55" s="75">
        <f>VLOOKUP(C55,Country_Data!B:F,5,FALSE)</f>
        <v>208</v>
      </c>
      <c r="E55" s="75">
        <f>D55*Projections_Data!$C$15</f>
        <v>7.4989264754997853</v>
      </c>
      <c r="F55" s="75">
        <f>VLOOKUP(C55,Country_Data!C:G,5,FALSE)</f>
        <v>0</v>
      </c>
      <c r="G55" s="76">
        <f>IFERROR(VLOOKUP(C55,Days_Since_100!C:G,5,FALSE)-1,0)</f>
        <v>3.3975226531950176E-2</v>
      </c>
      <c r="H55" s="77">
        <f>IFERROR(VLOOKUP(C55,Deaths_since_10!C:G,5,FALSE)-1,0)</f>
        <v>0</v>
      </c>
      <c r="J55" s="68" t="str">
        <f t="shared" si="8"/>
        <v/>
      </c>
      <c r="K55" s="67"/>
      <c r="L55" s="61">
        <f>VLOOKUP(C55,Country_Data!C:J,8,FALSE)</f>
        <v>4270571</v>
      </c>
      <c r="M55" s="60">
        <f t="shared" si="9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7"/>
        <v>53</v>
      </c>
      <c r="C56" s="62" t="s">
        <v>338</v>
      </c>
      <c r="D56" s="75">
        <f>VLOOKUP(C56,Country_Data!B:F,5,FALSE)</f>
        <v>29406</v>
      </c>
      <c r="E56" s="75">
        <f>D56*Projections_Data!$C$15</f>
        <v>1060.1607304737822</v>
      </c>
      <c r="F56" s="75">
        <f>VLOOKUP(C56,Country_Data!C:G,5,FALSE)</f>
        <v>2234</v>
      </c>
      <c r="G56" s="76">
        <f>IFERROR(VLOOKUP(C56,Days_Since_100!C:G,5,FALSE)-1,0)</f>
        <v>7.3671913011717383E-2</v>
      </c>
      <c r="H56" s="77">
        <f>IFERROR(VLOOKUP(C56,Deaths_since_10!C:G,5,FALSE)-1,0)</f>
        <v>7.5015473014780287E-2</v>
      </c>
      <c r="J56" s="68" t="str">
        <f t="shared" si="8"/>
        <v/>
      </c>
      <c r="K56" s="67"/>
      <c r="L56" s="61">
        <f>VLOOKUP(C56,Country_Data!C:J,8,FALSE)</f>
        <v>83992949</v>
      </c>
      <c r="M56" s="60">
        <f t="shared" si="9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7"/>
        <v>54</v>
      </c>
      <c r="C57" s="62" t="s">
        <v>36</v>
      </c>
      <c r="D57" s="75">
        <f>VLOOKUP(C57,Country_Data!B:F,5,FALSE)</f>
        <v>1387</v>
      </c>
      <c r="E57" s="75">
        <f>D57*Projections_Data!$C$15</f>
        <v>50.00486068037597</v>
      </c>
      <c r="F57" s="75">
        <f>VLOOKUP(C57,Country_Data!C:G,5,FALSE)</f>
        <v>47</v>
      </c>
      <c r="G57" s="76">
        <f>IFERROR(VLOOKUP(C57,Days_Since_100!C:G,5,FALSE)-1,0)</f>
        <v>6.6128119339313285E-2</v>
      </c>
      <c r="H57" s="77">
        <f>IFERROR(VLOOKUP(C57,Deaths_since_10!C:G,5,FALSE)-1,0)</f>
        <v>6.0732713038533337E-2</v>
      </c>
      <c r="J57" s="68">
        <f t="shared" si="8"/>
        <v>81.494764285080521</v>
      </c>
      <c r="K57" s="67">
        <v>7.3</v>
      </c>
      <c r="L57" s="61">
        <f>VLOOKUP(C57,Country_Data!C:J,8,FALSE)</f>
        <v>126476461</v>
      </c>
      <c r="M57" s="60">
        <f t="shared" si="9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7"/>
        <v>55</v>
      </c>
      <c r="C58" s="62" t="s">
        <v>101</v>
      </c>
      <c r="D58" s="75">
        <f>VLOOKUP(C58,Country_Data!B:F,5,FALSE)</f>
        <v>549</v>
      </c>
      <c r="E58" s="75">
        <f>D58*Projections_Data!$C$15</f>
        <v>19.792839591583569</v>
      </c>
      <c r="F58" s="75">
        <f>VLOOKUP(C58,Country_Data!C:G,5,FALSE)</f>
        <v>0</v>
      </c>
      <c r="G58" s="76">
        <f>IFERROR(VLOOKUP(C58,Days_Since_100!C:G,5,FALSE)-1,0)</f>
        <v>2.6799039188681428E-2</v>
      </c>
      <c r="H58" s="77">
        <f>IFERROR(VLOOKUP(C58,Deaths_since_10!C:G,5,FALSE)-1,0)</f>
        <v>0</v>
      </c>
      <c r="J58" s="68" t="str">
        <f t="shared" si="8"/>
        <v/>
      </c>
      <c r="K58" s="67"/>
      <c r="L58" s="61">
        <f>VLOOKUP(C58,Country_Data!C:J,8,FALSE)</f>
        <v>2881053</v>
      </c>
      <c r="M58" s="60">
        <f t="shared" si="9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7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8"/>
        <v/>
      </c>
      <c r="K59" s="67"/>
      <c r="L59" s="61">
        <f>VLOOKUP(C59,Country_Data!C:J,8,FALSE)</f>
        <v>0</v>
      </c>
      <c r="M59" s="60">
        <f t="shared" si="9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10">B59+1</f>
        <v>57</v>
      </c>
      <c r="C60" s="62" t="s">
        <v>337</v>
      </c>
      <c r="D60" s="75">
        <f>VLOOKUP(C60,Country_Data!B:F,5,FALSE)</f>
        <v>81782</v>
      </c>
      <c r="E60" s="75">
        <f>D60*Projections_Data!$C$15</f>
        <v>2948.4481010544396</v>
      </c>
      <c r="F60" s="75">
        <f>VLOOKUP(C60,Country_Data!C:G,5,FALSE)</f>
        <v>3291</v>
      </c>
      <c r="G60" s="76">
        <f>IFERROR(VLOOKUP(C60,Days_Since_100!C:G,5,FALSE)-1,0)</f>
        <v>1.1706156796793543E-3</v>
      </c>
      <c r="H60" s="77">
        <f>IFERROR(VLOOKUP(C60,Deaths_since_10!C:G,5,FALSE)-1,0)</f>
        <v>1.9561247418256045E-3</v>
      </c>
      <c r="I60" s="59"/>
      <c r="J60" s="68">
        <f t="shared" si="8"/>
        <v>2450.0703639349222</v>
      </c>
      <c r="K60" s="67">
        <v>3.6</v>
      </c>
      <c r="L60" s="61">
        <f>VLOOKUP(C60,Country_Data!C:J,8,FALSE)</f>
        <v>1439323776</v>
      </c>
      <c r="M60" s="60">
        <f t="shared" si="9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10"/>
        <v>58</v>
      </c>
      <c r="C61" s="62" t="s">
        <v>479</v>
      </c>
      <c r="D61" s="75">
        <f>VLOOKUP(C61,Country_Data!B:F,5,FALSE)</f>
        <v>1925</v>
      </c>
      <c r="E61" s="75">
        <f>D61*Projections_Data!$C$15</f>
        <v>69.401122429505222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8"/>
        <v/>
      </c>
      <c r="K61" s="67">
        <v>11.6</v>
      </c>
      <c r="L61" s="61" t="e">
        <f>VLOOKUP(C61,Country_Data!C:J,8,FALSE)</f>
        <v>#N/A</v>
      </c>
      <c r="M61" s="60" t="e">
        <f t="shared" si="9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10"/>
        <v>59</v>
      </c>
      <c r="C62" s="62" t="s">
        <v>476</v>
      </c>
      <c r="D62" s="75">
        <f>VLOOKUP(C62,Country_Data!B:F,5,FALSE)</f>
        <v>9241</v>
      </c>
      <c r="E62" s="75">
        <f>D62*Projections_Data!$C$15</f>
        <v>333.16144019275725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8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10"/>
        <v>60</v>
      </c>
      <c r="C63" s="62" t="s">
        <v>231</v>
      </c>
      <c r="D63" s="75">
        <f>VLOOKUP(C63,Country_Data!B:F,5,FALSE)</f>
        <v>146</v>
      </c>
      <c r="E63" s="75">
        <f>D63*Projections_Data!$C$15</f>
        <v>5.2636695453027338</v>
      </c>
      <c r="F63" s="75">
        <f>VLOOKUP(C63,Country_Data!C:G,5,FALSE)</f>
        <v>3</v>
      </c>
      <c r="G63" s="76">
        <f>IFERROR(VLOOKUP(C63,Days_Since_100!C:G,5,FALSE)-1,0)</f>
        <v>7.96880356547367E-2</v>
      </c>
      <c r="H63" s="77">
        <f>IFERROR(VLOOKUP(C63,Deaths_since_10!C:G,5,FALSE)-1,0)</f>
        <v>0</v>
      </c>
      <c r="J63" s="68" t="str">
        <f t="shared" si="8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10"/>
        <v>61</v>
      </c>
      <c r="C64" s="62" t="s">
        <v>76</v>
      </c>
      <c r="D64" s="75"/>
      <c r="E64" s="75"/>
      <c r="F64" s="75">
        <f>VLOOKUP(C64,Country_Data!C:G,5,FALSE)</f>
        <v>3</v>
      </c>
      <c r="G64" s="75"/>
      <c r="H64" s="77">
        <f>IFERROR(VLOOKUP(C64,Deaths_since_10!C:G,5,FALSE)-1,0)</f>
        <v>0</v>
      </c>
      <c r="J64" s="68" t="str">
        <f t="shared" si="8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10"/>
        <v>62</v>
      </c>
      <c r="C65" s="62" t="s">
        <v>132</v>
      </c>
      <c r="D65" s="75"/>
      <c r="E65" s="75"/>
      <c r="F65" s="75">
        <f>VLOOKUP(C65,Country_Data!C:G,5,FALSE)</f>
        <v>10</v>
      </c>
      <c r="G65" s="75"/>
      <c r="H65" s="77">
        <f>IFERROR(VLOOKUP(C65,Deaths_since_10!C:G,5,FALSE)-1,0)</f>
        <v>5.4092553389459841E-2</v>
      </c>
      <c r="J65" s="68" t="str">
        <f t="shared" si="8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10"/>
        <v>63</v>
      </c>
      <c r="C66" s="62" t="s">
        <v>93</v>
      </c>
      <c r="D66" s="75"/>
      <c r="E66" s="75"/>
      <c r="F66" s="75">
        <f>VLOOKUP(C66,Country_Data!C:G,5,FALSE)</f>
        <v>4</v>
      </c>
      <c r="G66" s="75"/>
      <c r="H66" s="77">
        <f>IFERROR(VLOOKUP(C66,Deaths_since_10!C:G,5,FALSE)-1,0)</f>
        <v>0</v>
      </c>
      <c r="I66" s="92"/>
      <c r="J66" s="68" t="str">
        <f t="shared" si="8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H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T29"/>
  <sheetViews>
    <sheetView zoomScale="80" zoomScaleNormal="80" workbookViewId="0">
      <selection activeCell="V23" sqref="V23"/>
    </sheetView>
  </sheetViews>
  <sheetFormatPr defaultRowHeight="14.4" x14ac:dyDescent="0.3"/>
  <cols>
    <col min="16" max="16" width="10.33203125" customWidth="1"/>
    <col min="19" max="19" width="11.33203125" bestFit="1" customWidth="1"/>
  </cols>
  <sheetData>
    <row r="3" spans="12:20" x14ac:dyDescent="0.3">
      <c r="S3" t="s">
        <v>596</v>
      </c>
      <c r="T3" t="s">
        <v>514</v>
      </c>
    </row>
    <row r="4" spans="12:20" x14ac:dyDescent="0.3">
      <c r="R4" t="s">
        <v>426</v>
      </c>
      <c r="S4" s="5">
        <v>0</v>
      </c>
      <c r="T4">
        <v>0</v>
      </c>
    </row>
    <row r="5" spans="12:20" x14ac:dyDescent="0.3">
      <c r="R5" t="s">
        <v>427</v>
      </c>
      <c r="S5" s="5">
        <v>100000</v>
      </c>
      <c r="T5">
        <v>5000</v>
      </c>
    </row>
    <row r="6" spans="12:20" x14ac:dyDescent="0.3">
      <c r="L6" s="5"/>
    </row>
    <row r="7" spans="12:20" x14ac:dyDescent="0.3">
      <c r="R7" t="s">
        <v>428</v>
      </c>
      <c r="S7" s="5">
        <v>1</v>
      </c>
      <c r="T7">
        <v>1</v>
      </c>
    </row>
    <row r="8" spans="12:20" x14ac:dyDescent="0.3">
      <c r="R8" t="s">
        <v>429</v>
      </c>
      <c r="S8" s="5">
        <v>35</v>
      </c>
      <c r="T8">
        <v>30</v>
      </c>
    </row>
    <row r="10" spans="12:20" x14ac:dyDescent="0.3">
      <c r="R10">
        <v>1</v>
      </c>
      <c r="S10" t="s">
        <v>349</v>
      </c>
    </row>
    <row r="11" spans="12:20" x14ac:dyDescent="0.3">
      <c r="R11">
        <v>2</v>
      </c>
      <c r="S11" t="s">
        <v>38</v>
      </c>
    </row>
    <row r="12" spans="12:20" x14ac:dyDescent="0.3">
      <c r="R12">
        <v>3</v>
      </c>
      <c r="S12" s="17" t="s">
        <v>58</v>
      </c>
    </row>
    <row r="13" spans="12:20" x14ac:dyDescent="0.3">
      <c r="R13">
        <v>4</v>
      </c>
      <c r="S13" s="17" t="s">
        <v>337</v>
      </c>
    </row>
    <row r="14" spans="12:20" x14ac:dyDescent="0.3">
      <c r="R14">
        <v>5</v>
      </c>
      <c r="S14" s="17" t="s">
        <v>41</v>
      </c>
    </row>
    <row r="15" spans="12:20" x14ac:dyDescent="0.3">
      <c r="R15">
        <v>6</v>
      </c>
      <c r="S15" s="17" t="s">
        <v>53</v>
      </c>
    </row>
    <row r="16" spans="12:20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IC4" activePane="bottomRight" state="frozen"/>
      <selection pane="topRight" activeCell="G1" sqref="G1"/>
      <selection pane="bottomLeft" activeCell="A4" sqref="A4"/>
      <selection pane="bottomRight" activeCell="C16" sqref="C16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43916</v>
      </c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450</v>
      </c>
      <c r="C4" s="21">
        <f>VLOOKUP(B2,Days_Since_100!C:D,2,FALSE)</f>
        <v>83836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24</v>
      </c>
      <c r="F5" s="19" t="s">
        <v>505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13677</v>
      </c>
      <c r="X5" s="40">
        <f>IF(VLOOKUP($B$2,Days_Since_100!$H:$KU,Projections_Data!X$4+2,FALSE)=0,#N/A,VLOOKUP($B$2,Days_Since_100!$H:$KU,Projections_Data!X$4+2,FALSE))</f>
        <v>19100</v>
      </c>
      <c r="Y5" s="40">
        <f>IF(VLOOKUP($B$2,Days_Since_100!$H:$KU,Projections_Data!Y$4+2,FALSE)=0,#N/A,VLOOKUP($B$2,Days_Since_100!$H:$KU,Projections_Data!Y$4+2,FALSE))</f>
        <v>25489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>
        <f>IF(VLOOKUP($B$2,Days_Since_100!$H:$KU,Projections_Data!AB$4+2,FALSE)=0,#N/A,VLOOKUP($B$2,Days_Since_100!$H:$KU,Projections_Data!AB$4+2,FALSE))</f>
        <v>53740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 t="e">
        <f>IF(VLOOKUP($B$2,Days_Since_100!$H:$KU,Projections_Data!AE$4+2,FALSE)=0,#N/A,VLOOKUP($B$2,Days_Since_100!$H:$KU,Projections_Data!AE$4+2,FALSE))</f>
        <v>#N/A</v>
      </c>
      <c r="AF5" s="40" t="e">
        <f>IF(VLOOKUP($B$2,Days_Since_100!$H:$KU,Projections_Data!AF$4+2,FALSE)=0,#N/A,VLOOKUP($B$2,Days_Since_100!$H:$KU,Projections_Data!AF$4+2,FALSE))</f>
        <v>#N/A</v>
      </c>
      <c r="AG5" s="40" t="e">
        <f>IF(VLOOKUP($B$2,Days_Since_100!$H:$KU,Projections_Data!AG$4+2,FALSE)=0,#N/A,VLOOKUP($B$2,Days_Since_100!$H:$KU,Projections_Data!AG$4+2,FALSE))</f>
        <v>#N/A</v>
      </c>
      <c r="AH5" s="40" t="e">
        <f>IF(VLOOKUP($B$2,Days_Since_100!$H:$KU,Projections_Data!AH$4+2,FALSE)=0,#N/A,VLOOKUP($B$2,Days_Since_100!$H:$KU,Projections_Data!AH$4+2,FALSE))</f>
        <v>#N/A</v>
      </c>
      <c r="AI5" s="40" t="e">
        <f>IF(VLOOKUP($B$2,Days_Since_100!$H:$KU,Projections_Data!AI$4+2,FALSE)=0,#N/A,VLOOKUP($B$2,Days_Since_100!$H:$KU,Projections_Data!AI$4+2,FALSE))</f>
        <v>#N/A</v>
      </c>
      <c r="AJ5" s="40" t="e">
        <f>IF(VLOOKUP($B$2,Days_Since_100!$H:$KU,Projections_Data!AJ$4+2,FALSE)=0,#N/A,VLOOKUP($B$2,Days_Since_100!$H:$KU,Projections_Data!AJ$4+2,FALSE))</f>
        <v>#N/A</v>
      </c>
      <c r="AK5" s="40" t="e">
        <f>IF(VLOOKUP($B$2,Days_Since_100!$H:$KU,Projections_Data!AK$4+2,FALSE)=0,#N/A,VLOOKUP($B$2,Days_Since_100!$H:$KU,Projections_Data!AK$4+2,FALSE))</f>
        <v>#N/A</v>
      </c>
      <c r="AL5" s="40" t="e">
        <f>IF(VLOOKUP($B$2,Days_Since_100!$H:$KU,Projections_Data!AL$4+2,FALSE)=0,#N/A,VLOOKUP($B$2,Days_Since_100!$H:$KU,Projections_Data!AL$4+2,FALSE))</f>
        <v>#N/A</v>
      </c>
      <c r="AM5" s="40" t="e">
        <f>IF(VLOOKUP($B$2,Days_Since_100!$H:$KU,Projections_Data!AM$4+2,FALSE)=0,#N/A,VLOOKUP($B$2,Days_Since_100!$H:$KU,Projections_Data!AM$4+2,FALSE))</f>
        <v>#N/A</v>
      </c>
      <c r="AN5" s="40" t="e">
        <f>IF(VLOOKUP($B$2,Days_Since_100!$H:$KU,Projections_Data!AN$4+2,FALSE)=0,#N/A,VLOOKUP($B$2,Days_Since_100!$H:$KU,Projections_Data!AN$4+2,FALSE))</f>
        <v>#N/A</v>
      </c>
      <c r="AO5" s="40" t="e">
        <f>IF(VLOOKUP($B$2,Days_Since_100!$H:$KU,Projections_Data!AO$4+2,FALSE)=0,#N/A,VLOOKUP($B$2,Days_Since_100!$H:$KU,Projections_Data!AO$4+2,FALSE))</f>
        <v>#N/A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78428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 t="e">
        <f ca="1">IF(Projections_Data!AE$4+2-$C$9&lt;2,#N/A,IF(VLOOKUP($B$2,Deaths_since_10!$H:$KU,Projections_Data!AE$4+2-$C$9,FALSE)=0,#N/A,VLOOKUP($B$2,Deaths_since_10!$H:$KU,Projections_Data!AE$4+2-$C$9,FALSE)))</f>
        <v>#N/A</v>
      </c>
      <c r="AF6" s="40" t="e">
        <f ca="1">IF(Projections_Data!AF$4+2-$C$9&lt;2,#N/A,IF(VLOOKUP($B$2,Deaths_since_10!$H:$KU,Projections_Data!AF$4+2-$C$9,FALSE)=0,#N/A,VLOOKUP($B$2,Deaths_since_10!$H:$KU,Projections_Data!AF$4+2-$C$9,FALSE)))</f>
        <v>#N/A</v>
      </c>
      <c r="AG6" s="40" t="e">
        <f ca="1">IF(Projections_Data!AG$4+2-$C$9&lt;2,#N/A,IF(VLOOKUP($B$2,Deaths_since_10!$H:$KU,Projections_Data!AG$4+2-$C$9,FALSE)=0,#N/A,VLOOKUP($B$2,Deaths_since_10!$H:$KU,Projections_Data!AG$4+2-$C$9,FALSE)))</f>
        <v>#N/A</v>
      </c>
      <c r="AH6" s="40" t="e">
        <f ca="1">IF(Projections_Data!AH$4+2-$C$9&lt;2,#N/A,IF(VLOOKUP($B$2,Deaths_since_10!$H:$KU,Projections_Data!AH$4+2-$C$9,FALSE)=0,#N/A,VLOOKUP($B$2,Deaths_since_10!$H:$KU,Projections_Data!AH$4+2-$C$9,FALSE)))</f>
        <v>#N/A</v>
      </c>
      <c r="AI6" s="40" t="e">
        <f ca="1">IF(Projections_Data!AI$4+2-$C$9&lt;2,#N/A,IF(VLOOKUP($B$2,Deaths_since_10!$H:$KU,Projections_Data!AI$4+2-$C$9,FALSE)=0,#N/A,VLOOKUP($B$2,Deaths_since_10!$H:$KU,Projections_Data!AI$4+2-$C$9,FALSE)))</f>
        <v>#N/A</v>
      </c>
      <c r="AJ6" s="40" t="e">
        <f ca="1">IF(Projections_Data!AJ$4+2-$C$9&lt;2,#N/A,IF(VLOOKUP($B$2,Deaths_since_10!$H:$KU,Projections_Data!AJ$4+2-$C$9,FALSE)=0,#N/A,VLOOKUP($B$2,Deaths_since_10!$H:$KU,Projections_Data!AJ$4+2-$C$9,FALSE)))</f>
        <v>#N/A</v>
      </c>
      <c r="AK6" s="40" t="e">
        <f ca="1">IF(Projections_Data!AK$4+2-$C$9&lt;2,#N/A,IF(VLOOKUP($B$2,Deaths_since_10!$H:$KU,Projections_Data!AK$4+2-$C$9,FALSE)=0,#N/A,VLOOKUP($B$2,Deaths_since_10!$H:$KU,Projections_Data!AK$4+2-$C$9,FALSE)))</f>
        <v>#N/A</v>
      </c>
      <c r="AL6" s="40" t="e">
        <f ca="1">IF(Projections_Data!AL$4+2-$C$9&lt;2,#N/A,IF(VLOOKUP($B$2,Deaths_since_10!$H:$KU,Projections_Data!AL$4+2-$C$9,FALSE)=0,#N/A,VLOOKUP($B$2,Deaths_since_10!$H:$KU,Projections_Data!AL$4+2-$C$9,FALSE)))</f>
        <v>#N/A</v>
      </c>
      <c r="AM6" s="40" t="e">
        <f ca="1">IF(Projections_Data!AM$4+2-$C$9&lt;2,#N/A,IF(VLOOKUP($B$2,Deaths_since_10!$H:$KU,Projections_Data!AM$4+2-$C$9,FALSE)=0,#N/A,VLOOKUP($B$2,Deaths_since_10!$H:$KU,Projections_Data!AM$4+2-$C$9,FALSE)))</f>
        <v>#N/A</v>
      </c>
      <c r="AN6" s="40" t="e">
        <f ca="1">IF(Projections_Data!AN$4+2-$C$9&lt;2,#N/A,IF(VLOOKUP($B$2,Deaths_since_10!$H:$KU,Projections_Data!AN$4+2-$C$9,FALSE)=0,#N/A,VLOOKUP($B$2,Deaths_since_10!$H:$KU,Projections_Data!AN$4+2-$C$9,FALSE)))</f>
        <v>#N/A</v>
      </c>
      <c r="AO6" s="40" t="e">
        <f ca="1">IF(Projections_Data!AO$4+2-$C$9&lt;2,#N/A,IF(VLOOKUP($B$2,Deaths_since_10!$H:$KU,Projections_Data!AO$4+2-$C$9,FALSE)=0,#N/A,VLOOKUP($B$2,Deaths_since_10!$H:$KU,Projections_Data!AO$4+2-$C$9,FALSE)))</f>
        <v>#N/A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4199</v>
      </c>
      <c r="F7" s="19" t="s">
        <v>589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(U5-T5)-(U6-T6)</f>
        <v>1766</v>
      </c>
      <c r="V7" s="40">
        <f t="shared" ref="V7" ca="1" si="15">(V5-U5)-(V6-U6)</f>
        <v>1352</v>
      </c>
      <c r="W7" s="40">
        <f t="shared" ref="W7" ca="1" si="16">(W5-V5)-(W6-V6)</f>
        <v>5812</v>
      </c>
      <c r="X7" s="40">
        <f t="shared" ref="X7" ca="1" si="17">(X5-W5)-(X6-W6)</f>
        <v>5379</v>
      </c>
      <c r="Y7" s="40">
        <f ca="1">(Y5-X5)-(Y6-X6)</f>
        <v>6326</v>
      </c>
      <c r="Z7" s="40">
        <f t="shared" ref="Z7" ca="1" si="18">(Z5-Y5)-(Z6-Y6)</f>
        <v>7677</v>
      </c>
      <c r="AA7" s="40">
        <f t="shared" ref="AA7" ca="1" si="19">(AA5-Z5)-(AA6-Z6)</f>
        <v>10431</v>
      </c>
      <c r="AB7" s="40">
        <f t="shared" ref="AB7" ca="1" si="20">(AB5-AA5)-(AB6-AA6)</f>
        <v>9744</v>
      </c>
      <c r="AC7" s="40">
        <f t="shared" ref="AC7" ca="1" si="21">(AC5-AB5)-(AC6-AB6)</f>
        <v>11802</v>
      </c>
      <c r="AD7" s="40">
        <f t="shared" ref="AD7" ca="1" si="22">(AD5-AC5)-(AD6-AC6)</f>
        <v>17791</v>
      </c>
      <c r="AE7" s="40" t="e">
        <f t="shared" ref="AE7" ca="1" si="23">(AE5-AD5)-(AE6-AD6)</f>
        <v>#N/A</v>
      </c>
      <c r="AF7" s="40" t="e">
        <f t="shared" ref="AF7" ca="1" si="24">(AF5-AE5)-(AF6-AE6)</f>
        <v>#N/A</v>
      </c>
      <c r="AG7" s="40" t="e">
        <f t="shared" ref="AG7" ca="1" si="25">(AG5-AF5)-(AG6-AF6)</f>
        <v>#N/A</v>
      </c>
      <c r="AH7" s="40" t="e">
        <f t="shared" ref="AH7" ca="1" si="26">(AH5-AG5)-(AH6-AG6)</f>
        <v>#N/A</v>
      </c>
      <c r="AI7" s="40" t="e">
        <f t="shared" ref="AI7" ca="1" si="27">(AI5-AH5)-(AI6-AH6)</f>
        <v>#N/A</v>
      </c>
      <c r="AJ7" s="40" t="e">
        <f t="shared" ref="AJ7" ca="1" si="28">(AJ5-AI5)-(AJ6-AI6)</f>
        <v>#N/A</v>
      </c>
      <c r="AK7" s="40" t="e">
        <f t="shared" ref="AK7" ca="1" si="29">(AK5-AJ5)-(AK6-AJ6)</f>
        <v>#N/A</v>
      </c>
      <c r="AL7" s="40" t="e">
        <f t="shared" ref="AL7" ca="1" si="30">(AL5-AK5)-(AL6-AK6)</f>
        <v>#N/A</v>
      </c>
      <c r="AM7" s="40" t="e">
        <f t="shared" ref="AM7" ca="1" si="31">(AM5-AL5)-(AM6-AL6)</f>
        <v>#N/A</v>
      </c>
      <c r="AN7" s="40" t="e">
        <f t="shared" ref="AN7" ca="1" si="32">(AN5-AM5)-(AN6-AM6)</f>
        <v>#N/A</v>
      </c>
      <c r="AO7" s="40" t="e">
        <f t="shared" ref="AO7" ca="1" si="33">(AO5-AN5)-(AO6-AN6)</f>
        <v>#N/A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509</v>
      </c>
      <c r="C8" s="21">
        <f>VLOOKUP(B2,Country_Data!C:G,5,FALSE)</f>
        <v>1209</v>
      </c>
      <c r="F8" s="19" t="s">
        <v>506</v>
      </c>
      <c r="G8" s="40">
        <f>G5</f>
        <v>118</v>
      </c>
      <c r="H8" s="40">
        <f ca="1">SUM($G$7:H7)</f>
        <v>149</v>
      </c>
      <c r="I8" s="40">
        <f ca="1">SUM($G$7:I7)</f>
        <v>216</v>
      </c>
      <c r="J8" s="40">
        <f ca="1">SUM($G$7:J7)</f>
        <v>259</v>
      </c>
      <c r="K8" s="40">
        <f ca="1">SUM($G$7:K7)</f>
        <v>396</v>
      </c>
      <c r="L8" s="40">
        <f ca="1">SUM($G$7:L7)</f>
        <v>508</v>
      </c>
      <c r="M8" s="40">
        <f ca="1">SUM($G$7:M7)</f>
        <v>572</v>
      </c>
      <c r="N8" s="40">
        <f ca="1">SUM($G$7:N7)</f>
        <v>942</v>
      </c>
      <c r="O8" s="40">
        <f ca="1">SUM($G$7:O7)</f>
        <v>1256</v>
      </c>
      <c r="P8" s="40">
        <f ca="1">SUM($G$7:P7)</f>
        <v>1634</v>
      </c>
      <c r="Q8" s="40">
        <f ca="1">SUM($G$7:Q7)</f>
        <v>2143</v>
      </c>
      <c r="R8" s="40">
        <f ca="1">SUM(H7:R7)-G7</f>
        <v>2448</v>
      </c>
      <c r="S8" s="40">
        <f t="shared" ref="S8:CD8" ca="1" si="69">SUM(I7:S7)-H7</f>
        <v>3267</v>
      </c>
      <c r="T8" s="40">
        <f t="shared" ca="1" si="69"/>
        <v>4275</v>
      </c>
      <c r="U8" s="40">
        <f t="shared" ca="1" si="69"/>
        <v>6022</v>
      </c>
      <c r="V8" s="40">
        <f t="shared" ca="1" si="69"/>
        <v>7143</v>
      </c>
      <c r="W8" s="40">
        <f t="shared" ca="1" si="69"/>
        <v>12868</v>
      </c>
      <c r="X8" s="40">
        <f t="shared" ca="1" si="69"/>
        <v>18231</v>
      </c>
      <c r="Y8" s="40">
        <f t="shared" ca="1" si="69"/>
        <v>23881</v>
      </c>
      <c r="Z8" s="40">
        <f t="shared" ca="1" si="69"/>
        <v>31300</v>
      </c>
      <c r="AA8" s="40">
        <f t="shared" ca="1" si="69"/>
        <v>41289</v>
      </c>
      <c r="AB8" s="40">
        <f t="shared" ca="1" si="69"/>
        <v>50393</v>
      </c>
      <c r="AC8" s="40">
        <f t="shared" ca="1" si="69"/>
        <v>61622</v>
      </c>
      <c r="AD8" s="40">
        <f t="shared" ca="1" si="69"/>
        <v>78428</v>
      </c>
      <c r="AE8" s="40" t="e">
        <f t="shared" ca="1" si="69"/>
        <v>#N/A</v>
      </c>
      <c r="AF8" s="40" t="e">
        <f t="shared" ca="1" si="69"/>
        <v>#N/A</v>
      </c>
      <c r="AG8" s="40" t="e">
        <f t="shared" ca="1" si="69"/>
        <v>#N/A</v>
      </c>
      <c r="AH8" s="40" t="e">
        <f t="shared" ca="1" si="69"/>
        <v>#N/A</v>
      </c>
      <c r="AI8" s="40" t="e">
        <f t="shared" ca="1" si="69"/>
        <v>#N/A</v>
      </c>
      <c r="AJ8" s="40" t="e">
        <f t="shared" ca="1" si="69"/>
        <v>#N/A</v>
      </c>
      <c r="AK8" s="40" t="e">
        <f ca="1">SUM(AA7:AK7)-Z7</f>
        <v>#N/A</v>
      </c>
      <c r="AL8" s="40" t="e">
        <f t="shared" ca="1" si="69"/>
        <v>#N/A</v>
      </c>
      <c r="AM8" s="40" t="e">
        <f ca="1">SUM(AC7:AM7)-AB7</f>
        <v>#N/A</v>
      </c>
      <c r="AN8" s="40" t="e">
        <f ca="1">SUM(AD7:AN7)-AC7</f>
        <v>#N/A</v>
      </c>
      <c r="AO8" s="40" t="e">
        <f t="shared" ca="1" si="69"/>
        <v>#N/A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574</v>
      </c>
      <c r="C9" s="85">
        <f ca="1">VLOOKUP(B2,Country_Data!C:P,14,FALSE)</f>
        <v>1</v>
      </c>
      <c r="F9" s="19" t="s">
        <v>585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3"/>
        <v>149</v>
      </c>
      <c r="I9" s="40">
        <f t="shared" ca="1" si="73"/>
        <v>216</v>
      </c>
      <c r="J9" s="40">
        <f t="shared" ca="1" si="73"/>
        <v>259</v>
      </c>
      <c r="K9" s="40">
        <f t="shared" ca="1" si="73"/>
        <v>396</v>
      </c>
      <c r="L9" s="40">
        <f t="shared" ca="1" si="73"/>
        <v>508</v>
      </c>
      <c r="M9" s="40">
        <f t="shared" ca="1" si="73"/>
        <v>572</v>
      </c>
      <c r="N9" s="40">
        <f t="shared" ca="1" si="73"/>
        <v>942</v>
      </c>
      <c r="O9" s="40">
        <f t="shared" ca="1" si="73"/>
        <v>1256</v>
      </c>
      <c r="P9" s="40">
        <f t="shared" ca="1" si="73"/>
        <v>1634</v>
      </c>
      <c r="Q9" s="40">
        <f t="shared" ca="1" si="73"/>
        <v>2143</v>
      </c>
      <c r="R9" s="40">
        <f t="shared" ca="1" si="73"/>
        <v>2448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3"/>
        <v>7143</v>
      </c>
      <c r="W9" s="40">
        <f t="shared" ca="1" si="73"/>
        <v>12868</v>
      </c>
      <c r="X9" s="40">
        <f t="shared" ca="1" si="73"/>
        <v>18231</v>
      </c>
      <c r="Y9" s="40">
        <f ca="1">IF(IF(AND(ISNA(Y$8),ISNA(X$8)),X9*(1+$C$11),IF(AND(X$8&gt;0,ISNA(Y$8)),X9*(1+$C$11),Y$8))&gt;$C$21,$C$21,IF(AND(ISNA(Y$8),ISNA(X$8)),X9*(1+$C$11),IF(AND(X$8&gt;0,ISNA(Y$8)),X9*(1+$C$11),Y$8)))</f>
        <v>23881</v>
      </c>
      <c r="Z9" s="40">
        <f t="shared" ca="1" si="73"/>
        <v>31300</v>
      </c>
      <c r="AA9" s="40">
        <f t="shared" ca="1" si="73"/>
        <v>41289</v>
      </c>
      <c r="AB9" s="40">
        <f t="shared" ca="1" si="73"/>
        <v>50393</v>
      </c>
      <c r="AC9" s="40">
        <f t="shared" ca="1" si="73"/>
        <v>61622</v>
      </c>
      <c r="AD9" s="40">
        <f t="shared" ca="1" si="73"/>
        <v>78428</v>
      </c>
      <c r="AE9" s="40">
        <f t="shared" ca="1" si="73"/>
        <v>99484.372845919774</v>
      </c>
      <c r="AF9" s="40">
        <f t="shared" ca="1" si="73"/>
        <v>126193.96695754041</v>
      </c>
      <c r="AG9" s="40">
        <f t="shared" ca="1" si="73"/>
        <v>160074.56086741507</v>
      </c>
      <c r="AH9" s="40">
        <f t="shared" ca="1" si="73"/>
        <v>203051.42674148007</v>
      </c>
      <c r="AI9" s="40">
        <f t="shared" ca="1" si="73"/>
        <v>257566.73439135725</v>
      </c>
      <c r="AJ9" s="40">
        <f t="shared" ca="1" si="73"/>
        <v>326718.32810852973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414435.76234437345</v>
      </c>
      <c r="AL9" s="40">
        <f t="shared" ca="1" si="73"/>
        <v>525703.59950209933</v>
      </c>
      <c r="AM9" s="40">
        <f t="shared" ca="1" si="73"/>
        <v>666844.65878651675</v>
      </c>
      <c r="AN9" s="40">
        <f t="shared" ca="1" si="73"/>
        <v>845879.31178951368</v>
      </c>
      <c r="AO9" s="40">
        <f t="shared" ca="1" si="73"/>
        <v>1072981.2418615546</v>
      </c>
      <c r="AP9" s="40">
        <f t="shared" ca="1" si="73"/>
        <v>1361055.5658952531</v>
      </c>
      <c r="AQ9" s="40">
        <f t="shared" ca="1" si="73"/>
        <v>1726472.1704179335</v>
      </c>
      <c r="AR9" s="40">
        <f t="shared" ca="1" si="73"/>
        <v>2189995.9339771769</v>
      </c>
      <c r="AS9" s="40">
        <f t="shared" ca="1" si="73"/>
        <v>2777966.6959100547</v>
      </c>
      <c r="AT9" s="40">
        <f t="shared" ca="1" si="73"/>
        <v>3523796.0234796717</v>
      </c>
      <c r="AU9" s="40">
        <f t="shared" ca="1" si="73"/>
        <v>4469865.8314992236</v>
      </c>
      <c r="AV9" s="40">
        <f t="shared" ca="1" si="73"/>
        <v>5669936.743919339</v>
      </c>
      <c r="AW9" s="40">
        <f t="shared" ca="1" si="73"/>
        <v>7192203.0530531425</v>
      </c>
      <c r="AX9" s="40">
        <f t="shared" ca="1" si="73"/>
        <v>9123167.8751657736</v>
      </c>
      <c r="AY9" s="40">
        <f t="shared" ca="1" si="73"/>
        <v>11572558.708993083</v>
      </c>
      <c r="AZ9" s="40">
        <f t="shared" ca="1" si="73"/>
        <v>14679562.724878408</v>
      </c>
      <c r="BA9" s="40">
        <f t="shared" ca="1" si="73"/>
        <v>18620736.106197651</v>
      </c>
      <c r="BB9" s="40">
        <f t="shared" ca="1" si="73"/>
        <v>23620036.893130608</v>
      </c>
      <c r="BC9" s="40">
        <f t="shared" ca="1" si="73"/>
        <v>29961551.447322205</v>
      </c>
      <c r="BD9" s="40">
        <f t="shared" ca="1" si="73"/>
        <v>38005637.721574046</v>
      </c>
      <c r="BE9" s="40">
        <f t="shared" ca="1" si="73"/>
        <v>48209402.679400533</v>
      </c>
      <c r="BF9" s="40">
        <f t="shared" ca="1" si="73"/>
        <v>61152677.498298645</v>
      </c>
      <c r="BG9" s="40">
        <f t="shared" ca="1" si="73"/>
        <v>77570966.603343576</v>
      </c>
      <c r="BH9" s="40">
        <f t="shared" ca="1" si="73"/>
        <v>98397242.867157429</v>
      </c>
      <c r="BI9" s="40">
        <f t="shared" ca="1" si="73"/>
        <v>124814963.99763872</v>
      </c>
      <c r="BJ9" s="40">
        <f t="shared" ca="1" si="73"/>
        <v>132401060.40000001</v>
      </c>
      <c r="BK9" s="40">
        <f t="shared" ca="1" si="73"/>
        <v>132401060.40000001</v>
      </c>
      <c r="BL9" s="40">
        <f t="shared" ca="1" si="73"/>
        <v>132401060.40000001</v>
      </c>
      <c r="BM9" s="40">
        <f t="shared" ca="1" si="73"/>
        <v>132401060.40000001</v>
      </c>
      <c r="BN9" s="40">
        <f t="shared" ca="1" si="73"/>
        <v>132401060.40000001</v>
      </c>
      <c r="BO9" s="40">
        <f t="shared" ca="1" si="73"/>
        <v>132401060.40000001</v>
      </c>
      <c r="BP9" s="40">
        <f t="shared" ca="1" si="73"/>
        <v>132401060.40000001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132401060.40000001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132401060.40000001</v>
      </c>
      <c r="BS9" s="40">
        <f t="shared" ca="1" si="75"/>
        <v>132401060.40000001</v>
      </c>
      <c r="BT9" s="40">
        <f t="shared" ca="1" si="75"/>
        <v>132401060.40000001</v>
      </c>
      <c r="BU9" s="40">
        <f t="shared" ca="1" si="75"/>
        <v>132401060.40000001</v>
      </c>
      <c r="BV9" s="40">
        <f t="shared" ca="1" si="75"/>
        <v>132401060.40000001</v>
      </c>
      <c r="BW9" s="40">
        <f t="shared" ca="1" si="75"/>
        <v>132401060.40000001</v>
      </c>
      <c r="BX9" s="40">
        <f t="shared" ca="1" si="75"/>
        <v>132401060.40000001</v>
      </c>
      <c r="BY9" s="40">
        <f t="shared" ca="1" si="75"/>
        <v>132401060.40000001</v>
      </c>
      <c r="BZ9" s="40">
        <f t="shared" ca="1" si="75"/>
        <v>132401060.40000001</v>
      </c>
      <c r="CA9" s="40">
        <f t="shared" ca="1" si="75"/>
        <v>132401060.40000001</v>
      </c>
      <c r="CB9" s="40">
        <f t="shared" ca="1" si="75"/>
        <v>132401060.40000001</v>
      </c>
      <c r="CC9" s="40">
        <f t="shared" ca="1" si="75"/>
        <v>132401060.40000001</v>
      </c>
      <c r="CD9" s="40">
        <f t="shared" ca="1" si="75"/>
        <v>132401060.40000001</v>
      </c>
      <c r="CE9" s="40">
        <f t="shared" ca="1" si="75"/>
        <v>132401060.40000001</v>
      </c>
      <c r="CF9" s="40">
        <f t="shared" ca="1" si="75"/>
        <v>132401060.40000001</v>
      </c>
      <c r="CG9" s="40">
        <f t="shared" ca="1" si="75"/>
        <v>132401060.40000001</v>
      </c>
      <c r="CH9" s="40">
        <f t="shared" ca="1" si="75"/>
        <v>132401060.40000001</v>
      </c>
      <c r="CI9" s="40">
        <f t="shared" ca="1" si="75"/>
        <v>132401060.40000001</v>
      </c>
      <c r="CJ9" s="40">
        <f t="shared" ca="1" si="75"/>
        <v>132401060.40000001</v>
      </c>
      <c r="CK9" s="40">
        <f t="shared" ca="1" si="75"/>
        <v>132401060.40000001</v>
      </c>
      <c r="CL9" s="40">
        <f t="shared" ca="1" si="75"/>
        <v>132401060.40000001</v>
      </c>
      <c r="CM9" s="40">
        <f t="shared" ca="1" si="75"/>
        <v>132401060.40000001</v>
      </c>
      <c r="CN9" s="40">
        <f t="shared" ca="1" si="75"/>
        <v>132401060.40000001</v>
      </c>
      <c r="CO9" s="40">
        <f t="shared" ca="1" si="75"/>
        <v>132401060.40000001</v>
      </c>
      <c r="CP9" s="40">
        <f t="shared" ca="1" si="75"/>
        <v>132401060.40000001</v>
      </c>
      <c r="CQ9" s="40">
        <f t="shared" ca="1" si="75"/>
        <v>132401060.40000001</v>
      </c>
      <c r="CR9" s="40">
        <f t="shared" ca="1" si="75"/>
        <v>132401060.40000001</v>
      </c>
      <c r="CS9" s="40">
        <f t="shared" ca="1" si="75"/>
        <v>132401060.40000001</v>
      </c>
      <c r="CT9" s="40">
        <f t="shared" ca="1" si="75"/>
        <v>132401060.40000001</v>
      </c>
      <c r="CU9" s="40">
        <f t="shared" ca="1" si="75"/>
        <v>132401060.40000001</v>
      </c>
      <c r="CV9" s="40">
        <f t="shared" ca="1" si="75"/>
        <v>132401060.40000001</v>
      </c>
      <c r="CW9" s="40">
        <f t="shared" ca="1" si="75"/>
        <v>132401060.40000001</v>
      </c>
      <c r="CX9" s="40">
        <f t="shared" ca="1" si="75"/>
        <v>132401060.40000001</v>
      </c>
      <c r="CY9" s="40">
        <f t="shared" ca="1" si="75"/>
        <v>132401060.40000001</v>
      </c>
      <c r="CZ9" s="40">
        <f t="shared" ca="1" si="75"/>
        <v>132401060.40000001</v>
      </c>
      <c r="DA9" s="40">
        <f t="shared" ca="1" si="75"/>
        <v>132401060.40000001</v>
      </c>
      <c r="DB9" s="40">
        <f t="shared" ca="1" si="75"/>
        <v>132401060.40000001</v>
      </c>
      <c r="DC9" s="40">
        <f t="shared" ca="1" si="75"/>
        <v>132401060.40000001</v>
      </c>
      <c r="DD9" s="40">
        <f t="shared" ca="1" si="75"/>
        <v>132401060.40000001</v>
      </c>
      <c r="DE9" s="40">
        <f t="shared" ca="1" si="75"/>
        <v>132401060.40000001</v>
      </c>
      <c r="DF9" s="40">
        <f t="shared" ca="1" si="75"/>
        <v>132401060.40000001</v>
      </c>
      <c r="DG9" s="40">
        <f t="shared" ca="1" si="75"/>
        <v>132401060.40000001</v>
      </c>
      <c r="DH9" s="40">
        <f t="shared" ca="1" si="75"/>
        <v>132401060.40000001</v>
      </c>
      <c r="DI9" s="40">
        <f t="shared" ca="1" si="75"/>
        <v>132401060.40000001</v>
      </c>
      <c r="DJ9" s="40">
        <f t="shared" ca="1" si="75"/>
        <v>132401060.40000001</v>
      </c>
      <c r="DK9" s="40">
        <f t="shared" ca="1" si="75"/>
        <v>132401060.40000001</v>
      </c>
      <c r="DL9" s="40">
        <f t="shared" ca="1" si="75"/>
        <v>132401060.40000001</v>
      </c>
      <c r="DM9" s="40">
        <f t="shared" ca="1" si="75"/>
        <v>132401060.40000001</v>
      </c>
      <c r="DN9" s="40">
        <f t="shared" ca="1" si="75"/>
        <v>132401060.40000001</v>
      </c>
      <c r="DO9" s="40">
        <f t="shared" ca="1" si="75"/>
        <v>132401060.40000001</v>
      </c>
      <c r="DP9" s="40">
        <f t="shared" ca="1" si="75"/>
        <v>132401060.40000001</v>
      </c>
      <c r="DQ9" s="40">
        <f t="shared" ca="1" si="75"/>
        <v>132401060.40000001</v>
      </c>
      <c r="DR9" s="40">
        <f t="shared" ca="1" si="75"/>
        <v>132401060.40000001</v>
      </c>
      <c r="DS9" s="40">
        <f t="shared" ca="1" si="75"/>
        <v>132401060.40000001</v>
      </c>
      <c r="DT9" s="40">
        <f t="shared" ca="1" si="75"/>
        <v>132401060.40000001</v>
      </c>
      <c r="DU9" s="40">
        <f t="shared" ca="1" si="75"/>
        <v>132401060.40000001</v>
      </c>
      <c r="DV9" s="40">
        <f t="shared" ca="1" si="75"/>
        <v>132401060.40000001</v>
      </c>
      <c r="DW9" s="40">
        <f t="shared" ca="1" si="75"/>
        <v>132401060.40000001</v>
      </c>
      <c r="DX9" s="40">
        <f t="shared" ca="1" si="75"/>
        <v>132401060.40000001</v>
      </c>
      <c r="DY9" s="40">
        <f t="shared" ca="1" si="75"/>
        <v>132401060.40000001</v>
      </c>
      <c r="DZ9" s="40">
        <f t="shared" ca="1" si="75"/>
        <v>132401060.40000001</v>
      </c>
      <c r="EA9" s="40">
        <f t="shared" ca="1" si="75"/>
        <v>132401060.40000001</v>
      </c>
      <c r="EB9" s="40">
        <f t="shared" ca="1" si="75"/>
        <v>132401060.40000001</v>
      </c>
      <c r="EC9" s="40">
        <f t="shared" ca="1" si="75"/>
        <v>132401060.40000001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132401060.40000001</v>
      </c>
      <c r="EE9" s="40">
        <f t="shared" ca="1" si="76"/>
        <v>132401060.40000001</v>
      </c>
      <c r="EF9" s="40">
        <f t="shared" ca="1" si="76"/>
        <v>132401060.40000001</v>
      </c>
      <c r="EG9" s="40">
        <f t="shared" ca="1" si="76"/>
        <v>132401060.40000001</v>
      </c>
      <c r="EH9" s="40">
        <f t="shared" ca="1" si="76"/>
        <v>132401060.40000001</v>
      </c>
      <c r="EI9" s="40">
        <f t="shared" ca="1" si="76"/>
        <v>132401060.40000001</v>
      </c>
      <c r="EJ9" s="40">
        <f t="shared" ca="1" si="76"/>
        <v>132401060.40000001</v>
      </c>
      <c r="EK9" s="40">
        <f t="shared" ca="1" si="76"/>
        <v>132401060.40000001</v>
      </c>
      <c r="EL9" s="40">
        <f t="shared" ca="1" si="76"/>
        <v>132401060.40000001</v>
      </c>
      <c r="EM9" s="40">
        <f t="shared" ca="1" si="76"/>
        <v>132401060.40000001</v>
      </c>
      <c r="EN9" s="40">
        <f t="shared" ca="1" si="76"/>
        <v>132401060.40000001</v>
      </c>
      <c r="EO9" s="40">
        <f t="shared" ca="1" si="76"/>
        <v>132401060.40000001</v>
      </c>
      <c r="EP9" s="40">
        <f t="shared" ca="1" si="76"/>
        <v>132401060.40000001</v>
      </c>
      <c r="EQ9" s="40">
        <f t="shared" ca="1" si="76"/>
        <v>132401060.40000001</v>
      </c>
      <c r="ER9" s="40">
        <f t="shared" ca="1" si="76"/>
        <v>132401060.40000001</v>
      </c>
      <c r="ES9" s="40">
        <f t="shared" ca="1" si="76"/>
        <v>132401060.40000001</v>
      </c>
      <c r="ET9" s="40">
        <f t="shared" ca="1" si="76"/>
        <v>132401060.40000001</v>
      </c>
      <c r="EU9" s="40">
        <f t="shared" ca="1" si="76"/>
        <v>132401060.40000001</v>
      </c>
      <c r="EV9" s="40">
        <f t="shared" ca="1" si="76"/>
        <v>132401060.40000001</v>
      </c>
      <c r="EW9" s="40">
        <f t="shared" ca="1" si="76"/>
        <v>132401060.40000001</v>
      </c>
      <c r="EX9" s="40">
        <f t="shared" ca="1" si="76"/>
        <v>132401060.40000001</v>
      </c>
      <c r="EY9" s="40">
        <f t="shared" ca="1" si="76"/>
        <v>132401060.40000001</v>
      </c>
      <c r="EZ9" s="40">
        <f t="shared" ca="1" si="76"/>
        <v>132401060.40000001</v>
      </c>
      <c r="FA9" s="40">
        <f t="shared" ca="1" si="76"/>
        <v>132401060.40000001</v>
      </c>
      <c r="FB9" s="40">
        <f t="shared" ca="1" si="76"/>
        <v>132401060.40000001</v>
      </c>
      <c r="FC9" s="40">
        <f t="shared" ca="1" si="76"/>
        <v>132401060.40000001</v>
      </c>
      <c r="FD9" s="40">
        <f t="shared" ca="1" si="76"/>
        <v>132401060.40000001</v>
      </c>
      <c r="FE9" s="40">
        <f t="shared" ca="1" si="76"/>
        <v>132401060.40000001</v>
      </c>
      <c r="FF9" s="40">
        <f t="shared" ca="1" si="76"/>
        <v>132401060.40000001</v>
      </c>
      <c r="FG9" s="40">
        <f t="shared" ca="1" si="76"/>
        <v>132401060.40000001</v>
      </c>
      <c r="FH9" s="40">
        <f t="shared" ca="1" si="76"/>
        <v>132401060.40000001</v>
      </c>
      <c r="FI9" s="40">
        <f t="shared" ca="1" si="76"/>
        <v>132401060.40000001</v>
      </c>
      <c r="FJ9" s="40">
        <f t="shared" ca="1" si="76"/>
        <v>132401060.40000001</v>
      </c>
      <c r="FK9" s="40">
        <f t="shared" ca="1" si="76"/>
        <v>132401060.40000001</v>
      </c>
      <c r="FL9" s="40">
        <f t="shared" ca="1" si="76"/>
        <v>132401060.40000001</v>
      </c>
      <c r="FM9" s="40">
        <f t="shared" ca="1" si="76"/>
        <v>132401060.40000001</v>
      </c>
      <c r="FN9" s="40">
        <f t="shared" ca="1" si="76"/>
        <v>132401060.40000001</v>
      </c>
      <c r="FO9" s="40">
        <f t="shared" ca="1" si="76"/>
        <v>132401060.40000001</v>
      </c>
      <c r="FP9" s="40">
        <f t="shared" ca="1" si="76"/>
        <v>132401060.40000001</v>
      </c>
      <c r="FQ9" s="40">
        <f t="shared" ca="1" si="76"/>
        <v>132401060.40000001</v>
      </c>
      <c r="FR9" s="40">
        <f t="shared" ca="1" si="76"/>
        <v>132401060.40000001</v>
      </c>
      <c r="FS9" s="40">
        <f t="shared" ca="1" si="76"/>
        <v>132401060.40000001</v>
      </c>
      <c r="FT9" s="40">
        <f t="shared" ca="1" si="76"/>
        <v>132401060.40000001</v>
      </c>
      <c r="FU9" s="40">
        <f t="shared" ca="1" si="76"/>
        <v>132401060.40000001</v>
      </c>
      <c r="FV9" s="40">
        <f t="shared" ca="1" si="76"/>
        <v>132401060.40000001</v>
      </c>
      <c r="FW9" s="40">
        <f t="shared" ca="1" si="76"/>
        <v>132401060.40000001</v>
      </c>
      <c r="FX9" s="40">
        <f t="shared" ca="1" si="76"/>
        <v>132401060.40000001</v>
      </c>
      <c r="FY9" s="40">
        <f t="shared" ca="1" si="76"/>
        <v>132401060.40000001</v>
      </c>
      <c r="FZ9" s="40">
        <f t="shared" ca="1" si="76"/>
        <v>132401060.40000001</v>
      </c>
      <c r="GA9" s="40">
        <f t="shared" ca="1" si="76"/>
        <v>132401060.40000001</v>
      </c>
      <c r="GB9" s="40">
        <f t="shared" ca="1" si="76"/>
        <v>132401060.40000001</v>
      </c>
      <c r="GC9" s="40">
        <f t="shared" ca="1" si="76"/>
        <v>132401060.40000001</v>
      </c>
      <c r="GD9" s="40">
        <f t="shared" ca="1" si="76"/>
        <v>132401060.40000001</v>
      </c>
      <c r="GE9" s="40">
        <f t="shared" ca="1" si="76"/>
        <v>132401060.40000001</v>
      </c>
      <c r="GF9" s="40">
        <f t="shared" ca="1" si="76"/>
        <v>132401060.40000001</v>
      </c>
      <c r="GG9" s="40">
        <f t="shared" ca="1" si="76"/>
        <v>132401060.40000001</v>
      </c>
      <c r="GH9" s="40">
        <f t="shared" ca="1" si="76"/>
        <v>132401060.40000001</v>
      </c>
      <c r="GI9" s="40">
        <f t="shared" ca="1" si="76"/>
        <v>132401060.40000001</v>
      </c>
      <c r="GJ9" s="40">
        <f t="shared" ca="1" si="76"/>
        <v>132401060.40000001</v>
      </c>
      <c r="GK9" s="40">
        <f t="shared" ca="1" si="76"/>
        <v>132401060.40000001</v>
      </c>
      <c r="GL9" s="40">
        <f t="shared" ca="1" si="76"/>
        <v>132401060.40000001</v>
      </c>
      <c r="GM9" s="40">
        <f t="shared" ca="1" si="76"/>
        <v>132401060.40000001</v>
      </c>
      <c r="GN9" s="40">
        <f t="shared" ca="1" si="76"/>
        <v>132401060.40000001</v>
      </c>
      <c r="GO9" s="40">
        <f t="shared" ca="1" si="76"/>
        <v>132401060.40000001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7"/>
        <v>132401060.40000001</v>
      </c>
      <c r="GR9" s="40">
        <f t="shared" ca="1" si="77"/>
        <v>132401060.40000001</v>
      </c>
      <c r="GS9" s="40">
        <f t="shared" ca="1" si="77"/>
        <v>132401060.40000001</v>
      </c>
      <c r="GT9" s="40">
        <f t="shared" ca="1" si="77"/>
        <v>132401060.40000001</v>
      </c>
      <c r="GU9" s="40">
        <f t="shared" ca="1" si="77"/>
        <v>132401060.40000001</v>
      </c>
      <c r="GV9" s="40">
        <f t="shared" ca="1" si="77"/>
        <v>132401060.40000001</v>
      </c>
      <c r="GW9" s="40">
        <f t="shared" ca="1" si="77"/>
        <v>132401060.40000001</v>
      </c>
      <c r="GX9" s="40">
        <f t="shared" ca="1" si="77"/>
        <v>132401060.40000001</v>
      </c>
      <c r="GY9" s="40">
        <f t="shared" ca="1" si="77"/>
        <v>132401060.40000001</v>
      </c>
      <c r="GZ9" s="40">
        <f t="shared" ca="1" si="77"/>
        <v>132401060.40000001</v>
      </c>
      <c r="HA9" s="40">
        <f t="shared" ca="1" si="77"/>
        <v>132401060.40000001</v>
      </c>
      <c r="HB9" s="40">
        <f t="shared" ca="1" si="77"/>
        <v>132401060.40000001</v>
      </c>
      <c r="HC9" s="40">
        <f t="shared" ca="1" si="77"/>
        <v>132401060.40000001</v>
      </c>
      <c r="HD9" s="40">
        <f t="shared" ca="1" si="77"/>
        <v>132401060.40000001</v>
      </c>
      <c r="HE9" s="40">
        <f t="shared" ca="1" si="77"/>
        <v>132401060.40000001</v>
      </c>
      <c r="HF9" s="40">
        <f t="shared" ca="1" si="77"/>
        <v>132401060.40000001</v>
      </c>
      <c r="HG9" s="40">
        <f t="shared" ca="1" si="77"/>
        <v>132401060.40000001</v>
      </c>
      <c r="HH9" s="40">
        <f t="shared" ca="1" si="77"/>
        <v>132401060.40000001</v>
      </c>
      <c r="HI9" s="40">
        <f t="shared" ca="1" si="77"/>
        <v>132401060.40000001</v>
      </c>
      <c r="HJ9" s="40">
        <f t="shared" ca="1" si="77"/>
        <v>132401060.40000001</v>
      </c>
      <c r="HK9" s="40">
        <f t="shared" ca="1" si="77"/>
        <v>132401060.40000001</v>
      </c>
      <c r="HL9" s="40">
        <f t="shared" ca="1" si="77"/>
        <v>132401060.40000001</v>
      </c>
      <c r="HM9" s="40">
        <f t="shared" ca="1" si="77"/>
        <v>132401060.40000001</v>
      </c>
      <c r="HN9" s="40">
        <f t="shared" ca="1" si="77"/>
        <v>132401060.40000001</v>
      </c>
      <c r="HO9" s="40">
        <f t="shared" ca="1" si="77"/>
        <v>132401060.40000001</v>
      </c>
      <c r="HP9" s="40">
        <f t="shared" ca="1" si="77"/>
        <v>132401060.40000001</v>
      </c>
      <c r="HQ9" s="40">
        <f t="shared" ca="1" si="77"/>
        <v>132401060.40000001</v>
      </c>
      <c r="HR9" s="40">
        <f t="shared" ca="1" si="77"/>
        <v>132401060.40000001</v>
      </c>
      <c r="HS9" s="40">
        <f t="shared" ca="1" si="77"/>
        <v>132401060.40000001</v>
      </c>
      <c r="HT9" s="40">
        <f t="shared" ca="1" si="77"/>
        <v>132401060.40000001</v>
      </c>
      <c r="HU9" s="40">
        <f t="shared" ca="1" si="77"/>
        <v>132401060.40000001</v>
      </c>
      <c r="HV9" s="40">
        <f t="shared" ca="1" si="77"/>
        <v>132401060.40000001</v>
      </c>
      <c r="HW9" s="40">
        <f t="shared" ca="1" si="77"/>
        <v>132401060.40000001</v>
      </c>
      <c r="HX9" s="40">
        <f t="shared" ca="1" si="77"/>
        <v>132401060.40000001</v>
      </c>
      <c r="HY9" s="40">
        <f t="shared" ca="1" si="77"/>
        <v>132401060.40000001</v>
      </c>
      <c r="HZ9" s="40">
        <f t="shared" ca="1" si="77"/>
        <v>132401060.40000001</v>
      </c>
      <c r="IA9" s="40">
        <f t="shared" ca="1" si="77"/>
        <v>132401060.40000001</v>
      </c>
      <c r="IB9" s="40">
        <f t="shared" ca="1" si="77"/>
        <v>132401060.40000001</v>
      </c>
      <c r="IC9" s="40">
        <f t="shared" ca="1" si="77"/>
        <v>132401060.40000001</v>
      </c>
      <c r="ID9" s="40">
        <f t="shared" ca="1" si="77"/>
        <v>132401060.40000001</v>
      </c>
      <c r="IE9" s="40">
        <f t="shared" ca="1" si="77"/>
        <v>132401060.40000001</v>
      </c>
      <c r="IF9" s="40">
        <f t="shared" ca="1" si="77"/>
        <v>132401060.40000001</v>
      </c>
      <c r="IG9" s="40">
        <f t="shared" ca="1" si="77"/>
        <v>132401060.40000001</v>
      </c>
      <c r="IH9" s="40">
        <f t="shared" ca="1" si="77"/>
        <v>132401060.40000001</v>
      </c>
      <c r="II9" s="40">
        <f t="shared" ca="1" si="77"/>
        <v>132401060.40000001</v>
      </c>
      <c r="IJ9" s="40">
        <f t="shared" ca="1" si="77"/>
        <v>132401060.40000001</v>
      </c>
      <c r="IK9" s="40">
        <f t="shared" ca="1" si="77"/>
        <v>132401060.40000001</v>
      </c>
      <c r="IL9" s="40">
        <f t="shared" ca="1" si="77"/>
        <v>132401060.40000001</v>
      </c>
      <c r="IM9" s="40">
        <f t="shared" ca="1" si="77"/>
        <v>132401060.40000001</v>
      </c>
      <c r="IN9" s="40">
        <f t="shared" ca="1" si="77"/>
        <v>132401060.40000001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149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216</v>
      </c>
      <c r="J10" s="40">
        <f t="shared" ca="1" si="79"/>
        <v>259</v>
      </c>
      <c r="K10" s="40">
        <f t="shared" ca="1" si="79"/>
        <v>396</v>
      </c>
      <c r="L10" s="40">
        <f t="shared" ca="1" si="79"/>
        <v>508</v>
      </c>
      <c r="M10" s="40">
        <f t="shared" ca="1" si="79"/>
        <v>572</v>
      </c>
      <c r="N10" s="40">
        <f t="shared" ca="1" si="79"/>
        <v>942</v>
      </c>
      <c r="O10" s="40">
        <f t="shared" ca="1" si="79"/>
        <v>1256</v>
      </c>
      <c r="P10" s="40">
        <f t="shared" ca="1" si="79"/>
        <v>1634</v>
      </c>
      <c r="Q10" s="40">
        <f t="shared" ca="1" si="79"/>
        <v>2143</v>
      </c>
      <c r="R10" s="40">
        <f t="shared" ca="1" si="79"/>
        <v>2448</v>
      </c>
      <c r="S10" s="40">
        <f t="shared" ca="1" si="79"/>
        <v>3267</v>
      </c>
      <c r="T10" s="40">
        <f t="shared" ca="1" si="79"/>
        <v>4275</v>
      </c>
      <c r="U10" s="40">
        <f t="shared" ca="1" si="79"/>
        <v>6022</v>
      </c>
      <c r="V10" s="40">
        <f t="shared" ca="1" si="79"/>
        <v>7143</v>
      </c>
      <c r="W10" s="40">
        <f t="shared" ca="1" si="79"/>
        <v>12868</v>
      </c>
      <c r="X10" s="40">
        <f t="shared" ca="1" si="79"/>
        <v>18231</v>
      </c>
      <c r="Y10" s="40">
        <f t="shared" ca="1" si="79"/>
        <v>23881</v>
      </c>
      <c r="Z10" s="40">
        <f t="shared" ca="1" si="79"/>
        <v>31300</v>
      </c>
      <c r="AA10" s="40">
        <f t="shared" ca="1" si="79"/>
        <v>41289</v>
      </c>
      <c r="AB10" s="40">
        <f t="shared" ca="1" si="79"/>
        <v>50393</v>
      </c>
      <c r="AC10" s="40">
        <f t="shared" ca="1" si="79"/>
        <v>61622</v>
      </c>
      <c r="AD10" s="40">
        <f t="shared" ca="1" si="79"/>
        <v>78428</v>
      </c>
      <c r="AE10" s="40">
        <f t="shared" ca="1" si="79"/>
        <v>86270.8</v>
      </c>
      <c r="AF10" s="40">
        <f t="shared" ca="1" si="79"/>
        <v>94897.88</v>
      </c>
      <c r="AG10" s="40">
        <f t="shared" ca="1" si="79"/>
        <v>104387.66800000002</v>
      </c>
      <c r="AH10" s="40">
        <f t="shared" ca="1" si="79"/>
        <v>114826.43480000003</v>
      </c>
      <c r="AI10" s="40">
        <f t="shared" ca="1" si="79"/>
        <v>126309.07828000005</v>
      </c>
      <c r="AJ10" s="40">
        <f t="shared" ca="1" si="79"/>
        <v>138939.98610800007</v>
      </c>
      <c r="AK10" s="40">
        <f t="shared" ca="1" si="79"/>
        <v>152833.98471880009</v>
      </c>
      <c r="AL10" s="40">
        <f t="shared" ca="1" si="79"/>
        <v>168117.38319068012</v>
      </c>
      <c r="AM10" s="40">
        <f t="shared" ca="1" si="79"/>
        <v>184929.12150974816</v>
      </c>
      <c r="AN10" s="40">
        <f t="shared" ca="1" si="79"/>
        <v>203422.03366072298</v>
      </c>
      <c r="AO10" s="40">
        <f t="shared" ca="1" si="79"/>
        <v>223764.23702679531</v>
      </c>
      <c r="AP10" s="40">
        <f t="shared" ca="1" si="79"/>
        <v>246140.66072947485</v>
      </c>
      <c r="AQ10" s="40">
        <f t="shared" ca="1" si="79"/>
        <v>270754.72680242237</v>
      </c>
      <c r="AR10" s="40">
        <f t="shared" ca="1" si="79"/>
        <v>297830.19948266464</v>
      </c>
      <c r="AS10" s="40">
        <f t="shared" ca="1" si="79"/>
        <v>327613.21943093115</v>
      </c>
      <c r="AT10" s="40">
        <f t="shared" ca="1" si="79"/>
        <v>360374.54137402429</v>
      </c>
      <c r="AU10" s="40">
        <f t="shared" ca="1" si="79"/>
        <v>396411.99551142677</v>
      </c>
      <c r="AV10" s="40">
        <f t="shared" ca="1" si="79"/>
        <v>436053.19506256946</v>
      </c>
      <c r="AW10" s="40">
        <f t="shared" ca="1" si="79"/>
        <v>479658.51456882642</v>
      </c>
      <c r="AX10" s="40">
        <f t="shared" ca="1" si="79"/>
        <v>527624.36602570908</v>
      </c>
      <c r="AY10" s="40">
        <f t="shared" ca="1" si="79"/>
        <v>580386.80262828001</v>
      </c>
      <c r="AZ10" s="40">
        <f t="shared" ca="1" si="79"/>
        <v>638425.48289110803</v>
      </c>
      <c r="BA10" s="40">
        <f t="shared" ca="1" si="79"/>
        <v>702268.03118021891</v>
      </c>
      <c r="BB10" s="40">
        <f t="shared" ca="1" si="79"/>
        <v>772494.83429824084</v>
      </c>
      <c r="BC10" s="40">
        <f t="shared" ca="1" si="79"/>
        <v>849744.31772806495</v>
      </c>
      <c r="BD10" s="40">
        <f t="shared" ca="1" si="79"/>
        <v>934718.74950087152</v>
      </c>
      <c r="BE10" s="40">
        <f t="shared" ca="1" si="79"/>
        <v>1028190.6244509588</v>
      </c>
      <c r="BF10" s="40">
        <f t="shared" ca="1" si="79"/>
        <v>1131009.6868960548</v>
      </c>
      <c r="BG10" s="40">
        <f t="shared" ca="1" si="79"/>
        <v>1244110.6555856604</v>
      </c>
      <c r="BH10" s="40">
        <f t="shared" ca="1" si="79"/>
        <v>1368521.7211442266</v>
      </c>
      <c r="BI10" s="40">
        <f t="shared" ca="1" si="79"/>
        <v>1505373.8932586494</v>
      </c>
      <c r="BJ10" s="40">
        <f t="shared" ca="1" si="79"/>
        <v>1655911.2825845145</v>
      </c>
      <c r="BK10" s="40">
        <f t="shared" ca="1" si="79"/>
        <v>1821502.4108429661</v>
      </c>
      <c r="BL10" s="40">
        <f t="shared" ca="1" si="79"/>
        <v>2003652.6519272628</v>
      </c>
      <c r="BM10" s="40">
        <f t="shared" ca="1" si="79"/>
        <v>2204017.9171199892</v>
      </c>
      <c r="BN10" s="40">
        <f t="shared" ca="1" si="79"/>
        <v>2424419.7088319883</v>
      </c>
      <c r="BO10" s="40">
        <f t="shared" ca="1" si="79"/>
        <v>2666861.6797151873</v>
      </c>
      <c r="BP10" s="40">
        <f t="shared" ca="1" si="79"/>
        <v>2933547.8476867061</v>
      </c>
      <c r="BQ10" s="40">
        <f t="shared" ca="1" si="79"/>
        <v>3226902.6324553769</v>
      </c>
      <c r="BR10" s="40">
        <f t="shared" ca="1" si="79"/>
        <v>3549592.8957009148</v>
      </c>
      <c r="BS10" s="40">
        <f t="shared" ca="1" si="79"/>
        <v>3904552.1852710065</v>
      </c>
      <c r="BT10" s="40">
        <f t="shared" ca="1" si="79"/>
        <v>4295007.403798108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4724508.1441779193</v>
      </c>
      <c r="BV10" s="40">
        <f t="shared" ca="1" si="80"/>
        <v>5196958.9585957117</v>
      </c>
      <c r="BW10" s="40">
        <f t="shared" ca="1" si="80"/>
        <v>5716654.8544552829</v>
      </c>
      <c r="BX10" s="40">
        <f t="shared" ca="1" si="80"/>
        <v>6288320.3399008121</v>
      </c>
      <c r="BY10" s="40">
        <f t="shared" ca="1" si="80"/>
        <v>6917152.3738908935</v>
      </c>
      <c r="BZ10" s="40">
        <f t="shared" ca="1" si="80"/>
        <v>7608867.6112799831</v>
      </c>
      <c r="CA10" s="40">
        <f t="shared" ca="1" si="80"/>
        <v>8369754.3724079821</v>
      </c>
      <c r="CB10" s="40">
        <f t="shared" ca="1" si="80"/>
        <v>9206729.8096487802</v>
      </c>
      <c r="CC10" s="40">
        <f t="shared" ca="1" si="80"/>
        <v>10127402.790613659</v>
      </c>
      <c r="CD10" s="40">
        <f t="shared" ca="1" si="80"/>
        <v>11140143.069675025</v>
      </c>
      <c r="CE10" s="40">
        <f t="shared" ca="1" si="80"/>
        <v>12254157.376642529</v>
      </c>
      <c r="CF10" s="40">
        <f t="shared" ca="1" si="80"/>
        <v>13479573.114306783</v>
      </c>
      <c r="CG10" s="40">
        <f t="shared" ca="1" si="80"/>
        <v>14827530.425737463</v>
      </c>
      <c r="CH10" s="40">
        <f t="shared" ca="1" si="80"/>
        <v>16310283.468311211</v>
      </c>
      <c r="CI10" s="40">
        <f t="shared" ca="1" si="80"/>
        <v>17941311.815142334</v>
      </c>
      <c r="CJ10" s="40">
        <f t="shared" ca="1" si="80"/>
        <v>19735442.996656567</v>
      </c>
      <c r="CK10" s="40">
        <f t="shared" ca="1" si="80"/>
        <v>21708987.296322227</v>
      </c>
      <c r="CL10" s="40">
        <f t="shared" ca="1" si="80"/>
        <v>23879886.025954451</v>
      </c>
      <c r="CM10" s="40">
        <f t="shared" ca="1" si="80"/>
        <v>26267874.6285499</v>
      </c>
      <c r="CN10" s="40">
        <f t="shared" ca="1" si="80"/>
        <v>28894662.091404893</v>
      </c>
      <c r="CO10" s="40">
        <f t="shared" ca="1" si="80"/>
        <v>31784128.300545383</v>
      </c>
      <c r="CP10" s="40">
        <f t="shared" ca="1" si="80"/>
        <v>34962541.130599923</v>
      </c>
      <c r="CQ10" s="40">
        <f t="shared" ca="1" si="80"/>
        <v>38458795.243659921</v>
      </c>
      <c r="CR10" s="40">
        <f t="shared" ca="1" si="80"/>
        <v>42304674.76802592</v>
      </c>
      <c r="CS10" s="40">
        <f t="shared" ca="1" si="80"/>
        <v>46535142.244828515</v>
      </c>
      <c r="CT10" s="40">
        <f t="shared" ca="1" si="80"/>
        <v>51188656.469311371</v>
      </c>
      <c r="CU10" s="40">
        <f t="shared" ca="1" si="80"/>
        <v>56307522.116242513</v>
      </c>
      <c r="CV10" s="40">
        <f t="shared" ca="1" si="80"/>
        <v>61938274.32786677</v>
      </c>
      <c r="CW10" s="40">
        <f t="shared" ca="1" si="80"/>
        <v>68132101.760653451</v>
      </c>
      <c r="CX10" s="40">
        <f t="shared" ca="1" si="80"/>
        <v>74945311.936718807</v>
      </c>
      <c r="CY10" s="40">
        <f t="shared" ca="1" si="80"/>
        <v>82439843.130390689</v>
      </c>
      <c r="CZ10" s="40">
        <f t="shared" ca="1" si="80"/>
        <v>90683827.443429768</v>
      </c>
      <c r="DA10" s="40">
        <f t="shared" ca="1" si="80"/>
        <v>99752210.187772751</v>
      </c>
      <c r="DB10" s="40">
        <f t="shared" ca="1" si="80"/>
        <v>109727431.20655003</v>
      </c>
      <c r="DC10" s="40">
        <f t="shared" ca="1" si="80"/>
        <v>120700174.32720505</v>
      </c>
      <c r="DD10" s="40">
        <f t="shared" ca="1" si="80"/>
        <v>132401060.40000001</v>
      </c>
      <c r="DE10" s="40">
        <f t="shared" ca="1" si="80"/>
        <v>132401060.40000001</v>
      </c>
      <c r="DF10" s="40">
        <f t="shared" ca="1" si="80"/>
        <v>132401060.40000001</v>
      </c>
      <c r="DG10" s="40">
        <f t="shared" ca="1" si="80"/>
        <v>132401060.40000001</v>
      </c>
      <c r="DH10" s="40">
        <f t="shared" ca="1" si="80"/>
        <v>132401060.40000001</v>
      </c>
      <c r="DI10" s="40">
        <f t="shared" ca="1" si="80"/>
        <v>132401060.40000001</v>
      </c>
      <c r="DJ10" s="40">
        <f t="shared" ca="1" si="80"/>
        <v>132401060.40000001</v>
      </c>
      <c r="DK10" s="40">
        <f t="shared" ca="1" si="80"/>
        <v>132401060.40000001</v>
      </c>
      <c r="DL10" s="40">
        <f t="shared" ca="1" si="80"/>
        <v>132401060.40000001</v>
      </c>
      <c r="DM10" s="40">
        <f t="shared" ca="1" si="80"/>
        <v>132401060.40000001</v>
      </c>
      <c r="DN10" s="40">
        <f t="shared" ca="1" si="80"/>
        <v>132401060.40000001</v>
      </c>
      <c r="DO10" s="40">
        <f t="shared" ca="1" si="80"/>
        <v>132401060.40000001</v>
      </c>
      <c r="DP10" s="40">
        <f t="shared" ca="1" si="80"/>
        <v>132401060.40000001</v>
      </c>
      <c r="DQ10" s="40">
        <f t="shared" ca="1" si="80"/>
        <v>132401060.40000001</v>
      </c>
      <c r="DR10" s="40">
        <f t="shared" ca="1" si="80"/>
        <v>132401060.40000001</v>
      </c>
      <c r="DS10" s="40">
        <f t="shared" ca="1" si="80"/>
        <v>132401060.40000001</v>
      </c>
      <c r="DT10" s="40">
        <f t="shared" ca="1" si="80"/>
        <v>132401060.40000001</v>
      </c>
      <c r="DU10" s="40">
        <f t="shared" ca="1" si="80"/>
        <v>132401060.40000001</v>
      </c>
      <c r="DV10" s="40">
        <f t="shared" ca="1" si="80"/>
        <v>132401060.40000001</v>
      </c>
      <c r="DW10" s="40">
        <f t="shared" ca="1" si="80"/>
        <v>132401060.40000001</v>
      </c>
      <c r="DX10" s="40">
        <f t="shared" ca="1" si="80"/>
        <v>132401060.40000001</v>
      </c>
      <c r="DY10" s="40">
        <f t="shared" ca="1" si="80"/>
        <v>132401060.40000001</v>
      </c>
      <c r="DZ10" s="40">
        <f t="shared" ca="1" si="80"/>
        <v>132401060.40000001</v>
      </c>
      <c r="EA10" s="40">
        <f t="shared" ca="1" si="80"/>
        <v>132401060.40000001</v>
      </c>
      <c r="EB10" s="40">
        <f t="shared" ca="1" si="80"/>
        <v>132401060.40000001</v>
      </c>
      <c r="EC10" s="40">
        <f t="shared" ca="1" si="80"/>
        <v>132401060.40000001</v>
      </c>
      <c r="ED10" s="40">
        <f t="shared" ca="1" si="80"/>
        <v>132401060.40000001</v>
      </c>
      <c r="EE10" s="40">
        <f t="shared" ca="1" si="80"/>
        <v>132401060.40000001</v>
      </c>
      <c r="EF10" s="40">
        <f t="shared" ca="1" si="80"/>
        <v>132401060.40000001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1"/>
        <v>132401060.40000001</v>
      </c>
      <c r="EI10" s="40">
        <f t="shared" ca="1" si="81"/>
        <v>132401060.40000001</v>
      </c>
      <c r="EJ10" s="40">
        <f t="shared" ca="1" si="81"/>
        <v>132401060.40000001</v>
      </c>
      <c r="EK10" s="40">
        <f t="shared" ca="1" si="81"/>
        <v>132401060.40000001</v>
      </c>
      <c r="EL10" s="40">
        <f t="shared" ca="1" si="81"/>
        <v>132401060.40000001</v>
      </c>
      <c r="EM10" s="40">
        <f t="shared" ca="1" si="81"/>
        <v>132401060.40000001</v>
      </c>
      <c r="EN10" s="40">
        <f t="shared" ca="1" si="81"/>
        <v>132401060.40000001</v>
      </c>
      <c r="EO10" s="40">
        <f t="shared" ca="1" si="81"/>
        <v>132401060.40000001</v>
      </c>
      <c r="EP10" s="40">
        <f t="shared" ca="1" si="81"/>
        <v>132401060.40000001</v>
      </c>
      <c r="EQ10" s="40">
        <f t="shared" ca="1" si="81"/>
        <v>132401060.40000001</v>
      </c>
      <c r="ER10" s="40">
        <f t="shared" ca="1" si="81"/>
        <v>132401060.40000001</v>
      </c>
      <c r="ES10" s="40">
        <f t="shared" ca="1" si="81"/>
        <v>132401060.40000001</v>
      </c>
      <c r="ET10" s="40">
        <f t="shared" ca="1" si="81"/>
        <v>132401060.40000001</v>
      </c>
      <c r="EU10" s="40">
        <f t="shared" ca="1" si="81"/>
        <v>132401060.40000001</v>
      </c>
      <c r="EV10" s="40">
        <f t="shared" ca="1" si="81"/>
        <v>132401060.40000001</v>
      </c>
      <c r="EW10" s="40">
        <f t="shared" ca="1" si="81"/>
        <v>132401060.40000001</v>
      </c>
      <c r="EX10" s="40">
        <f t="shared" ca="1" si="81"/>
        <v>132401060.40000001</v>
      </c>
      <c r="EY10" s="40">
        <f t="shared" ca="1" si="81"/>
        <v>132401060.40000001</v>
      </c>
      <c r="EZ10" s="40">
        <f t="shared" ca="1" si="81"/>
        <v>132401060.40000001</v>
      </c>
      <c r="FA10" s="40">
        <f t="shared" ca="1" si="81"/>
        <v>132401060.40000001</v>
      </c>
      <c r="FB10" s="40">
        <f t="shared" ca="1" si="81"/>
        <v>132401060.40000001</v>
      </c>
      <c r="FC10" s="40">
        <f t="shared" ca="1" si="81"/>
        <v>132401060.40000001</v>
      </c>
      <c r="FD10" s="40">
        <f t="shared" ca="1" si="81"/>
        <v>132401060.40000001</v>
      </c>
      <c r="FE10" s="40">
        <f t="shared" ca="1" si="81"/>
        <v>132401060.40000001</v>
      </c>
      <c r="FF10" s="40">
        <f t="shared" ca="1" si="81"/>
        <v>132401060.40000001</v>
      </c>
      <c r="FG10" s="40">
        <f t="shared" ca="1" si="81"/>
        <v>132401060.40000001</v>
      </c>
      <c r="FH10" s="40">
        <f t="shared" ca="1" si="81"/>
        <v>132401060.40000001</v>
      </c>
      <c r="FI10" s="40">
        <f t="shared" ca="1" si="81"/>
        <v>132401060.40000001</v>
      </c>
      <c r="FJ10" s="40">
        <f t="shared" ca="1" si="81"/>
        <v>132401060.40000001</v>
      </c>
      <c r="FK10" s="40">
        <f t="shared" ca="1" si="81"/>
        <v>132401060.40000001</v>
      </c>
      <c r="FL10" s="40">
        <f t="shared" ca="1" si="81"/>
        <v>132401060.40000001</v>
      </c>
      <c r="FM10" s="40">
        <f t="shared" ca="1" si="81"/>
        <v>132401060.40000001</v>
      </c>
      <c r="FN10" s="40">
        <f t="shared" ca="1" si="81"/>
        <v>132401060.40000001</v>
      </c>
      <c r="FO10" s="40">
        <f t="shared" ca="1" si="81"/>
        <v>132401060.40000001</v>
      </c>
      <c r="FP10" s="40">
        <f t="shared" ca="1" si="81"/>
        <v>132401060.40000001</v>
      </c>
      <c r="FQ10" s="40">
        <f t="shared" ca="1" si="81"/>
        <v>132401060.40000001</v>
      </c>
      <c r="FR10" s="40">
        <f t="shared" ca="1" si="81"/>
        <v>132401060.40000001</v>
      </c>
      <c r="FS10" s="40">
        <f t="shared" ca="1" si="81"/>
        <v>132401060.40000001</v>
      </c>
      <c r="FT10" s="40">
        <f t="shared" ca="1" si="81"/>
        <v>132401060.40000001</v>
      </c>
      <c r="FU10" s="40">
        <f t="shared" ca="1" si="81"/>
        <v>132401060.40000001</v>
      </c>
      <c r="FV10" s="40">
        <f t="shared" ca="1" si="81"/>
        <v>132401060.40000001</v>
      </c>
      <c r="FW10" s="40">
        <f t="shared" ca="1" si="81"/>
        <v>132401060.40000001</v>
      </c>
      <c r="FX10" s="40">
        <f t="shared" ca="1" si="81"/>
        <v>132401060.40000001</v>
      </c>
      <c r="FY10" s="40">
        <f t="shared" ca="1" si="81"/>
        <v>132401060.40000001</v>
      </c>
      <c r="FZ10" s="40">
        <f t="shared" ca="1" si="81"/>
        <v>132401060.40000001</v>
      </c>
      <c r="GA10" s="40">
        <f t="shared" ca="1" si="81"/>
        <v>132401060.40000001</v>
      </c>
      <c r="GB10" s="40">
        <f t="shared" ca="1" si="81"/>
        <v>132401060.40000001</v>
      </c>
      <c r="GC10" s="40">
        <f t="shared" ca="1" si="81"/>
        <v>132401060.40000001</v>
      </c>
      <c r="GD10" s="40">
        <f t="shared" ca="1" si="81"/>
        <v>132401060.40000001</v>
      </c>
      <c r="GE10" s="40">
        <f t="shared" ca="1" si="81"/>
        <v>132401060.40000001</v>
      </c>
      <c r="GF10" s="40">
        <f t="shared" ca="1" si="81"/>
        <v>132401060.40000001</v>
      </c>
      <c r="GG10" s="40">
        <f t="shared" ca="1" si="81"/>
        <v>132401060.40000001</v>
      </c>
      <c r="GH10" s="40">
        <f t="shared" ca="1" si="81"/>
        <v>132401060.40000001</v>
      </c>
      <c r="GI10" s="40">
        <f t="shared" ca="1" si="81"/>
        <v>132401060.40000001</v>
      </c>
      <c r="GJ10" s="40">
        <f t="shared" ca="1" si="81"/>
        <v>132401060.40000001</v>
      </c>
      <c r="GK10" s="40">
        <f t="shared" ca="1" si="81"/>
        <v>132401060.40000001</v>
      </c>
      <c r="GL10" s="40">
        <f t="shared" ca="1" si="81"/>
        <v>132401060.40000001</v>
      </c>
      <c r="GM10" s="40">
        <f t="shared" ca="1" si="81"/>
        <v>132401060.40000001</v>
      </c>
      <c r="GN10" s="40">
        <f t="shared" ca="1" si="81"/>
        <v>132401060.40000001</v>
      </c>
      <c r="GO10" s="40">
        <f t="shared" ca="1" si="81"/>
        <v>132401060.40000001</v>
      </c>
      <c r="GP10" s="40">
        <f t="shared" ca="1" si="81"/>
        <v>132401060.40000001</v>
      </c>
      <c r="GQ10" s="40">
        <f t="shared" ca="1" si="81"/>
        <v>132401060.40000001</v>
      </c>
      <c r="GR10" s="40">
        <f t="shared" ca="1" si="81"/>
        <v>132401060.40000001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2"/>
        <v>132401060.40000001</v>
      </c>
      <c r="GU10" s="40">
        <f t="shared" ca="1" si="82"/>
        <v>132401060.40000001</v>
      </c>
      <c r="GV10" s="40">
        <f t="shared" ca="1" si="82"/>
        <v>132401060.40000001</v>
      </c>
      <c r="GW10" s="40">
        <f t="shared" ca="1" si="82"/>
        <v>132401060.40000001</v>
      </c>
      <c r="GX10" s="40">
        <f t="shared" ca="1" si="82"/>
        <v>132401060.40000001</v>
      </c>
      <c r="GY10" s="40">
        <f t="shared" ca="1" si="82"/>
        <v>132401060.40000001</v>
      </c>
      <c r="GZ10" s="40">
        <f t="shared" ca="1" si="82"/>
        <v>132401060.40000001</v>
      </c>
      <c r="HA10" s="40">
        <f t="shared" ca="1" si="82"/>
        <v>132401060.40000001</v>
      </c>
      <c r="HB10" s="40">
        <f t="shared" ca="1" si="82"/>
        <v>132401060.40000001</v>
      </c>
      <c r="HC10" s="40">
        <f t="shared" ca="1" si="82"/>
        <v>132401060.40000001</v>
      </c>
      <c r="HD10" s="40">
        <f t="shared" ca="1" si="82"/>
        <v>132401060.40000001</v>
      </c>
      <c r="HE10" s="40">
        <f t="shared" ca="1" si="82"/>
        <v>132401060.40000001</v>
      </c>
      <c r="HF10" s="40">
        <f t="shared" ca="1" si="82"/>
        <v>132401060.40000001</v>
      </c>
      <c r="HG10" s="40">
        <f t="shared" ca="1" si="82"/>
        <v>132401060.40000001</v>
      </c>
      <c r="HH10" s="40">
        <f t="shared" ca="1" si="82"/>
        <v>132401060.40000001</v>
      </c>
      <c r="HI10" s="40">
        <f t="shared" ca="1" si="82"/>
        <v>132401060.40000001</v>
      </c>
      <c r="HJ10" s="40">
        <f t="shared" ca="1" si="82"/>
        <v>132401060.40000001</v>
      </c>
      <c r="HK10" s="40">
        <f t="shared" ca="1" si="82"/>
        <v>132401060.40000001</v>
      </c>
      <c r="HL10" s="40">
        <f t="shared" ca="1" si="82"/>
        <v>132401060.40000001</v>
      </c>
      <c r="HM10" s="40">
        <f t="shared" ca="1" si="82"/>
        <v>132401060.40000001</v>
      </c>
      <c r="HN10" s="40">
        <f t="shared" ca="1" si="82"/>
        <v>132401060.40000001</v>
      </c>
      <c r="HO10" s="40">
        <f t="shared" ca="1" si="82"/>
        <v>132401060.40000001</v>
      </c>
      <c r="HP10" s="40">
        <f t="shared" ca="1" si="82"/>
        <v>132401060.40000001</v>
      </c>
      <c r="HQ10" s="40">
        <f t="shared" ca="1" si="82"/>
        <v>132401060.40000001</v>
      </c>
      <c r="HR10" s="40">
        <f t="shared" ca="1" si="82"/>
        <v>132401060.40000001</v>
      </c>
      <c r="HS10" s="40">
        <f t="shared" ca="1" si="82"/>
        <v>132401060.40000001</v>
      </c>
      <c r="HT10" s="40">
        <f t="shared" ca="1" si="82"/>
        <v>132401060.40000001</v>
      </c>
      <c r="HU10" s="40">
        <f t="shared" ca="1" si="82"/>
        <v>132401060.40000001</v>
      </c>
      <c r="HV10" s="40">
        <f t="shared" ca="1" si="82"/>
        <v>132401060.40000001</v>
      </c>
      <c r="HW10" s="40">
        <f t="shared" ca="1" si="82"/>
        <v>132401060.40000001</v>
      </c>
      <c r="HX10" s="40">
        <f t="shared" ca="1" si="82"/>
        <v>132401060.40000001</v>
      </c>
      <c r="HY10" s="40">
        <f t="shared" ca="1" si="82"/>
        <v>132401060.40000001</v>
      </c>
      <c r="HZ10" s="40">
        <f t="shared" ca="1" si="82"/>
        <v>132401060.40000001</v>
      </c>
      <c r="IA10" s="40">
        <f t="shared" ca="1" si="82"/>
        <v>132401060.40000001</v>
      </c>
      <c r="IB10" s="40">
        <f t="shared" ca="1" si="82"/>
        <v>132401060.40000001</v>
      </c>
      <c r="IC10" s="40">
        <f t="shared" ca="1" si="82"/>
        <v>132401060.40000001</v>
      </c>
      <c r="ID10" s="40">
        <f t="shared" ca="1" si="82"/>
        <v>132401060.40000001</v>
      </c>
      <c r="IE10" s="40">
        <f t="shared" ca="1" si="82"/>
        <v>132401060.40000001</v>
      </c>
      <c r="IF10" s="40">
        <f t="shared" ca="1" si="82"/>
        <v>132401060.40000001</v>
      </c>
      <c r="IG10" s="40">
        <f t="shared" ca="1" si="82"/>
        <v>132401060.40000001</v>
      </c>
      <c r="IH10" s="40">
        <f t="shared" ca="1" si="82"/>
        <v>132401060.40000001</v>
      </c>
      <c r="II10" s="40">
        <f t="shared" ca="1" si="82"/>
        <v>132401060.40000001</v>
      </c>
      <c r="IJ10" s="40">
        <f t="shared" ca="1" si="82"/>
        <v>132401060.40000001</v>
      </c>
      <c r="IK10" s="40">
        <f t="shared" ca="1" si="82"/>
        <v>132401060.40000001</v>
      </c>
      <c r="IL10" s="40">
        <f t="shared" ca="1" si="82"/>
        <v>132401060.40000001</v>
      </c>
      <c r="IM10" s="40">
        <f t="shared" ca="1" si="82"/>
        <v>132401060.40000001</v>
      </c>
      <c r="IN10" s="40">
        <f t="shared" ca="1" si="82"/>
        <v>132401060.40000001</v>
      </c>
    </row>
    <row r="11" spans="2:248" x14ac:dyDescent="0.3">
      <c r="B11" s="19" t="s">
        <v>527</v>
      </c>
      <c r="C11" s="53">
        <f ca="1">(HLOOKUP(C5-1,G4:IN8,5,FALSE)/HLOOKUP(C5-1-C10,G4:IN8,5,FALSE))^(1/C10)-1</f>
        <v>0.26848029843830989</v>
      </c>
      <c r="E11" s="19">
        <v>0.25</v>
      </c>
      <c r="F11" s="19" t="s">
        <v>495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149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216</v>
      </c>
      <c r="J11" s="40">
        <f t="shared" ca="1" si="85"/>
        <v>259</v>
      </c>
      <c r="K11" s="40">
        <f t="shared" ca="1" si="85"/>
        <v>396</v>
      </c>
      <c r="L11" s="40">
        <f t="shared" ca="1" si="85"/>
        <v>508</v>
      </c>
      <c r="M11" s="40">
        <f t="shared" ca="1" si="85"/>
        <v>572</v>
      </c>
      <c r="N11" s="40">
        <f t="shared" ca="1" si="85"/>
        <v>942</v>
      </c>
      <c r="O11" s="40">
        <f t="shared" ca="1" si="85"/>
        <v>1256</v>
      </c>
      <c r="P11" s="40">
        <f t="shared" ca="1" si="85"/>
        <v>1634</v>
      </c>
      <c r="Q11" s="40">
        <f t="shared" ca="1" si="85"/>
        <v>2143</v>
      </c>
      <c r="R11" s="40">
        <f t="shared" ca="1" si="85"/>
        <v>2448</v>
      </c>
      <c r="S11" s="40">
        <f t="shared" ca="1" si="85"/>
        <v>3267</v>
      </c>
      <c r="T11" s="40">
        <f t="shared" ca="1" si="85"/>
        <v>4275</v>
      </c>
      <c r="U11" s="40">
        <f t="shared" ca="1" si="85"/>
        <v>6022</v>
      </c>
      <c r="V11" s="40">
        <f t="shared" ca="1" si="85"/>
        <v>7143</v>
      </c>
      <c r="W11" s="40">
        <f t="shared" ca="1" si="85"/>
        <v>12868</v>
      </c>
      <c r="X11" s="40">
        <f t="shared" ca="1" si="85"/>
        <v>18231</v>
      </c>
      <c r="Y11" s="40">
        <f t="shared" ca="1" si="85"/>
        <v>23881</v>
      </c>
      <c r="Z11" s="40">
        <f t="shared" ca="1" si="85"/>
        <v>31300</v>
      </c>
      <c r="AA11" s="40">
        <f t="shared" ca="1" si="85"/>
        <v>41289</v>
      </c>
      <c r="AB11" s="40">
        <f t="shared" ca="1" si="85"/>
        <v>50393</v>
      </c>
      <c r="AC11" s="40">
        <f t="shared" ca="1" si="85"/>
        <v>61622</v>
      </c>
      <c r="AD11" s="40">
        <f t="shared" ca="1" si="85"/>
        <v>78428</v>
      </c>
      <c r="AE11" s="40">
        <f t="shared" ca="1" si="85"/>
        <v>98035</v>
      </c>
      <c r="AF11" s="40">
        <f t="shared" ca="1" si="85"/>
        <v>122543.75</v>
      </c>
      <c r="AG11" s="40">
        <f t="shared" ca="1" si="85"/>
        <v>153179.6875</v>
      </c>
      <c r="AH11" s="40">
        <f t="shared" ca="1" si="85"/>
        <v>191474.609375</v>
      </c>
      <c r="AI11" s="40">
        <f t="shared" ca="1" si="85"/>
        <v>239343.26171875</v>
      </c>
      <c r="AJ11" s="40">
        <f t="shared" ca="1" si="85"/>
        <v>299179.0771484375</v>
      </c>
      <c r="AK11" s="40">
        <f t="shared" ca="1" si="85"/>
        <v>373973.84643554688</v>
      </c>
      <c r="AL11" s="40">
        <f t="shared" ca="1" si="85"/>
        <v>467467.30804443359</v>
      </c>
      <c r="AM11" s="40">
        <f t="shared" ca="1" si="85"/>
        <v>584334.13505554199</v>
      </c>
      <c r="AN11" s="40">
        <f t="shared" ca="1" si="85"/>
        <v>730417.66881942749</v>
      </c>
      <c r="AO11" s="40">
        <f t="shared" ca="1" si="85"/>
        <v>913022.08602428436</v>
      </c>
      <c r="AP11" s="40">
        <f t="shared" ca="1" si="85"/>
        <v>1141277.6075303555</v>
      </c>
      <c r="AQ11" s="40">
        <f t="shared" ca="1" si="85"/>
        <v>1426597.0094129443</v>
      </c>
      <c r="AR11" s="40">
        <f t="shared" ca="1" si="85"/>
        <v>1783246.2617661804</v>
      </c>
      <c r="AS11" s="40">
        <f t="shared" ca="1" si="85"/>
        <v>2229057.8272077255</v>
      </c>
      <c r="AT11" s="40">
        <f t="shared" ca="1" si="85"/>
        <v>2786322.2840096569</v>
      </c>
      <c r="AU11" s="40">
        <f t="shared" ca="1" si="85"/>
        <v>3482902.8550120713</v>
      </c>
      <c r="AV11" s="40">
        <f t="shared" ca="1" si="85"/>
        <v>4353628.5687650889</v>
      </c>
      <c r="AW11" s="40">
        <f t="shared" ca="1" si="85"/>
        <v>5442035.7109563611</v>
      </c>
      <c r="AX11" s="40">
        <f t="shared" ca="1" si="85"/>
        <v>6802544.6386954514</v>
      </c>
      <c r="AY11" s="40">
        <f t="shared" ca="1" si="85"/>
        <v>8503180.7983693145</v>
      </c>
      <c r="AZ11" s="40">
        <f t="shared" ca="1" si="85"/>
        <v>10628975.997961644</v>
      </c>
      <c r="BA11" s="40">
        <f t="shared" ca="1" si="85"/>
        <v>13286219.997452054</v>
      </c>
      <c r="BB11" s="40">
        <f t="shared" ca="1" si="85"/>
        <v>16607774.996815067</v>
      </c>
      <c r="BC11" s="40">
        <f t="shared" ca="1" si="85"/>
        <v>20759718.746018834</v>
      </c>
      <c r="BD11" s="40">
        <f t="shared" ca="1" si="85"/>
        <v>25949648.432523541</v>
      </c>
      <c r="BE11" s="40">
        <f t="shared" ca="1" si="85"/>
        <v>32437060.540654428</v>
      </c>
      <c r="BF11" s="40">
        <f t="shared" ca="1" si="85"/>
        <v>40546325.675818034</v>
      </c>
      <c r="BG11" s="40">
        <f t="shared" ca="1" si="85"/>
        <v>50682907.09477254</v>
      </c>
      <c r="BH11" s="40">
        <f t="shared" ca="1" si="85"/>
        <v>63353633.868465677</v>
      </c>
      <c r="BI11" s="40">
        <f t="shared" ca="1" si="85"/>
        <v>79192042.335582092</v>
      </c>
      <c r="BJ11" s="40">
        <f t="shared" ca="1" si="85"/>
        <v>98990052.919477612</v>
      </c>
      <c r="BK11" s="40">
        <f t="shared" ca="1" si="85"/>
        <v>123737566.14934701</v>
      </c>
      <c r="BL11" s="40">
        <f t="shared" ca="1" si="85"/>
        <v>132401060.40000001</v>
      </c>
      <c r="BM11" s="40">
        <f t="shared" ca="1" si="85"/>
        <v>132401060.40000001</v>
      </c>
      <c r="BN11" s="40">
        <f t="shared" ca="1" si="85"/>
        <v>132401060.40000001</v>
      </c>
      <c r="BO11" s="40">
        <f t="shared" ca="1" si="85"/>
        <v>132401060.40000001</v>
      </c>
      <c r="BP11" s="40">
        <f t="shared" ca="1" si="85"/>
        <v>132401060.40000001</v>
      </c>
      <c r="BQ11" s="40">
        <f t="shared" ca="1" si="85"/>
        <v>132401060.40000001</v>
      </c>
      <c r="BR11" s="40">
        <f t="shared" ca="1" si="85"/>
        <v>132401060.40000001</v>
      </c>
      <c r="BS11" s="40">
        <f t="shared" ca="1" si="85"/>
        <v>132401060.40000001</v>
      </c>
      <c r="BT11" s="40">
        <f t="shared" ca="1" si="85"/>
        <v>132401060.40000001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6"/>
        <v>132401060.40000001</v>
      </c>
      <c r="BW11" s="40">
        <f t="shared" ca="1" si="86"/>
        <v>132401060.40000001</v>
      </c>
      <c r="BX11" s="40">
        <f t="shared" ca="1" si="86"/>
        <v>132401060.40000001</v>
      </c>
      <c r="BY11" s="40">
        <f t="shared" ca="1" si="86"/>
        <v>132401060.40000001</v>
      </c>
      <c r="BZ11" s="40">
        <f t="shared" ca="1" si="86"/>
        <v>132401060.40000001</v>
      </c>
      <c r="CA11" s="40">
        <f t="shared" ca="1" si="86"/>
        <v>132401060.40000001</v>
      </c>
      <c r="CB11" s="40">
        <f t="shared" ca="1" si="86"/>
        <v>132401060.40000001</v>
      </c>
      <c r="CC11" s="40">
        <f t="shared" ca="1" si="86"/>
        <v>132401060.40000001</v>
      </c>
      <c r="CD11" s="40">
        <f t="shared" ca="1" si="86"/>
        <v>132401060.40000001</v>
      </c>
      <c r="CE11" s="40">
        <f t="shared" ca="1" si="86"/>
        <v>132401060.40000001</v>
      </c>
      <c r="CF11" s="40">
        <f t="shared" ca="1" si="86"/>
        <v>132401060.40000001</v>
      </c>
      <c r="CG11" s="40">
        <f t="shared" ca="1" si="86"/>
        <v>132401060.40000001</v>
      </c>
      <c r="CH11" s="40">
        <f t="shared" ca="1" si="86"/>
        <v>132401060.40000001</v>
      </c>
      <c r="CI11" s="40">
        <f t="shared" ca="1" si="86"/>
        <v>132401060.40000001</v>
      </c>
      <c r="CJ11" s="40">
        <f t="shared" ca="1" si="86"/>
        <v>132401060.40000001</v>
      </c>
      <c r="CK11" s="40">
        <f t="shared" ca="1" si="86"/>
        <v>132401060.40000001</v>
      </c>
      <c r="CL11" s="40">
        <f t="shared" ca="1" si="86"/>
        <v>132401060.40000001</v>
      </c>
      <c r="CM11" s="40">
        <f t="shared" ca="1" si="86"/>
        <v>132401060.40000001</v>
      </c>
      <c r="CN11" s="40">
        <f t="shared" ca="1" si="86"/>
        <v>132401060.40000001</v>
      </c>
      <c r="CO11" s="40">
        <f t="shared" ca="1" si="86"/>
        <v>132401060.40000001</v>
      </c>
      <c r="CP11" s="40">
        <f t="shared" ca="1" si="86"/>
        <v>132401060.40000001</v>
      </c>
      <c r="CQ11" s="40">
        <f t="shared" ca="1" si="86"/>
        <v>132401060.40000001</v>
      </c>
      <c r="CR11" s="40">
        <f t="shared" ca="1" si="86"/>
        <v>132401060.40000001</v>
      </c>
      <c r="CS11" s="40">
        <f t="shared" ca="1" si="86"/>
        <v>132401060.40000001</v>
      </c>
      <c r="CT11" s="40">
        <f t="shared" ca="1" si="86"/>
        <v>132401060.40000001</v>
      </c>
      <c r="CU11" s="40">
        <f t="shared" ca="1" si="86"/>
        <v>132401060.40000001</v>
      </c>
      <c r="CV11" s="40">
        <f t="shared" ca="1" si="86"/>
        <v>132401060.40000001</v>
      </c>
      <c r="CW11" s="40">
        <f t="shared" ca="1" si="86"/>
        <v>132401060.40000001</v>
      </c>
      <c r="CX11" s="40">
        <f t="shared" ca="1" si="86"/>
        <v>132401060.40000001</v>
      </c>
      <c r="CY11" s="40">
        <f t="shared" ca="1" si="86"/>
        <v>132401060.40000001</v>
      </c>
      <c r="CZ11" s="40">
        <f t="shared" ca="1" si="86"/>
        <v>132401060.40000001</v>
      </c>
      <c r="DA11" s="40">
        <f t="shared" ca="1" si="86"/>
        <v>132401060.40000001</v>
      </c>
      <c r="DB11" s="40">
        <f t="shared" ca="1" si="86"/>
        <v>132401060.40000001</v>
      </c>
      <c r="DC11" s="40">
        <f t="shared" ca="1" si="86"/>
        <v>132401060.40000001</v>
      </c>
      <c r="DD11" s="40">
        <f t="shared" ca="1" si="86"/>
        <v>132401060.40000001</v>
      </c>
      <c r="DE11" s="40">
        <f t="shared" ca="1" si="86"/>
        <v>132401060.40000001</v>
      </c>
      <c r="DF11" s="40">
        <f t="shared" ca="1" si="86"/>
        <v>132401060.40000001</v>
      </c>
      <c r="DG11" s="40">
        <f t="shared" ca="1" si="86"/>
        <v>132401060.40000001</v>
      </c>
      <c r="DH11" s="40">
        <f t="shared" ca="1" si="86"/>
        <v>132401060.40000001</v>
      </c>
      <c r="DI11" s="40">
        <f t="shared" ca="1" si="86"/>
        <v>132401060.40000001</v>
      </c>
      <c r="DJ11" s="40">
        <f t="shared" ca="1" si="86"/>
        <v>132401060.40000001</v>
      </c>
      <c r="DK11" s="40">
        <f t="shared" ca="1" si="86"/>
        <v>132401060.40000001</v>
      </c>
      <c r="DL11" s="40">
        <f t="shared" ca="1" si="86"/>
        <v>132401060.40000001</v>
      </c>
      <c r="DM11" s="40">
        <f t="shared" ca="1" si="86"/>
        <v>132401060.40000001</v>
      </c>
      <c r="DN11" s="40">
        <f t="shared" ca="1" si="86"/>
        <v>132401060.40000001</v>
      </c>
      <c r="DO11" s="40">
        <f t="shared" ca="1" si="86"/>
        <v>132401060.40000001</v>
      </c>
      <c r="DP11" s="40">
        <f t="shared" ca="1" si="86"/>
        <v>132401060.40000001</v>
      </c>
      <c r="DQ11" s="40">
        <f t="shared" ca="1" si="86"/>
        <v>132401060.40000001</v>
      </c>
      <c r="DR11" s="40">
        <f t="shared" ca="1" si="86"/>
        <v>132401060.40000001</v>
      </c>
      <c r="DS11" s="40">
        <f t="shared" ca="1" si="86"/>
        <v>132401060.40000001</v>
      </c>
      <c r="DT11" s="40">
        <f t="shared" ca="1" si="86"/>
        <v>132401060.40000001</v>
      </c>
      <c r="DU11" s="40">
        <f t="shared" ca="1" si="86"/>
        <v>132401060.40000001</v>
      </c>
      <c r="DV11" s="40">
        <f t="shared" ca="1" si="86"/>
        <v>132401060.40000001</v>
      </c>
      <c r="DW11" s="40">
        <f t="shared" ca="1" si="86"/>
        <v>132401060.40000001</v>
      </c>
      <c r="DX11" s="40">
        <f t="shared" ca="1" si="86"/>
        <v>132401060.40000001</v>
      </c>
      <c r="DY11" s="40">
        <f t="shared" ca="1" si="86"/>
        <v>132401060.40000001</v>
      </c>
      <c r="DZ11" s="40">
        <f t="shared" ca="1" si="86"/>
        <v>132401060.40000001</v>
      </c>
      <c r="EA11" s="40">
        <f t="shared" ca="1" si="86"/>
        <v>132401060.40000001</v>
      </c>
      <c r="EB11" s="40">
        <f t="shared" ca="1" si="86"/>
        <v>132401060.40000001</v>
      </c>
      <c r="EC11" s="40">
        <f t="shared" ca="1" si="86"/>
        <v>132401060.40000001</v>
      </c>
      <c r="ED11" s="40">
        <f t="shared" ca="1" si="86"/>
        <v>132401060.40000001</v>
      </c>
      <c r="EE11" s="40">
        <f t="shared" ca="1" si="86"/>
        <v>132401060.40000001</v>
      </c>
      <c r="EF11" s="40">
        <f t="shared" ca="1" si="86"/>
        <v>132401060.40000001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7"/>
        <v>132401060.40000001</v>
      </c>
      <c r="EI11" s="40">
        <f t="shared" ca="1" si="87"/>
        <v>132401060.40000001</v>
      </c>
      <c r="EJ11" s="40">
        <f t="shared" ca="1" si="87"/>
        <v>132401060.40000001</v>
      </c>
      <c r="EK11" s="40">
        <f t="shared" ca="1" si="87"/>
        <v>132401060.40000001</v>
      </c>
      <c r="EL11" s="40">
        <f t="shared" ca="1" si="87"/>
        <v>132401060.40000001</v>
      </c>
      <c r="EM11" s="40">
        <f t="shared" ca="1" si="87"/>
        <v>132401060.40000001</v>
      </c>
      <c r="EN11" s="40">
        <f t="shared" ca="1" si="87"/>
        <v>132401060.40000001</v>
      </c>
      <c r="EO11" s="40">
        <f t="shared" ca="1" si="87"/>
        <v>132401060.40000001</v>
      </c>
      <c r="EP11" s="40">
        <f t="shared" ca="1" si="87"/>
        <v>132401060.40000001</v>
      </c>
      <c r="EQ11" s="40">
        <f t="shared" ca="1" si="87"/>
        <v>132401060.40000001</v>
      </c>
      <c r="ER11" s="40">
        <f t="shared" ca="1" si="87"/>
        <v>132401060.40000001</v>
      </c>
      <c r="ES11" s="40">
        <f t="shared" ca="1" si="87"/>
        <v>132401060.40000001</v>
      </c>
      <c r="ET11" s="40">
        <f t="shared" ca="1" si="87"/>
        <v>132401060.40000001</v>
      </c>
      <c r="EU11" s="40">
        <f t="shared" ca="1" si="87"/>
        <v>132401060.40000001</v>
      </c>
      <c r="EV11" s="40">
        <f t="shared" ca="1" si="87"/>
        <v>132401060.40000001</v>
      </c>
      <c r="EW11" s="40">
        <f t="shared" ca="1" si="87"/>
        <v>132401060.40000001</v>
      </c>
      <c r="EX11" s="40">
        <f t="shared" ca="1" si="87"/>
        <v>132401060.40000001</v>
      </c>
      <c r="EY11" s="40">
        <f t="shared" ca="1" si="87"/>
        <v>132401060.40000001</v>
      </c>
      <c r="EZ11" s="40">
        <f t="shared" ca="1" si="87"/>
        <v>132401060.40000001</v>
      </c>
      <c r="FA11" s="40">
        <f t="shared" ca="1" si="87"/>
        <v>132401060.40000001</v>
      </c>
      <c r="FB11" s="40">
        <f t="shared" ca="1" si="87"/>
        <v>132401060.40000001</v>
      </c>
      <c r="FC11" s="40">
        <f t="shared" ca="1" si="87"/>
        <v>132401060.40000001</v>
      </c>
      <c r="FD11" s="40">
        <f t="shared" ca="1" si="87"/>
        <v>132401060.40000001</v>
      </c>
      <c r="FE11" s="40">
        <f t="shared" ca="1" si="87"/>
        <v>132401060.40000001</v>
      </c>
      <c r="FF11" s="40">
        <f t="shared" ca="1" si="87"/>
        <v>132401060.40000001</v>
      </c>
      <c r="FG11" s="40">
        <f t="shared" ca="1" si="87"/>
        <v>132401060.40000001</v>
      </c>
      <c r="FH11" s="40">
        <f t="shared" ca="1" si="87"/>
        <v>132401060.40000001</v>
      </c>
      <c r="FI11" s="40">
        <f t="shared" ca="1" si="87"/>
        <v>132401060.40000001</v>
      </c>
      <c r="FJ11" s="40">
        <f t="shared" ca="1" si="87"/>
        <v>132401060.40000001</v>
      </c>
      <c r="FK11" s="40">
        <f t="shared" ca="1" si="87"/>
        <v>132401060.40000001</v>
      </c>
      <c r="FL11" s="40">
        <f t="shared" ca="1" si="87"/>
        <v>132401060.40000001</v>
      </c>
      <c r="FM11" s="40">
        <f t="shared" ca="1" si="87"/>
        <v>132401060.40000001</v>
      </c>
      <c r="FN11" s="40">
        <f t="shared" ca="1" si="87"/>
        <v>132401060.40000001</v>
      </c>
      <c r="FO11" s="40">
        <f t="shared" ca="1" si="87"/>
        <v>132401060.40000001</v>
      </c>
      <c r="FP11" s="40">
        <f t="shared" ca="1" si="87"/>
        <v>132401060.40000001</v>
      </c>
      <c r="FQ11" s="40">
        <f t="shared" ca="1" si="87"/>
        <v>132401060.40000001</v>
      </c>
      <c r="FR11" s="40">
        <f t="shared" ca="1" si="87"/>
        <v>132401060.40000001</v>
      </c>
      <c r="FS11" s="40">
        <f t="shared" ca="1" si="87"/>
        <v>132401060.40000001</v>
      </c>
      <c r="FT11" s="40">
        <f t="shared" ca="1" si="87"/>
        <v>132401060.40000001</v>
      </c>
      <c r="FU11" s="40">
        <f t="shared" ca="1" si="87"/>
        <v>132401060.40000001</v>
      </c>
      <c r="FV11" s="40">
        <f t="shared" ca="1" si="87"/>
        <v>132401060.40000001</v>
      </c>
      <c r="FW11" s="40">
        <f t="shared" ca="1" si="87"/>
        <v>132401060.40000001</v>
      </c>
      <c r="FX11" s="40">
        <f t="shared" ca="1" si="87"/>
        <v>132401060.40000001</v>
      </c>
      <c r="FY11" s="40">
        <f t="shared" ca="1" si="87"/>
        <v>132401060.40000001</v>
      </c>
      <c r="FZ11" s="40">
        <f t="shared" ca="1" si="87"/>
        <v>132401060.40000001</v>
      </c>
      <c r="GA11" s="40">
        <f t="shared" ca="1" si="87"/>
        <v>132401060.40000001</v>
      </c>
      <c r="GB11" s="40">
        <f t="shared" ca="1" si="87"/>
        <v>132401060.40000001</v>
      </c>
      <c r="GC11" s="40">
        <f t="shared" ca="1" si="87"/>
        <v>132401060.40000001</v>
      </c>
      <c r="GD11" s="40">
        <f t="shared" ca="1" si="87"/>
        <v>132401060.40000001</v>
      </c>
      <c r="GE11" s="40">
        <f t="shared" ca="1" si="87"/>
        <v>132401060.40000001</v>
      </c>
      <c r="GF11" s="40">
        <f t="shared" ca="1" si="87"/>
        <v>132401060.40000001</v>
      </c>
      <c r="GG11" s="40">
        <f t="shared" ca="1" si="87"/>
        <v>132401060.40000001</v>
      </c>
      <c r="GH11" s="40">
        <f t="shared" ca="1" si="87"/>
        <v>132401060.40000001</v>
      </c>
      <c r="GI11" s="40">
        <f t="shared" ca="1" si="87"/>
        <v>132401060.40000001</v>
      </c>
      <c r="GJ11" s="40">
        <f t="shared" ca="1" si="87"/>
        <v>132401060.40000001</v>
      </c>
      <c r="GK11" s="40">
        <f t="shared" ca="1" si="87"/>
        <v>132401060.40000001</v>
      </c>
      <c r="GL11" s="40">
        <f t="shared" ca="1" si="87"/>
        <v>132401060.40000001</v>
      </c>
      <c r="GM11" s="40">
        <f t="shared" ca="1" si="87"/>
        <v>132401060.40000001</v>
      </c>
      <c r="GN11" s="40">
        <f t="shared" ca="1" si="87"/>
        <v>132401060.40000001</v>
      </c>
      <c r="GO11" s="40">
        <f t="shared" ca="1" si="87"/>
        <v>132401060.40000001</v>
      </c>
      <c r="GP11" s="40">
        <f t="shared" ca="1" si="87"/>
        <v>132401060.40000001</v>
      </c>
      <c r="GQ11" s="40">
        <f t="shared" ca="1" si="87"/>
        <v>132401060.40000001</v>
      </c>
      <c r="GR11" s="40">
        <f t="shared" ca="1" si="87"/>
        <v>132401060.40000001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8"/>
        <v>132401060.40000001</v>
      </c>
      <c r="GU11" s="40">
        <f t="shared" ca="1" si="88"/>
        <v>132401060.40000001</v>
      </c>
      <c r="GV11" s="40">
        <f t="shared" ca="1" si="88"/>
        <v>132401060.40000001</v>
      </c>
      <c r="GW11" s="40">
        <f t="shared" ca="1" si="88"/>
        <v>132401060.40000001</v>
      </c>
      <c r="GX11" s="40">
        <f t="shared" ca="1" si="88"/>
        <v>132401060.40000001</v>
      </c>
      <c r="GY11" s="40">
        <f t="shared" ca="1" si="88"/>
        <v>132401060.40000001</v>
      </c>
      <c r="GZ11" s="40">
        <f t="shared" ca="1" si="88"/>
        <v>132401060.40000001</v>
      </c>
      <c r="HA11" s="40">
        <f t="shared" ca="1" si="88"/>
        <v>132401060.40000001</v>
      </c>
      <c r="HB11" s="40">
        <f t="shared" ca="1" si="88"/>
        <v>132401060.40000001</v>
      </c>
      <c r="HC11" s="40">
        <f t="shared" ca="1" si="88"/>
        <v>132401060.40000001</v>
      </c>
      <c r="HD11" s="40">
        <f t="shared" ca="1" si="88"/>
        <v>132401060.40000001</v>
      </c>
      <c r="HE11" s="40">
        <f t="shared" ca="1" si="88"/>
        <v>132401060.40000001</v>
      </c>
      <c r="HF11" s="40">
        <f t="shared" ca="1" si="88"/>
        <v>132401060.40000001</v>
      </c>
      <c r="HG11" s="40">
        <f t="shared" ca="1" si="88"/>
        <v>132401060.40000001</v>
      </c>
      <c r="HH11" s="40">
        <f t="shared" ca="1" si="88"/>
        <v>132401060.40000001</v>
      </c>
      <c r="HI11" s="40">
        <f t="shared" ca="1" si="88"/>
        <v>132401060.40000001</v>
      </c>
      <c r="HJ11" s="40">
        <f t="shared" ca="1" si="88"/>
        <v>132401060.40000001</v>
      </c>
      <c r="HK11" s="40">
        <f t="shared" ca="1" si="88"/>
        <v>132401060.40000001</v>
      </c>
      <c r="HL11" s="40">
        <f t="shared" ca="1" si="88"/>
        <v>132401060.40000001</v>
      </c>
      <c r="HM11" s="40">
        <f t="shared" ca="1" si="88"/>
        <v>132401060.40000001</v>
      </c>
      <c r="HN11" s="40">
        <f t="shared" ca="1" si="88"/>
        <v>132401060.40000001</v>
      </c>
      <c r="HO11" s="40">
        <f t="shared" ca="1" si="88"/>
        <v>132401060.40000001</v>
      </c>
      <c r="HP11" s="40">
        <f t="shared" ca="1" si="88"/>
        <v>132401060.40000001</v>
      </c>
      <c r="HQ11" s="40">
        <f t="shared" ca="1" si="88"/>
        <v>132401060.40000001</v>
      </c>
      <c r="HR11" s="40">
        <f t="shared" ca="1" si="88"/>
        <v>132401060.40000001</v>
      </c>
      <c r="HS11" s="40">
        <f t="shared" ca="1" si="88"/>
        <v>132401060.40000001</v>
      </c>
      <c r="HT11" s="40">
        <f t="shared" ca="1" si="88"/>
        <v>132401060.40000001</v>
      </c>
      <c r="HU11" s="40">
        <f t="shared" ca="1" si="88"/>
        <v>132401060.40000001</v>
      </c>
      <c r="HV11" s="40">
        <f t="shared" ca="1" si="88"/>
        <v>132401060.40000001</v>
      </c>
      <c r="HW11" s="40">
        <f t="shared" ca="1" si="88"/>
        <v>132401060.40000001</v>
      </c>
      <c r="HX11" s="40">
        <f t="shared" ca="1" si="88"/>
        <v>132401060.40000001</v>
      </c>
      <c r="HY11" s="40">
        <f t="shared" ca="1" si="88"/>
        <v>132401060.40000001</v>
      </c>
      <c r="HZ11" s="40">
        <f t="shared" ca="1" si="88"/>
        <v>132401060.40000001</v>
      </c>
      <c r="IA11" s="40">
        <f t="shared" ca="1" si="88"/>
        <v>132401060.40000001</v>
      </c>
      <c r="IB11" s="40">
        <f t="shared" ca="1" si="88"/>
        <v>132401060.40000001</v>
      </c>
      <c r="IC11" s="40">
        <f t="shared" ca="1" si="88"/>
        <v>132401060.40000001</v>
      </c>
      <c r="ID11" s="40">
        <f t="shared" ca="1" si="88"/>
        <v>132401060.40000001</v>
      </c>
      <c r="IE11" s="40">
        <f t="shared" ca="1" si="88"/>
        <v>132401060.40000001</v>
      </c>
      <c r="IF11" s="40">
        <f t="shared" ca="1" si="88"/>
        <v>132401060.40000001</v>
      </c>
      <c r="IG11" s="40">
        <f t="shared" ca="1" si="88"/>
        <v>132401060.40000001</v>
      </c>
      <c r="IH11" s="40">
        <f t="shared" ca="1" si="88"/>
        <v>132401060.40000001</v>
      </c>
      <c r="II11" s="40">
        <f t="shared" ca="1" si="88"/>
        <v>132401060.40000001</v>
      </c>
      <c r="IJ11" s="40">
        <f t="shared" ca="1" si="88"/>
        <v>132401060.40000001</v>
      </c>
      <c r="IK11" s="40">
        <f t="shared" ca="1" si="88"/>
        <v>132401060.40000001</v>
      </c>
      <c r="IL11" s="40">
        <f t="shared" ca="1" si="88"/>
        <v>132401060.40000001</v>
      </c>
      <c r="IM11" s="40">
        <f t="shared" ca="1" si="88"/>
        <v>132401060.40000001</v>
      </c>
      <c r="IN11" s="40">
        <f t="shared" ca="1" si="88"/>
        <v>132401060.40000001</v>
      </c>
    </row>
    <row r="12" spans="2:248" x14ac:dyDescent="0.3">
      <c r="B12" s="19" t="s">
        <v>528</v>
      </c>
      <c r="C12" s="74">
        <f>VLOOKUP(B2,Days_Since_100!C:G,5,FALSE)-1</f>
        <v>0.26886538636721102</v>
      </c>
      <c r="E12" s="19">
        <v>0.4</v>
      </c>
      <c r="F12" s="19" t="s">
        <v>453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149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216</v>
      </c>
      <c r="J12" s="40">
        <f t="shared" ca="1" si="91"/>
        <v>259</v>
      </c>
      <c r="K12" s="40">
        <f t="shared" ca="1" si="91"/>
        <v>396</v>
      </c>
      <c r="L12" s="40">
        <f t="shared" ca="1" si="91"/>
        <v>508</v>
      </c>
      <c r="M12" s="40">
        <f t="shared" ca="1" si="91"/>
        <v>572</v>
      </c>
      <c r="N12" s="40">
        <f t="shared" ca="1" si="91"/>
        <v>942</v>
      </c>
      <c r="O12" s="40">
        <f t="shared" ca="1" si="91"/>
        <v>1256</v>
      </c>
      <c r="P12" s="40">
        <f t="shared" ca="1" si="91"/>
        <v>1634</v>
      </c>
      <c r="Q12" s="40">
        <f t="shared" ca="1" si="91"/>
        <v>2143</v>
      </c>
      <c r="R12" s="40">
        <f t="shared" ca="1" si="91"/>
        <v>2448</v>
      </c>
      <c r="S12" s="40">
        <f t="shared" ca="1" si="91"/>
        <v>3267</v>
      </c>
      <c r="T12" s="40">
        <f t="shared" ca="1" si="91"/>
        <v>4275</v>
      </c>
      <c r="U12" s="40">
        <f t="shared" ca="1" si="91"/>
        <v>6022</v>
      </c>
      <c r="V12" s="40">
        <f t="shared" ca="1" si="91"/>
        <v>7143</v>
      </c>
      <c r="W12" s="40">
        <f t="shared" ca="1" si="91"/>
        <v>12868</v>
      </c>
      <c r="X12" s="40">
        <f t="shared" ca="1" si="91"/>
        <v>18231</v>
      </c>
      <c r="Y12" s="40">
        <f t="shared" ca="1" si="91"/>
        <v>23881</v>
      </c>
      <c r="Z12" s="40">
        <f t="shared" ca="1" si="91"/>
        <v>31300</v>
      </c>
      <c r="AA12" s="40">
        <f t="shared" ca="1" si="91"/>
        <v>41289</v>
      </c>
      <c r="AB12" s="40">
        <f t="shared" ca="1" si="91"/>
        <v>50393</v>
      </c>
      <c r="AC12" s="40">
        <f t="shared" ca="1" si="91"/>
        <v>61622</v>
      </c>
      <c r="AD12" s="40">
        <f t="shared" ca="1" si="91"/>
        <v>78428</v>
      </c>
      <c r="AE12" s="40">
        <f t="shared" ca="1" si="91"/>
        <v>109799.2</v>
      </c>
      <c r="AF12" s="40">
        <f t="shared" ca="1" si="91"/>
        <v>153718.87999999998</v>
      </c>
      <c r="AG12" s="40">
        <f t="shared" ca="1" si="91"/>
        <v>215206.43199999994</v>
      </c>
      <c r="AH12" s="40">
        <f t="shared" ca="1" si="91"/>
        <v>301289.00479999988</v>
      </c>
      <c r="AI12" s="40">
        <f t="shared" ca="1" si="91"/>
        <v>421804.60671999981</v>
      </c>
      <c r="AJ12" s="40">
        <f t="shared" ca="1" si="91"/>
        <v>590526.44940799964</v>
      </c>
      <c r="AK12" s="40">
        <f t="shared" ca="1" si="91"/>
        <v>826737.02917119942</v>
      </c>
      <c r="AL12" s="40">
        <f t="shared" ca="1" si="91"/>
        <v>1157431.8408396791</v>
      </c>
      <c r="AM12" s="40">
        <f t="shared" ca="1" si="91"/>
        <v>1620404.5771755506</v>
      </c>
      <c r="AN12" s="40">
        <f t="shared" ca="1" si="91"/>
        <v>2268566.4080457706</v>
      </c>
      <c r="AO12" s="40">
        <f t="shared" ca="1" si="91"/>
        <v>3175992.9712640787</v>
      </c>
      <c r="AP12" s="40">
        <f t="shared" ca="1" si="91"/>
        <v>4446390.1597697102</v>
      </c>
      <c r="AQ12" s="40">
        <f t="shared" ca="1" si="91"/>
        <v>6224946.2236775942</v>
      </c>
      <c r="AR12" s="40">
        <f t="shared" ca="1" si="91"/>
        <v>8714924.7131486312</v>
      </c>
      <c r="AS12" s="40">
        <f t="shared" ca="1" si="91"/>
        <v>12200894.598408083</v>
      </c>
      <c r="AT12" s="40">
        <f t="shared" ca="1" si="91"/>
        <v>17081252.437771313</v>
      </c>
      <c r="AU12" s="40">
        <f t="shared" ca="1" si="91"/>
        <v>23913753.412879836</v>
      </c>
      <c r="AV12" s="40">
        <f t="shared" ca="1" si="91"/>
        <v>33479254.778031766</v>
      </c>
      <c r="AW12" s="40">
        <f t="shared" ca="1" si="91"/>
        <v>46870956.689244471</v>
      </c>
      <c r="AX12" s="40">
        <f t="shared" ca="1" si="91"/>
        <v>65619339.364942253</v>
      </c>
      <c r="AY12" s="40">
        <f t="shared" ca="1" si="91"/>
        <v>91867075.110919148</v>
      </c>
      <c r="AZ12" s="40">
        <f t="shared" ca="1" si="91"/>
        <v>128613905.1552868</v>
      </c>
      <c r="BA12" s="40">
        <f t="shared" ca="1" si="91"/>
        <v>132401060.40000001</v>
      </c>
      <c r="BB12" s="40">
        <f t="shared" ca="1" si="91"/>
        <v>132401060.40000001</v>
      </c>
      <c r="BC12" s="40">
        <f t="shared" ca="1" si="91"/>
        <v>132401060.40000001</v>
      </c>
      <c r="BD12" s="40">
        <f t="shared" ca="1" si="91"/>
        <v>132401060.40000001</v>
      </c>
      <c r="BE12" s="40">
        <f t="shared" ca="1" si="91"/>
        <v>132401060.40000001</v>
      </c>
      <c r="BF12" s="40">
        <f t="shared" ca="1" si="91"/>
        <v>132401060.40000001</v>
      </c>
      <c r="BG12" s="40">
        <f t="shared" ca="1" si="91"/>
        <v>132401060.40000001</v>
      </c>
      <c r="BH12" s="40">
        <f t="shared" ca="1" si="91"/>
        <v>132401060.40000001</v>
      </c>
      <c r="BI12" s="40">
        <f t="shared" ca="1" si="91"/>
        <v>132401060.40000001</v>
      </c>
      <c r="BJ12" s="40">
        <f t="shared" ca="1" si="91"/>
        <v>132401060.40000001</v>
      </c>
      <c r="BK12" s="40">
        <f t="shared" ca="1" si="91"/>
        <v>132401060.40000001</v>
      </c>
      <c r="BL12" s="40">
        <f t="shared" ca="1" si="91"/>
        <v>132401060.40000001</v>
      </c>
      <c r="BM12" s="40">
        <f t="shared" ca="1" si="91"/>
        <v>132401060.40000001</v>
      </c>
      <c r="BN12" s="40">
        <f t="shared" ca="1" si="91"/>
        <v>132401060.40000001</v>
      </c>
      <c r="BO12" s="40">
        <f t="shared" ca="1" si="91"/>
        <v>132401060.40000001</v>
      </c>
      <c r="BP12" s="40">
        <f t="shared" ca="1" si="91"/>
        <v>132401060.40000001</v>
      </c>
      <c r="BQ12" s="40">
        <f t="shared" ca="1" si="91"/>
        <v>132401060.40000001</v>
      </c>
      <c r="BR12" s="40">
        <f t="shared" ca="1" si="91"/>
        <v>132401060.40000001</v>
      </c>
      <c r="BS12" s="40">
        <f t="shared" ca="1" si="91"/>
        <v>132401060.40000001</v>
      </c>
      <c r="BT12" s="40">
        <f t="shared" ca="1" si="91"/>
        <v>132401060.40000001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2"/>
        <v>132401060.40000001</v>
      </c>
      <c r="BW12" s="40">
        <f t="shared" ca="1" si="92"/>
        <v>132401060.40000001</v>
      </c>
      <c r="BX12" s="40">
        <f t="shared" ca="1" si="92"/>
        <v>132401060.40000001</v>
      </c>
      <c r="BY12" s="40">
        <f t="shared" ca="1" si="92"/>
        <v>132401060.40000001</v>
      </c>
      <c r="BZ12" s="40">
        <f t="shared" ca="1" si="92"/>
        <v>132401060.40000001</v>
      </c>
      <c r="CA12" s="40">
        <f t="shared" ca="1" si="92"/>
        <v>132401060.40000001</v>
      </c>
      <c r="CB12" s="40">
        <f t="shared" ca="1" si="92"/>
        <v>132401060.40000001</v>
      </c>
      <c r="CC12" s="40">
        <f t="shared" ca="1" si="92"/>
        <v>132401060.40000001</v>
      </c>
      <c r="CD12" s="40">
        <f t="shared" ca="1" si="92"/>
        <v>132401060.40000001</v>
      </c>
      <c r="CE12" s="40">
        <f t="shared" ca="1" si="92"/>
        <v>132401060.40000001</v>
      </c>
      <c r="CF12" s="40">
        <f t="shared" ca="1" si="92"/>
        <v>132401060.40000001</v>
      </c>
      <c r="CG12" s="40">
        <f t="shared" ca="1" si="92"/>
        <v>132401060.40000001</v>
      </c>
      <c r="CH12" s="40">
        <f t="shared" ca="1" si="92"/>
        <v>132401060.40000001</v>
      </c>
      <c r="CI12" s="40">
        <f t="shared" ca="1" si="92"/>
        <v>132401060.40000001</v>
      </c>
      <c r="CJ12" s="40">
        <f t="shared" ca="1" si="92"/>
        <v>132401060.40000001</v>
      </c>
      <c r="CK12" s="40">
        <f t="shared" ca="1" si="92"/>
        <v>132401060.40000001</v>
      </c>
      <c r="CL12" s="40">
        <f t="shared" ca="1" si="92"/>
        <v>132401060.40000001</v>
      </c>
      <c r="CM12" s="40">
        <f t="shared" ca="1" si="92"/>
        <v>132401060.40000001</v>
      </c>
      <c r="CN12" s="40">
        <f t="shared" ca="1" si="92"/>
        <v>132401060.40000001</v>
      </c>
      <c r="CO12" s="40">
        <f t="shared" ca="1" si="92"/>
        <v>132401060.40000001</v>
      </c>
      <c r="CP12" s="40">
        <f t="shared" ca="1" si="92"/>
        <v>132401060.40000001</v>
      </c>
      <c r="CQ12" s="40">
        <f t="shared" ca="1" si="92"/>
        <v>132401060.40000001</v>
      </c>
      <c r="CR12" s="40">
        <f t="shared" ca="1" si="92"/>
        <v>132401060.40000001</v>
      </c>
      <c r="CS12" s="40">
        <f t="shared" ca="1" si="92"/>
        <v>132401060.40000001</v>
      </c>
      <c r="CT12" s="40">
        <f t="shared" ca="1" si="92"/>
        <v>132401060.40000001</v>
      </c>
      <c r="CU12" s="40">
        <f t="shared" ca="1" si="92"/>
        <v>132401060.40000001</v>
      </c>
      <c r="CV12" s="40">
        <f t="shared" ca="1" si="92"/>
        <v>132401060.40000001</v>
      </c>
      <c r="CW12" s="40">
        <f t="shared" ca="1" si="92"/>
        <v>132401060.40000001</v>
      </c>
      <c r="CX12" s="40">
        <f t="shared" ca="1" si="92"/>
        <v>132401060.40000001</v>
      </c>
      <c r="CY12" s="40">
        <f t="shared" ca="1" si="92"/>
        <v>132401060.40000001</v>
      </c>
      <c r="CZ12" s="40">
        <f t="shared" ca="1" si="92"/>
        <v>132401060.40000001</v>
      </c>
      <c r="DA12" s="40">
        <f t="shared" ca="1" si="92"/>
        <v>132401060.40000001</v>
      </c>
      <c r="DB12" s="40">
        <f t="shared" ca="1" si="92"/>
        <v>132401060.40000001</v>
      </c>
      <c r="DC12" s="40">
        <f t="shared" ca="1" si="92"/>
        <v>132401060.40000001</v>
      </c>
      <c r="DD12" s="40">
        <f t="shared" ca="1" si="92"/>
        <v>132401060.40000001</v>
      </c>
      <c r="DE12" s="40">
        <f t="shared" ca="1" si="92"/>
        <v>132401060.40000001</v>
      </c>
      <c r="DF12" s="40">
        <f t="shared" ca="1" si="92"/>
        <v>132401060.40000001</v>
      </c>
      <c r="DG12" s="40">
        <f t="shared" ca="1" si="92"/>
        <v>132401060.40000001</v>
      </c>
      <c r="DH12" s="40">
        <f t="shared" ca="1" si="92"/>
        <v>132401060.40000001</v>
      </c>
      <c r="DI12" s="40">
        <f t="shared" ca="1" si="92"/>
        <v>132401060.40000001</v>
      </c>
      <c r="DJ12" s="40">
        <f t="shared" ca="1" si="92"/>
        <v>132401060.40000001</v>
      </c>
      <c r="DK12" s="40">
        <f t="shared" ca="1" si="92"/>
        <v>132401060.40000001</v>
      </c>
      <c r="DL12" s="40">
        <f t="shared" ca="1" si="92"/>
        <v>132401060.40000001</v>
      </c>
      <c r="DM12" s="40">
        <f t="shared" ca="1" si="92"/>
        <v>132401060.40000001</v>
      </c>
      <c r="DN12" s="40">
        <f t="shared" ca="1" si="92"/>
        <v>132401060.40000001</v>
      </c>
      <c r="DO12" s="40">
        <f t="shared" ca="1" si="92"/>
        <v>132401060.40000001</v>
      </c>
      <c r="DP12" s="40">
        <f t="shared" ca="1" si="92"/>
        <v>132401060.40000001</v>
      </c>
      <c r="DQ12" s="40">
        <f t="shared" ca="1" si="92"/>
        <v>132401060.40000001</v>
      </c>
      <c r="DR12" s="40">
        <f t="shared" ca="1" si="92"/>
        <v>132401060.40000001</v>
      </c>
      <c r="DS12" s="40">
        <f t="shared" ca="1" si="92"/>
        <v>132401060.40000001</v>
      </c>
      <c r="DT12" s="40">
        <f t="shared" ca="1" si="92"/>
        <v>132401060.40000001</v>
      </c>
      <c r="DU12" s="40">
        <f t="shared" ca="1" si="92"/>
        <v>132401060.40000001</v>
      </c>
      <c r="DV12" s="40">
        <f t="shared" ca="1" si="92"/>
        <v>132401060.40000001</v>
      </c>
      <c r="DW12" s="40">
        <f t="shared" ca="1" si="92"/>
        <v>132401060.40000001</v>
      </c>
      <c r="DX12" s="40">
        <f t="shared" ca="1" si="92"/>
        <v>132401060.40000001</v>
      </c>
      <c r="DY12" s="40">
        <f t="shared" ca="1" si="92"/>
        <v>132401060.40000001</v>
      </c>
      <c r="DZ12" s="40">
        <f t="shared" ca="1" si="92"/>
        <v>132401060.40000001</v>
      </c>
      <c r="EA12" s="40">
        <f t="shared" ca="1" si="92"/>
        <v>132401060.40000001</v>
      </c>
      <c r="EB12" s="40">
        <f t="shared" ca="1" si="92"/>
        <v>132401060.40000001</v>
      </c>
      <c r="EC12" s="40">
        <f t="shared" ca="1" si="92"/>
        <v>132401060.40000001</v>
      </c>
      <c r="ED12" s="40">
        <f t="shared" ca="1" si="92"/>
        <v>132401060.40000001</v>
      </c>
      <c r="EE12" s="40">
        <f t="shared" ca="1" si="92"/>
        <v>132401060.40000001</v>
      </c>
      <c r="EF12" s="40">
        <f t="shared" ca="1" si="92"/>
        <v>132401060.40000001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3"/>
        <v>132401060.40000001</v>
      </c>
      <c r="EI12" s="40">
        <f t="shared" ca="1" si="93"/>
        <v>132401060.40000001</v>
      </c>
      <c r="EJ12" s="40">
        <f t="shared" ca="1" si="93"/>
        <v>132401060.40000001</v>
      </c>
      <c r="EK12" s="40">
        <f t="shared" ca="1" si="93"/>
        <v>132401060.40000001</v>
      </c>
      <c r="EL12" s="40">
        <f t="shared" ca="1" si="93"/>
        <v>132401060.40000001</v>
      </c>
      <c r="EM12" s="40">
        <f t="shared" ca="1" si="93"/>
        <v>132401060.40000001</v>
      </c>
      <c r="EN12" s="40">
        <f t="shared" ca="1" si="93"/>
        <v>132401060.40000001</v>
      </c>
      <c r="EO12" s="40">
        <f t="shared" ca="1" si="93"/>
        <v>132401060.40000001</v>
      </c>
      <c r="EP12" s="40">
        <f t="shared" ca="1" si="93"/>
        <v>132401060.40000001</v>
      </c>
      <c r="EQ12" s="40">
        <f t="shared" ca="1" si="93"/>
        <v>132401060.40000001</v>
      </c>
      <c r="ER12" s="40">
        <f t="shared" ca="1" si="93"/>
        <v>132401060.40000001</v>
      </c>
      <c r="ES12" s="40">
        <f t="shared" ca="1" si="93"/>
        <v>132401060.40000001</v>
      </c>
      <c r="ET12" s="40">
        <f t="shared" ca="1" si="93"/>
        <v>132401060.40000001</v>
      </c>
      <c r="EU12" s="40">
        <f t="shared" ca="1" si="93"/>
        <v>132401060.40000001</v>
      </c>
      <c r="EV12" s="40">
        <f t="shared" ca="1" si="93"/>
        <v>132401060.40000001</v>
      </c>
      <c r="EW12" s="40">
        <f t="shared" ca="1" si="93"/>
        <v>132401060.40000001</v>
      </c>
      <c r="EX12" s="40">
        <f t="shared" ca="1" si="93"/>
        <v>132401060.40000001</v>
      </c>
      <c r="EY12" s="40">
        <f t="shared" ca="1" si="93"/>
        <v>132401060.40000001</v>
      </c>
      <c r="EZ12" s="40">
        <f t="shared" ca="1" si="93"/>
        <v>132401060.40000001</v>
      </c>
      <c r="FA12" s="40">
        <f t="shared" ca="1" si="93"/>
        <v>132401060.40000001</v>
      </c>
      <c r="FB12" s="40">
        <f t="shared" ca="1" si="93"/>
        <v>132401060.40000001</v>
      </c>
      <c r="FC12" s="40">
        <f t="shared" ca="1" si="93"/>
        <v>132401060.40000001</v>
      </c>
      <c r="FD12" s="40">
        <f t="shared" ca="1" si="93"/>
        <v>132401060.40000001</v>
      </c>
      <c r="FE12" s="40">
        <f t="shared" ca="1" si="93"/>
        <v>132401060.40000001</v>
      </c>
      <c r="FF12" s="40">
        <f t="shared" ca="1" si="93"/>
        <v>132401060.40000001</v>
      </c>
      <c r="FG12" s="40">
        <f t="shared" ca="1" si="93"/>
        <v>132401060.40000001</v>
      </c>
      <c r="FH12" s="40">
        <f t="shared" ca="1" si="93"/>
        <v>132401060.40000001</v>
      </c>
      <c r="FI12" s="40">
        <f t="shared" ca="1" si="93"/>
        <v>132401060.40000001</v>
      </c>
      <c r="FJ12" s="40">
        <f t="shared" ca="1" si="93"/>
        <v>132401060.40000001</v>
      </c>
      <c r="FK12" s="40">
        <f t="shared" ca="1" si="93"/>
        <v>132401060.40000001</v>
      </c>
      <c r="FL12" s="40">
        <f t="shared" ca="1" si="93"/>
        <v>132401060.40000001</v>
      </c>
      <c r="FM12" s="40">
        <f t="shared" ca="1" si="93"/>
        <v>132401060.40000001</v>
      </c>
      <c r="FN12" s="40">
        <f t="shared" ca="1" si="93"/>
        <v>132401060.40000001</v>
      </c>
      <c r="FO12" s="40">
        <f t="shared" ca="1" si="93"/>
        <v>132401060.40000001</v>
      </c>
      <c r="FP12" s="40">
        <f t="shared" ca="1" si="93"/>
        <v>132401060.40000001</v>
      </c>
      <c r="FQ12" s="40">
        <f t="shared" ca="1" si="93"/>
        <v>132401060.40000001</v>
      </c>
      <c r="FR12" s="40">
        <f t="shared" ca="1" si="93"/>
        <v>132401060.40000001</v>
      </c>
      <c r="FS12" s="40">
        <f t="shared" ca="1" si="93"/>
        <v>132401060.40000001</v>
      </c>
      <c r="FT12" s="40">
        <f t="shared" ca="1" si="93"/>
        <v>132401060.40000001</v>
      </c>
      <c r="FU12" s="40">
        <f t="shared" ca="1" si="93"/>
        <v>132401060.40000001</v>
      </c>
      <c r="FV12" s="40">
        <f t="shared" ca="1" si="93"/>
        <v>132401060.40000001</v>
      </c>
      <c r="FW12" s="40">
        <f t="shared" ca="1" si="93"/>
        <v>132401060.40000001</v>
      </c>
      <c r="FX12" s="40">
        <f t="shared" ca="1" si="93"/>
        <v>132401060.40000001</v>
      </c>
      <c r="FY12" s="40">
        <f t="shared" ca="1" si="93"/>
        <v>132401060.40000001</v>
      </c>
      <c r="FZ12" s="40">
        <f t="shared" ca="1" si="93"/>
        <v>132401060.40000001</v>
      </c>
      <c r="GA12" s="40">
        <f t="shared" ca="1" si="93"/>
        <v>132401060.40000001</v>
      </c>
      <c r="GB12" s="40">
        <f t="shared" ca="1" si="93"/>
        <v>132401060.40000001</v>
      </c>
      <c r="GC12" s="40">
        <f t="shared" ca="1" si="93"/>
        <v>132401060.40000001</v>
      </c>
      <c r="GD12" s="40">
        <f t="shared" ca="1" si="93"/>
        <v>132401060.40000001</v>
      </c>
      <c r="GE12" s="40">
        <f t="shared" ca="1" si="93"/>
        <v>132401060.40000001</v>
      </c>
      <c r="GF12" s="40">
        <f t="shared" ca="1" si="93"/>
        <v>132401060.40000001</v>
      </c>
      <c r="GG12" s="40">
        <f t="shared" ca="1" si="93"/>
        <v>132401060.40000001</v>
      </c>
      <c r="GH12" s="40">
        <f t="shared" ca="1" si="93"/>
        <v>132401060.40000001</v>
      </c>
      <c r="GI12" s="40">
        <f t="shared" ca="1" si="93"/>
        <v>132401060.40000001</v>
      </c>
      <c r="GJ12" s="40">
        <f t="shared" ca="1" si="93"/>
        <v>132401060.40000001</v>
      </c>
      <c r="GK12" s="40">
        <f t="shared" ca="1" si="93"/>
        <v>132401060.40000001</v>
      </c>
      <c r="GL12" s="40">
        <f t="shared" ca="1" si="93"/>
        <v>132401060.40000001</v>
      </c>
      <c r="GM12" s="40">
        <f t="shared" ca="1" si="93"/>
        <v>132401060.40000001</v>
      </c>
      <c r="GN12" s="40">
        <f t="shared" ca="1" si="93"/>
        <v>132401060.40000001</v>
      </c>
      <c r="GO12" s="40">
        <f t="shared" ca="1" si="93"/>
        <v>132401060.40000001</v>
      </c>
      <c r="GP12" s="40">
        <f t="shared" ca="1" si="93"/>
        <v>132401060.40000001</v>
      </c>
      <c r="GQ12" s="40">
        <f t="shared" ca="1" si="93"/>
        <v>132401060.40000001</v>
      </c>
      <c r="GR12" s="40">
        <f t="shared" ca="1" si="93"/>
        <v>132401060.40000001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4"/>
        <v>132401060.40000001</v>
      </c>
      <c r="GU12" s="40">
        <f t="shared" ca="1" si="94"/>
        <v>132401060.40000001</v>
      </c>
      <c r="GV12" s="40">
        <f t="shared" ca="1" si="94"/>
        <v>132401060.40000001</v>
      </c>
      <c r="GW12" s="40">
        <f t="shared" ca="1" si="94"/>
        <v>132401060.40000001</v>
      </c>
      <c r="GX12" s="40">
        <f t="shared" ca="1" si="94"/>
        <v>132401060.40000001</v>
      </c>
      <c r="GY12" s="40">
        <f t="shared" ca="1" si="94"/>
        <v>132401060.40000001</v>
      </c>
      <c r="GZ12" s="40">
        <f t="shared" ca="1" si="94"/>
        <v>132401060.40000001</v>
      </c>
      <c r="HA12" s="40">
        <f t="shared" ca="1" si="94"/>
        <v>132401060.40000001</v>
      </c>
      <c r="HB12" s="40">
        <f t="shared" ca="1" si="94"/>
        <v>132401060.40000001</v>
      </c>
      <c r="HC12" s="40">
        <f t="shared" ca="1" si="94"/>
        <v>132401060.40000001</v>
      </c>
      <c r="HD12" s="40">
        <f t="shared" ca="1" si="94"/>
        <v>132401060.40000001</v>
      </c>
      <c r="HE12" s="40">
        <f t="shared" ca="1" si="94"/>
        <v>132401060.40000001</v>
      </c>
      <c r="HF12" s="40">
        <f t="shared" ca="1" si="94"/>
        <v>132401060.40000001</v>
      </c>
      <c r="HG12" s="40">
        <f t="shared" ca="1" si="94"/>
        <v>132401060.40000001</v>
      </c>
      <c r="HH12" s="40">
        <f t="shared" ca="1" si="94"/>
        <v>132401060.40000001</v>
      </c>
      <c r="HI12" s="40">
        <f t="shared" ca="1" si="94"/>
        <v>132401060.40000001</v>
      </c>
      <c r="HJ12" s="40">
        <f t="shared" ca="1" si="94"/>
        <v>132401060.40000001</v>
      </c>
      <c r="HK12" s="40">
        <f t="shared" ca="1" si="94"/>
        <v>132401060.40000001</v>
      </c>
      <c r="HL12" s="40">
        <f t="shared" ca="1" si="94"/>
        <v>132401060.40000001</v>
      </c>
      <c r="HM12" s="40">
        <f t="shared" ca="1" si="94"/>
        <v>132401060.40000001</v>
      </c>
      <c r="HN12" s="40">
        <f t="shared" ca="1" si="94"/>
        <v>132401060.40000001</v>
      </c>
      <c r="HO12" s="40">
        <f t="shared" ca="1" si="94"/>
        <v>132401060.40000001</v>
      </c>
      <c r="HP12" s="40">
        <f t="shared" ca="1" si="94"/>
        <v>132401060.40000001</v>
      </c>
      <c r="HQ12" s="40">
        <f t="shared" ca="1" si="94"/>
        <v>132401060.40000001</v>
      </c>
      <c r="HR12" s="40">
        <f t="shared" ca="1" si="94"/>
        <v>132401060.40000001</v>
      </c>
      <c r="HS12" s="40">
        <f t="shared" ca="1" si="94"/>
        <v>132401060.40000001</v>
      </c>
      <c r="HT12" s="40">
        <f t="shared" ca="1" si="94"/>
        <v>132401060.40000001</v>
      </c>
      <c r="HU12" s="40">
        <f t="shared" ca="1" si="94"/>
        <v>132401060.40000001</v>
      </c>
      <c r="HV12" s="40">
        <f t="shared" ca="1" si="94"/>
        <v>132401060.40000001</v>
      </c>
      <c r="HW12" s="40">
        <f t="shared" ca="1" si="94"/>
        <v>132401060.40000001</v>
      </c>
      <c r="HX12" s="40">
        <f t="shared" ca="1" si="94"/>
        <v>132401060.40000001</v>
      </c>
      <c r="HY12" s="40">
        <f t="shared" ca="1" si="94"/>
        <v>132401060.40000001</v>
      </c>
      <c r="HZ12" s="40">
        <f t="shared" ca="1" si="94"/>
        <v>132401060.40000001</v>
      </c>
      <c r="IA12" s="40">
        <f t="shared" ca="1" si="94"/>
        <v>132401060.40000001</v>
      </c>
      <c r="IB12" s="40">
        <f t="shared" ca="1" si="94"/>
        <v>132401060.40000001</v>
      </c>
      <c r="IC12" s="40">
        <f t="shared" ca="1" si="94"/>
        <v>132401060.40000001</v>
      </c>
      <c r="ID12" s="40">
        <f t="shared" ca="1" si="94"/>
        <v>132401060.40000001</v>
      </c>
      <c r="IE12" s="40">
        <f t="shared" ca="1" si="94"/>
        <v>132401060.40000001</v>
      </c>
      <c r="IF12" s="40">
        <f t="shared" ca="1" si="94"/>
        <v>132401060.40000001</v>
      </c>
      <c r="IG12" s="40">
        <f t="shared" ca="1" si="94"/>
        <v>132401060.40000001</v>
      </c>
      <c r="IH12" s="40">
        <f t="shared" ca="1" si="94"/>
        <v>132401060.40000001</v>
      </c>
      <c r="II12" s="40">
        <f t="shared" ca="1" si="94"/>
        <v>132401060.40000001</v>
      </c>
      <c r="IJ12" s="40">
        <f t="shared" ca="1" si="94"/>
        <v>132401060.40000001</v>
      </c>
      <c r="IK12" s="40">
        <f t="shared" ca="1" si="94"/>
        <v>132401060.40000001</v>
      </c>
      <c r="IL12" s="40">
        <f t="shared" ca="1" si="94"/>
        <v>132401060.40000001</v>
      </c>
      <c r="IM12" s="40">
        <f t="shared" ca="1" si="94"/>
        <v>132401060.40000001</v>
      </c>
      <c r="IN12" s="40">
        <f t="shared" ca="1" si="94"/>
        <v>132401060.40000001</v>
      </c>
    </row>
    <row r="13" spans="2:248" x14ac:dyDescent="0.3">
      <c r="B13" s="19" t="s">
        <v>587</v>
      </c>
      <c r="C13" s="74">
        <f>VLOOKUP(B2,Deaths_since_10!C:G,5,FALSE)-1</f>
        <v>0.31539923538504366</v>
      </c>
      <c r="F13" s="19" t="s">
        <v>588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5">IF(ISNA(I5),NA(),IF(J4&lt;$C$10,(J5/OFFSET(J5,0,-J4))^(1/(J4)),(J5/OFFSET(J5,0,-$C$10))^(1/$C$10))-1)</f>
        <v>0.30458714460271508</v>
      </c>
      <c r="K13" s="53">
        <f t="shared" ca="1" si="95"/>
        <v>0.35858248539938176</v>
      </c>
      <c r="L13" s="53">
        <f t="shared" ca="1" si="95"/>
        <v>0.34427942172158232</v>
      </c>
      <c r="M13" s="53">
        <f t="shared" ca="1" si="95"/>
        <v>0.31370077848266753</v>
      </c>
      <c r="N13" s="53">
        <f t="shared" ca="1" si="95"/>
        <v>0.34608279910658291</v>
      </c>
      <c r="O13" s="53">
        <f t="shared" ca="1" si="95"/>
        <v>0.37356611236813397</v>
      </c>
      <c r="P13" s="53">
        <f t="shared" ca="1" si="95"/>
        <v>0.32841337385962488</v>
      </c>
      <c r="Q13" s="53">
        <f t="shared" ca="1" si="95"/>
        <v>0.33286294444115683</v>
      </c>
      <c r="R13" s="53">
        <f t="shared" ca="1" si="95"/>
        <v>0.3614550796378877</v>
      </c>
      <c r="S13" s="53">
        <f t="shared" ca="1" si="95"/>
        <v>0.29546315971254922</v>
      </c>
      <c r="T13" s="53">
        <f t="shared" ca="1" si="95"/>
        <v>0.29313505273275764</v>
      </c>
      <c r="U13" s="53">
        <f t="shared" ca="1" si="95"/>
        <v>0.31021354282727942</v>
      </c>
      <c r="V13" s="53">
        <f t="shared" ca="1" si="95"/>
        <v>0.28996509827004324</v>
      </c>
      <c r="W13" s="53">
        <f t="shared" ca="1" si="95"/>
        <v>0.38057861456112052</v>
      </c>
      <c r="X13" s="53">
        <f t="shared" ca="1" si="95"/>
        <v>0.40416416349332795</v>
      </c>
      <c r="Y13" s="53">
        <f t="shared" ca="1" si="95"/>
        <v>0.40642587983568079</v>
      </c>
      <c r="Z13" s="53">
        <f t="shared" ca="1" si="95"/>
        <v>0.38965082357225467</v>
      </c>
      <c r="AA13" s="53">
        <f t="shared" ca="1" si="95"/>
        <v>0.41305338836984995</v>
      </c>
      <c r="AB13" s="53">
        <f t="shared" ca="1" si="95"/>
        <v>0.31480504864402459</v>
      </c>
      <c r="AC13" s="53">
        <f t="shared" ca="1" si="95"/>
        <v>0.28058809312749022</v>
      </c>
      <c r="AD13" s="53">
        <f t="shared" ca="1" si="95"/>
        <v>0.26886538636721102</v>
      </c>
      <c r="AE13" s="53" t="e">
        <f t="shared" ca="1" si="95"/>
        <v>#N/A</v>
      </c>
      <c r="AF13" s="53" t="e">
        <f t="shared" ca="1" si="95"/>
        <v>#N/A</v>
      </c>
      <c r="AG13" s="53" t="e">
        <f t="shared" ca="1" si="95"/>
        <v>#N/A</v>
      </c>
      <c r="AH13" s="53" t="e">
        <f t="shared" ca="1" si="95"/>
        <v>#N/A</v>
      </c>
      <c r="AI13" s="53" t="e">
        <f t="shared" ca="1" si="95"/>
        <v>#N/A</v>
      </c>
      <c r="AJ13" s="53" t="e">
        <f t="shared" ca="1" si="95"/>
        <v>#N/A</v>
      </c>
      <c r="AK13" s="53" t="e">
        <f t="shared" ca="1" si="95"/>
        <v>#N/A</v>
      </c>
      <c r="AL13" s="53" t="e">
        <f t="shared" ca="1" si="95"/>
        <v>#N/A</v>
      </c>
      <c r="AM13" s="53" t="e">
        <f t="shared" ca="1" si="95"/>
        <v>#N/A</v>
      </c>
      <c r="AN13" s="53" t="e">
        <f t="shared" ca="1" si="95"/>
        <v>#N/A</v>
      </c>
      <c r="AO13" s="53" t="e">
        <f t="shared" ca="1" si="95"/>
        <v>#N/A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452</v>
      </c>
      <c r="C14" s="21">
        <f>C4*(1+C12)</f>
        <v>106376.5985314815</v>
      </c>
      <c r="F14" s="19" t="s">
        <v>602</v>
      </c>
      <c r="G14" s="53">
        <f ca="1">H14</f>
        <v>0.26271186440677963</v>
      </c>
      <c r="H14" s="53">
        <f ca="1">IF(ISNA(G8),NA(),IF(H4&lt;$C$10,(H8/OFFSET(H8,0,-H4))^(1/(H4)),(H8/OFFSET(H8,0,-$C$10))^(1/$C$10))-1)</f>
        <v>0.26271186440677963</v>
      </c>
      <c r="I14" s="53">
        <f t="shared" ref="I14:BT14" ca="1" si="99">IF(ISNA(H8),NA(),IF(I4&lt;$C$10,(I8/OFFSET(I8,0,-I4))^(1/(I4)),(I8/OFFSET(I8,0,-$C$10))^(1/$C$10))-1)</f>
        <v>0.3529628504050919</v>
      </c>
      <c r="J14" s="53">
        <f t="shared" ca="1" si="99"/>
        <v>0.29958867741231177</v>
      </c>
      <c r="K14" s="53">
        <f t="shared" ca="1" si="99"/>
        <v>0.35348452501538308</v>
      </c>
      <c r="L14" s="53">
        <f t="shared" ca="1" si="99"/>
        <v>0.33904860378831669</v>
      </c>
      <c r="M14" s="53">
        <f t="shared" ca="1" si="99"/>
        <v>0.30870557377507613</v>
      </c>
      <c r="N14" s="53">
        <f t="shared" ca="1" si="99"/>
        <v>0.34251587646874726</v>
      </c>
      <c r="O14" s="53">
        <f t="shared" ca="1" si="99"/>
        <v>0.37131736356819212</v>
      </c>
      <c r="P14" s="53">
        <f t="shared" ca="1" si="99"/>
        <v>0.32773490690455209</v>
      </c>
      <c r="Q14" s="53">
        <f t="shared" ca="1" si="99"/>
        <v>0.33361874671309111</v>
      </c>
      <c r="R14" s="53">
        <f t="shared" ca="1" si="99"/>
        <v>0.33746700516802108</v>
      </c>
      <c r="S14" s="53">
        <f t="shared" ca="1" si="99"/>
        <v>0.28238859322037246</v>
      </c>
      <c r="T14" s="53">
        <f t="shared" ca="1" si="99"/>
        <v>0.2775835049488482</v>
      </c>
      <c r="U14" s="53">
        <f t="shared" ca="1" si="99"/>
        <v>0.29806888466608239</v>
      </c>
      <c r="V14" s="53">
        <f t="shared" ca="1" si="99"/>
        <v>0.27224776268606066</v>
      </c>
      <c r="W14" s="53">
        <f t="shared" ca="1" si="99"/>
        <v>0.39360574419306538</v>
      </c>
      <c r="X14" s="53">
        <f t="shared" ca="1" si="99"/>
        <v>0.41036743387180463</v>
      </c>
      <c r="Y14" s="53">
        <f t="shared" ca="1" si="99"/>
        <v>0.41066300792864019</v>
      </c>
      <c r="Z14" s="53">
        <f t="shared" ca="1" si="99"/>
        <v>0.39046709949818537</v>
      </c>
      <c r="AA14" s="53">
        <f t="shared" ca="1" si="99"/>
        <v>0.42033484889921846</v>
      </c>
      <c r="AB14" s="53">
        <f t="shared" ca="1" si="99"/>
        <v>0.31392880069816997</v>
      </c>
      <c r="AC14" s="53">
        <f t="shared" ca="1" si="99"/>
        <v>0.27580723219551295</v>
      </c>
      <c r="AD14" s="53">
        <f t="shared" ca="1" si="99"/>
        <v>0.26848029843830989</v>
      </c>
      <c r="AE14" s="53" t="e">
        <f t="shared" ca="1" si="99"/>
        <v>#N/A</v>
      </c>
      <c r="AF14" s="53" t="e">
        <f t="shared" ca="1" si="99"/>
        <v>#N/A</v>
      </c>
      <c r="AG14" s="53" t="e">
        <f t="shared" ca="1" si="99"/>
        <v>#N/A</v>
      </c>
      <c r="AH14" s="53" t="e">
        <f t="shared" ca="1" si="99"/>
        <v>#N/A</v>
      </c>
      <c r="AI14" s="53" t="e">
        <f t="shared" ca="1" si="99"/>
        <v>#N/A</v>
      </c>
      <c r="AJ14" s="53" t="e">
        <f t="shared" ca="1" si="99"/>
        <v>#N/A</v>
      </c>
      <c r="AK14" s="53" t="e">
        <f t="shared" ca="1" si="99"/>
        <v>#N/A</v>
      </c>
      <c r="AL14" s="53" t="e">
        <f t="shared" ca="1" si="99"/>
        <v>#N/A</v>
      </c>
      <c r="AM14" s="53" t="e">
        <f t="shared" ca="1" si="99"/>
        <v>#N/A</v>
      </c>
      <c r="AN14" s="53" t="e">
        <f t="shared" ca="1" si="99"/>
        <v>#N/A</v>
      </c>
      <c r="AO14" s="53" t="e">
        <f t="shared" ca="1" si="99"/>
        <v>#N/A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3.6052531132210505E-2</v>
      </c>
      <c r="E15" s="93"/>
      <c r="F15" s="19" t="s">
        <v>569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>
        <f t="shared" ca="1" si="103"/>
        <v>9.0909090909090828E-2</v>
      </c>
      <c r="J15" s="53">
        <f t="shared" ca="1" si="103"/>
        <v>0.12815214963553245</v>
      </c>
      <c r="K15" s="53">
        <f t="shared" ca="1" si="103"/>
        <v>0.15616214441920406</v>
      </c>
      <c r="L15" s="53">
        <f t="shared" ca="1" si="103"/>
        <v>0.17545674502106401</v>
      </c>
      <c r="M15" s="53">
        <f t="shared" ca="1" si="103"/>
        <v>0.1486983549970351</v>
      </c>
      <c r="N15" s="53">
        <f t="shared" ca="1" si="103"/>
        <v>0.18466445254224406</v>
      </c>
      <c r="O15" s="53">
        <f t="shared" ca="1" si="103"/>
        <v>0.20791087977228595</v>
      </c>
      <c r="P15" s="53">
        <f t="shared" ca="1" si="103"/>
        <v>0.18664882623542334</v>
      </c>
      <c r="Q15" s="53">
        <f t="shared" ca="1" si="103"/>
        <v>0.17483185214392605</v>
      </c>
      <c r="R15" s="53">
        <f t="shared" ca="1" si="103"/>
        <v>0.1967245924901726</v>
      </c>
      <c r="S15" s="53">
        <f t="shared" ca="1" si="103"/>
        <v>0.17607902252467356</v>
      </c>
      <c r="T15" s="53">
        <f t="shared" ca="1" si="103"/>
        <v>0.18747174576884862</v>
      </c>
      <c r="U15" s="53">
        <f t="shared" ca="1" si="103"/>
        <v>0.21975540946693473</v>
      </c>
      <c r="V15" s="53">
        <f t="shared" ca="1" si="103"/>
        <v>0.20214493199953942</v>
      </c>
      <c r="W15" s="53">
        <f t="shared" ca="1" si="103"/>
        <v>0.29935328030539643</v>
      </c>
      <c r="X15" s="53">
        <f t="shared" ca="1" si="103"/>
        <v>0.31102162512174147</v>
      </c>
      <c r="Y15" s="53">
        <f t="shared" ca="1" si="103"/>
        <v>0.29283734880064749</v>
      </c>
      <c r="Z15" s="53">
        <f t="shared" ca="1" si="103"/>
        <v>0.3102146764437772</v>
      </c>
      <c r="AA15" s="53">
        <f t="shared" ca="1" si="103"/>
        <v>0.3639380262552574</v>
      </c>
      <c r="AB15" s="53">
        <f t="shared" ca="1" si="103"/>
        <v>0.28693004775621556</v>
      </c>
      <c r="AC15" s="53">
        <f t="shared" ca="1" si="103"/>
        <v>0.31018377005173359</v>
      </c>
      <c r="AD15" s="53">
        <f t="shared" ca="1" si="103"/>
        <v>0.31539923538504366</v>
      </c>
      <c r="AE15" s="53" t="e">
        <f t="shared" ca="1" si="103"/>
        <v>#N/A</v>
      </c>
      <c r="AF15" s="53" t="e">
        <f t="shared" ca="1" si="103"/>
        <v>#N/A</v>
      </c>
      <c r="AG15" s="53" t="e">
        <f t="shared" ca="1" si="103"/>
        <v>#N/A</v>
      </c>
      <c r="AH15" s="53" t="e">
        <f t="shared" ca="1" si="103"/>
        <v>#N/A</v>
      </c>
      <c r="AI15" s="53" t="e">
        <f t="shared" ca="1" si="103"/>
        <v>#N/A</v>
      </c>
      <c r="AJ15" s="53" t="e">
        <f t="shared" ca="1" si="103"/>
        <v>#N/A</v>
      </c>
      <c r="AK15" s="53" t="e">
        <f t="shared" ca="1" si="103"/>
        <v>#N/A</v>
      </c>
      <c r="AL15" s="53" t="e">
        <f t="shared" ca="1" si="103"/>
        <v>#N/A</v>
      </c>
      <c r="AM15" s="53" t="e">
        <f t="shared" ca="1" si="103"/>
        <v>#N/A</v>
      </c>
      <c r="AN15" s="53" t="e">
        <f t="shared" ca="1" si="103"/>
        <v>#N/A</v>
      </c>
      <c r="AO15" s="53" t="e">
        <f t="shared" ca="1" si="103"/>
        <v>#N/A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465</v>
      </c>
      <c r="C16" s="21">
        <f>IF(Projections!Z39="",VLOOKUP(B2,Country_Data!C:L,10,FALSE),Projections!Z39)</f>
        <v>96983.776743000009</v>
      </c>
      <c r="E16" s="93" t="s">
        <v>586</v>
      </c>
      <c r="F16" s="19" t="s">
        <v>570</v>
      </c>
      <c r="G16" s="94">
        <f t="shared" ref="G16:O16" ca="1" si="107">IFERROR(AVERAGE(E14:G14),NA())</f>
        <v>0.26271186440677963</v>
      </c>
      <c r="H16" s="94">
        <f t="shared" ca="1" si="107"/>
        <v>0.26271186440677963</v>
      </c>
      <c r="I16" s="94">
        <f t="shared" ca="1" si="107"/>
        <v>0.29279552640621703</v>
      </c>
      <c r="J16" s="94">
        <f t="shared" ca="1" si="107"/>
        <v>0.30508779740806108</v>
      </c>
      <c r="K16" s="94">
        <f t="shared" ca="1" si="107"/>
        <v>0.33534535094426227</v>
      </c>
      <c r="L16" s="94">
        <f t="shared" ca="1" si="107"/>
        <v>0.33070726873867051</v>
      </c>
      <c r="M16" s="94">
        <f ca="1">IFERROR(AVERAGE(K14:M14),NA())</f>
        <v>0.33374623419292532</v>
      </c>
      <c r="N16" s="94">
        <f t="shared" ca="1" si="107"/>
        <v>0.33009001801071336</v>
      </c>
      <c r="O16" s="94">
        <f t="shared" ca="1" si="107"/>
        <v>0.34084627127067185</v>
      </c>
      <c r="P16" s="94">
        <f ca="1">IFERROR(AVERAGE(N14:P14),NA())</f>
        <v>0.34718938231383051</v>
      </c>
      <c r="Q16" s="94">
        <f t="shared" ref="Q16:AC16" ca="1" si="108">IFERROR(AVERAGE(O14:Q14),NA())</f>
        <v>0.34422367239527846</v>
      </c>
      <c r="R16" s="94">
        <f t="shared" ca="1" si="108"/>
        <v>0.33294021959522141</v>
      </c>
      <c r="S16" s="94">
        <f t="shared" ca="1" si="108"/>
        <v>0.31782478170049488</v>
      </c>
      <c r="T16" s="94">
        <f t="shared" ca="1" si="108"/>
        <v>0.2991463677790806</v>
      </c>
      <c r="U16" s="94">
        <f t="shared" ca="1" si="108"/>
        <v>0.286013660945101</v>
      </c>
      <c r="V16" s="94">
        <f t="shared" ca="1" si="108"/>
        <v>0.2826333841003304</v>
      </c>
      <c r="W16" s="94">
        <f t="shared" ca="1" si="108"/>
        <v>0.32130746384840281</v>
      </c>
      <c r="X16" s="94">
        <f t="shared" ca="1" si="108"/>
        <v>0.35874031358364356</v>
      </c>
      <c r="Y16" s="94">
        <f t="shared" ca="1" si="108"/>
        <v>0.40487872866450342</v>
      </c>
      <c r="Z16" s="94">
        <f t="shared" ca="1" si="108"/>
        <v>0.40383251376621004</v>
      </c>
      <c r="AA16" s="94">
        <f t="shared" ca="1" si="108"/>
        <v>0.40715498544201467</v>
      </c>
      <c r="AB16" s="94">
        <f t="shared" ca="1" si="108"/>
        <v>0.3749102496985246</v>
      </c>
      <c r="AC16" s="94">
        <f t="shared" ca="1" si="108"/>
        <v>0.33669029393096711</v>
      </c>
      <c r="AD16" s="94">
        <f ca="1">IFERROR(AVERAGE(AB14:AD14),NA())</f>
        <v>0.28607211044399761</v>
      </c>
      <c r="AE16" s="94" t="e">
        <f t="shared" ref="AE16:BS16" ca="1" si="109">IFERROR(AVERAGE(AA14:AE14),NA())</f>
        <v>#N/A</v>
      </c>
      <c r="AF16" s="94" t="e">
        <f t="shared" ca="1" si="109"/>
        <v>#N/A</v>
      </c>
      <c r="AG16" s="94" t="e">
        <f t="shared" ca="1" si="109"/>
        <v>#N/A</v>
      </c>
      <c r="AH16" s="94" t="e">
        <f t="shared" ca="1" si="109"/>
        <v>#N/A</v>
      </c>
      <c r="AI16" s="94" t="e">
        <f t="shared" ca="1" si="109"/>
        <v>#N/A</v>
      </c>
      <c r="AJ16" s="94" t="e">
        <f t="shared" ca="1" si="109"/>
        <v>#N/A</v>
      </c>
      <c r="AK16" s="94" t="e">
        <f t="shared" ca="1" si="109"/>
        <v>#N/A</v>
      </c>
      <c r="AL16" s="94" t="e">
        <f t="shared" ca="1" si="109"/>
        <v>#N/A</v>
      </c>
      <c r="AM16" s="94" t="e">
        <f t="shared" ca="1" si="109"/>
        <v>#N/A</v>
      </c>
      <c r="AN16" s="94" t="e">
        <f t="shared" ca="1" si="109"/>
        <v>#N/A</v>
      </c>
      <c r="AO16" s="94" t="e">
        <f t="shared" ca="1" si="109"/>
        <v>#N/A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ca="1">IFERROR(AVERAGE(BN14:BR14),NA())</f>
        <v>#N/A</v>
      </c>
      <c r="BS16" s="94" t="e">
        <f t="shared" ca="1" si="109"/>
        <v>#N/A</v>
      </c>
      <c r="BT16" s="94" t="e">
        <f t="shared" ref="BT16:EE16" ca="1" si="110">IFERROR(AVERAGE(BP14:BT14),NA())</f>
        <v>#N/A</v>
      </c>
      <c r="BU16" s="94" t="e">
        <f t="shared" ca="1" si="110"/>
        <v>#N/A</v>
      </c>
      <c r="BV16" s="94" t="e">
        <f t="shared" ca="1" si="110"/>
        <v>#N/A</v>
      </c>
      <c r="BW16" s="94" t="e">
        <f t="shared" ca="1" si="110"/>
        <v>#N/A</v>
      </c>
      <c r="BX16" s="94" t="e">
        <f t="shared" ca="1" si="110"/>
        <v>#N/A</v>
      </c>
      <c r="BY16" s="94" t="e">
        <f t="shared" ca="1" si="110"/>
        <v>#N/A</v>
      </c>
      <c r="BZ16" s="94" t="e">
        <f t="shared" ca="1" si="110"/>
        <v>#N/A</v>
      </c>
      <c r="CA16" s="94" t="e">
        <f t="shared" ca="1" si="110"/>
        <v>#N/A</v>
      </c>
      <c r="CB16" s="94" t="e">
        <f t="shared" ca="1" si="110"/>
        <v>#N/A</v>
      </c>
      <c r="CC16" s="94" t="e">
        <f t="shared" ca="1" si="110"/>
        <v>#N/A</v>
      </c>
      <c r="CD16" s="94" t="e">
        <f t="shared" ca="1" si="110"/>
        <v>#N/A</v>
      </c>
      <c r="CE16" s="94" t="e">
        <f t="shared" ca="1" si="110"/>
        <v>#N/A</v>
      </c>
      <c r="CF16" s="94" t="e">
        <f t="shared" ca="1" si="110"/>
        <v>#N/A</v>
      </c>
      <c r="CG16" s="94" t="e">
        <f t="shared" ca="1" si="110"/>
        <v>#N/A</v>
      </c>
      <c r="CH16" s="94" t="e">
        <f t="shared" ca="1" si="110"/>
        <v>#N/A</v>
      </c>
      <c r="CI16" s="94" t="e">
        <f t="shared" ca="1" si="110"/>
        <v>#N/A</v>
      </c>
      <c r="CJ16" s="94" t="e">
        <f t="shared" ca="1" si="110"/>
        <v>#N/A</v>
      </c>
      <c r="CK16" s="94" t="e">
        <f t="shared" ca="1" si="110"/>
        <v>#N/A</v>
      </c>
      <c r="CL16" s="94" t="e">
        <f t="shared" ca="1" si="110"/>
        <v>#N/A</v>
      </c>
      <c r="CM16" s="94" t="e">
        <f t="shared" ca="1" si="110"/>
        <v>#N/A</v>
      </c>
      <c r="CN16" s="94" t="e">
        <f t="shared" ca="1" si="110"/>
        <v>#N/A</v>
      </c>
      <c r="CO16" s="94" t="e">
        <f t="shared" ca="1" si="110"/>
        <v>#N/A</v>
      </c>
      <c r="CP16" s="94" t="e">
        <f t="shared" ca="1" si="110"/>
        <v>#N/A</v>
      </c>
      <c r="CQ16" s="94" t="e">
        <f t="shared" ca="1" si="110"/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ref="EF16:GQ16" ca="1" si="111">IFERROR(AVERAGE(EB14:EF14),NA())</f>
        <v>#N/A</v>
      </c>
      <c r="EG16" s="94" t="e">
        <f t="shared" ca="1" si="111"/>
        <v>#N/A</v>
      </c>
      <c r="EH16" s="94" t="e">
        <f t="shared" ca="1" si="111"/>
        <v>#N/A</v>
      </c>
      <c r="EI16" s="94" t="e">
        <f t="shared" ca="1" si="111"/>
        <v>#N/A</v>
      </c>
      <c r="EJ16" s="94" t="e">
        <f t="shared" ca="1" si="111"/>
        <v>#N/A</v>
      </c>
      <c r="EK16" s="94" t="e">
        <f t="shared" ca="1" si="111"/>
        <v>#N/A</v>
      </c>
      <c r="EL16" s="94" t="e">
        <f t="shared" ca="1" si="111"/>
        <v>#N/A</v>
      </c>
      <c r="EM16" s="94" t="e">
        <f t="shared" ca="1" si="111"/>
        <v>#N/A</v>
      </c>
      <c r="EN16" s="94" t="e">
        <f t="shared" ca="1" si="111"/>
        <v>#N/A</v>
      </c>
      <c r="EO16" s="94" t="e">
        <f t="shared" ca="1" si="111"/>
        <v>#N/A</v>
      </c>
      <c r="EP16" s="94" t="e">
        <f t="shared" ca="1" si="111"/>
        <v>#N/A</v>
      </c>
      <c r="EQ16" s="94" t="e">
        <f t="shared" ca="1" si="111"/>
        <v>#N/A</v>
      </c>
      <c r="ER16" s="94" t="e">
        <f t="shared" ca="1" si="111"/>
        <v>#N/A</v>
      </c>
      <c r="ES16" s="94" t="e">
        <f t="shared" ca="1" si="111"/>
        <v>#N/A</v>
      </c>
      <c r="ET16" s="94" t="e">
        <f t="shared" ca="1" si="111"/>
        <v>#N/A</v>
      </c>
      <c r="EU16" s="94" t="e">
        <f t="shared" ca="1" si="111"/>
        <v>#N/A</v>
      </c>
      <c r="EV16" s="94" t="e">
        <f t="shared" ca="1" si="111"/>
        <v>#N/A</v>
      </c>
      <c r="EW16" s="94" t="e">
        <f t="shared" ca="1" si="111"/>
        <v>#N/A</v>
      </c>
      <c r="EX16" s="94" t="e">
        <f t="shared" ca="1" si="111"/>
        <v>#N/A</v>
      </c>
      <c r="EY16" s="94" t="e">
        <f t="shared" ca="1" si="111"/>
        <v>#N/A</v>
      </c>
      <c r="EZ16" s="94" t="e">
        <f t="shared" ca="1" si="111"/>
        <v>#N/A</v>
      </c>
      <c r="FA16" s="94" t="e">
        <f t="shared" ca="1" si="111"/>
        <v>#N/A</v>
      </c>
      <c r="FB16" s="94" t="e">
        <f t="shared" ca="1" si="111"/>
        <v>#N/A</v>
      </c>
      <c r="FC16" s="94" t="e">
        <f t="shared" ca="1" si="111"/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ref="GR16:IN16" ca="1" si="112">IFERROR(AVERAGE(GN14:GR14),NA())</f>
        <v>#N/A</v>
      </c>
      <c r="GS16" s="94" t="e">
        <f t="shared" ca="1" si="112"/>
        <v>#N/A</v>
      </c>
      <c r="GT16" s="94" t="e">
        <f t="shared" ca="1" si="112"/>
        <v>#N/A</v>
      </c>
      <c r="GU16" s="94" t="e">
        <f t="shared" ca="1" si="112"/>
        <v>#N/A</v>
      </c>
      <c r="GV16" s="94" t="e">
        <f t="shared" ca="1" si="112"/>
        <v>#N/A</v>
      </c>
      <c r="GW16" s="94" t="e">
        <f t="shared" ca="1" si="112"/>
        <v>#N/A</v>
      </c>
      <c r="GX16" s="94" t="e">
        <f t="shared" ca="1" si="112"/>
        <v>#N/A</v>
      </c>
      <c r="GY16" s="94" t="e">
        <f t="shared" ca="1" si="112"/>
        <v>#N/A</v>
      </c>
      <c r="GZ16" s="94" t="e">
        <f t="shared" ca="1" si="112"/>
        <v>#N/A</v>
      </c>
      <c r="HA16" s="94" t="e">
        <f t="shared" ca="1" si="112"/>
        <v>#N/A</v>
      </c>
      <c r="HB16" s="94" t="e">
        <f t="shared" ca="1" si="112"/>
        <v>#N/A</v>
      </c>
      <c r="HC16" s="94" t="e">
        <f t="shared" ca="1" si="112"/>
        <v>#N/A</v>
      </c>
      <c r="HD16" s="94" t="e">
        <f t="shared" ca="1" si="112"/>
        <v>#N/A</v>
      </c>
      <c r="HE16" s="94" t="e">
        <f t="shared" ca="1" si="112"/>
        <v>#N/A</v>
      </c>
      <c r="HF16" s="94" t="e">
        <f t="shared" ca="1" si="112"/>
        <v>#N/A</v>
      </c>
      <c r="HG16" s="94" t="e">
        <f t="shared" ca="1" si="112"/>
        <v>#N/A</v>
      </c>
      <c r="HH16" s="94" t="e">
        <f t="shared" ca="1" si="112"/>
        <v>#N/A</v>
      </c>
      <c r="HI16" s="94" t="e">
        <f t="shared" ca="1" si="112"/>
        <v>#N/A</v>
      </c>
      <c r="HJ16" s="94" t="e">
        <f t="shared" ca="1" si="112"/>
        <v>#N/A</v>
      </c>
      <c r="HK16" s="94" t="e">
        <f t="shared" ca="1" si="112"/>
        <v>#N/A</v>
      </c>
      <c r="HL16" s="94" t="e">
        <f t="shared" ca="1" si="112"/>
        <v>#N/A</v>
      </c>
      <c r="HM16" s="94" t="e">
        <f t="shared" ca="1" si="112"/>
        <v>#N/A</v>
      </c>
      <c r="HN16" s="94" t="e">
        <f t="shared" ca="1" si="112"/>
        <v>#N/A</v>
      </c>
      <c r="HO16" s="94" t="e">
        <f t="shared" ca="1" si="112"/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3">IFERROR(AVERAGE(E15:G15),NA())</f>
        <v>#N/A</v>
      </c>
      <c r="H17" s="94" t="e">
        <f t="shared" ca="1" si="113"/>
        <v>#N/A</v>
      </c>
      <c r="I17" s="94" t="e">
        <f t="shared" ca="1" si="113"/>
        <v>#N/A</v>
      </c>
      <c r="J17" s="94" t="e">
        <f t="shared" ca="1" si="113"/>
        <v>#N/A</v>
      </c>
      <c r="K17" s="94">
        <f t="shared" ca="1" si="113"/>
        <v>0.12507446165460911</v>
      </c>
      <c r="L17" s="94">
        <f t="shared" ca="1" si="113"/>
        <v>0.15325701302526684</v>
      </c>
      <c r="M17" s="94">
        <f t="shared" ca="1" si="113"/>
        <v>0.16010574814576772</v>
      </c>
      <c r="N17" s="94">
        <f t="shared" ca="1" si="113"/>
        <v>0.16960651752011438</v>
      </c>
      <c r="O17" s="94">
        <f t="shared" ca="1" si="113"/>
        <v>0.18042456243718838</v>
      </c>
      <c r="P17" s="94">
        <f t="shared" ca="1" si="113"/>
        <v>0.19307471951665112</v>
      </c>
      <c r="Q17" s="94">
        <f t="shared" ca="1" si="113"/>
        <v>0.1897971860505451</v>
      </c>
      <c r="R17" s="94">
        <f t="shared" ca="1" si="113"/>
        <v>0.186068423623174</v>
      </c>
      <c r="S17" s="94">
        <f t="shared" ca="1" si="113"/>
        <v>0.18254515571959073</v>
      </c>
      <c r="T17" s="94">
        <f t="shared" ca="1" si="113"/>
        <v>0.18675845359456492</v>
      </c>
      <c r="U17" s="94">
        <f t="shared" ca="1" si="113"/>
        <v>0.19443539258681897</v>
      </c>
      <c r="V17" s="94">
        <f t="shared" ca="1" si="113"/>
        <v>0.20312402907844093</v>
      </c>
      <c r="W17" s="94">
        <f t="shared" ca="1" si="113"/>
        <v>0.24041787392395686</v>
      </c>
      <c r="X17" s="94">
        <f t="shared" ca="1" si="113"/>
        <v>0.27083994580889242</v>
      </c>
      <c r="Y17" s="94">
        <f t="shared" ca="1" si="113"/>
        <v>0.30107075140926182</v>
      </c>
      <c r="Z17" s="94">
        <f t="shared" ca="1" si="113"/>
        <v>0.30469121678872207</v>
      </c>
      <c r="AA17" s="94">
        <f t="shared" ca="1" si="113"/>
        <v>0.32233001716656068</v>
      </c>
      <c r="AB17" s="94">
        <f t="shared" ca="1" si="113"/>
        <v>0.32036091681841672</v>
      </c>
      <c r="AC17" s="94">
        <f t="shared" ca="1" si="113"/>
        <v>0.32035061468773551</v>
      </c>
      <c r="AD17" s="94">
        <f ca="1">IFERROR(AVERAGE(AB15:AD15),NA())</f>
        <v>0.30417101773099758</v>
      </c>
      <c r="AE17" s="94" t="e">
        <f t="shared" ref="AE17:BS17" ca="1" si="114">IFERROR(AVERAGE(AA15:AE15),NA())</f>
        <v>#N/A</v>
      </c>
      <c r="AF17" s="94" t="e">
        <f t="shared" ca="1" si="114"/>
        <v>#N/A</v>
      </c>
      <c r="AG17" s="94" t="e">
        <f t="shared" ca="1" si="114"/>
        <v>#N/A</v>
      </c>
      <c r="AH17" s="94" t="e">
        <f t="shared" ca="1" si="114"/>
        <v>#N/A</v>
      </c>
      <c r="AI17" s="94" t="e">
        <f t="shared" ca="1" si="114"/>
        <v>#N/A</v>
      </c>
      <c r="AJ17" s="94" t="e">
        <f t="shared" ca="1" si="114"/>
        <v>#N/A</v>
      </c>
      <c r="AK17" s="94" t="e">
        <f t="shared" ca="1" si="114"/>
        <v>#N/A</v>
      </c>
      <c r="AL17" s="94" t="e">
        <f t="shared" ca="1" si="114"/>
        <v>#N/A</v>
      </c>
      <c r="AM17" s="94" t="e">
        <f t="shared" ca="1" si="114"/>
        <v>#N/A</v>
      </c>
      <c r="AN17" s="94" t="e">
        <f t="shared" ca="1" si="114"/>
        <v>#N/A</v>
      </c>
      <c r="AO17" s="94" t="e">
        <f t="shared" ca="1" si="114"/>
        <v>#N/A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ref="BT17:EE17" ca="1" si="115">IFERROR(AVERAGE(BP15:BT15),NA())</f>
        <v>#N/A</v>
      </c>
      <c r="BU17" s="94" t="e">
        <f t="shared" ca="1" si="115"/>
        <v>#N/A</v>
      </c>
      <c r="BV17" s="94" t="e">
        <f t="shared" ca="1" si="115"/>
        <v>#N/A</v>
      </c>
      <c r="BW17" s="94" t="e">
        <f t="shared" ca="1" si="115"/>
        <v>#N/A</v>
      </c>
      <c r="BX17" s="94" t="e">
        <f t="shared" ca="1" si="115"/>
        <v>#N/A</v>
      </c>
      <c r="BY17" s="94" t="e">
        <f t="shared" ca="1" si="115"/>
        <v>#N/A</v>
      </c>
      <c r="BZ17" s="94" t="e">
        <f t="shared" ca="1" si="115"/>
        <v>#N/A</v>
      </c>
      <c r="CA17" s="94" t="e">
        <f t="shared" ca="1" si="115"/>
        <v>#N/A</v>
      </c>
      <c r="CB17" s="94" t="e">
        <f t="shared" ca="1" si="115"/>
        <v>#N/A</v>
      </c>
      <c r="CC17" s="94" t="e">
        <f t="shared" ca="1" si="115"/>
        <v>#N/A</v>
      </c>
      <c r="CD17" s="94" t="e">
        <f t="shared" ca="1" si="115"/>
        <v>#N/A</v>
      </c>
      <c r="CE17" s="94" t="e">
        <f t="shared" ca="1" si="115"/>
        <v>#N/A</v>
      </c>
      <c r="CF17" s="94" t="e">
        <f t="shared" ca="1" si="115"/>
        <v>#N/A</v>
      </c>
      <c r="CG17" s="94" t="e">
        <f t="shared" ca="1" si="115"/>
        <v>#N/A</v>
      </c>
      <c r="CH17" s="94" t="e">
        <f t="shared" ca="1" si="115"/>
        <v>#N/A</v>
      </c>
      <c r="CI17" s="94" t="e">
        <f t="shared" ca="1" si="115"/>
        <v>#N/A</v>
      </c>
      <c r="CJ17" s="94" t="e">
        <f t="shared" ca="1" si="115"/>
        <v>#N/A</v>
      </c>
      <c r="CK17" s="94" t="e">
        <f t="shared" ca="1" si="115"/>
        <v>#N/A</v>
      </c>
      <c r="CL17" s="94" t="e">
        <f t="shared" ca="1" si="115"/>
        <v>#N/A</v>
      </c>
      <c r="CM17" s="94" t="e">
        <f t="shared" ca="1" si="115"/>
        <v>#N/A</v>
      </c>
      <c r="CN17" s="94" t="e">
        <f t="shared" ca="1" si="115"/>
        <v>#N/A</v>
      </c>
      <c r="CO17" s="94" t="e">
        <f t="shared" ca="1" si="115"/>
        <v>#N/A</v>
      </c>
      <c r="CP17" s="94" t="e">
        <f t="shared" ca="1" si="115"/>
        <v>#N/A</v>
      </c>
      <c r="CQ17" s="94" t="e">
        <f t="shared" ca="1" si="115"/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ref="EF17:GQ17" ca="1" si="116">IFERROR(AVERAGE(EB15:EF15),NA())</f>
        <v>#N/A</v>
      </c>
      <c r="EG17" s="94" t="e">
        <f t="shared" ca="1" si="116"/>
        <v>#N/A</v>
      </c>
      <c r="EH17" s="94" t="e">
        <f t="shared" ca="1" si="116"/>
        <v>#N/A</v>
      </c>
      <c r="EI17" s="94" t="e">
        <f t="shared" ca="1" si="116"/>
        <v>#N/A</v>
      </c>
      <c r="EJ17" s="94" t="e">
        <f t="shared" ca="1" si="116"/>
        <v>#N/A</v>
      </c>
      <c r="EK17" s="94" t="e">
        <f t="shared" ca="1" si="116"/>
        <v>#N/A</v>
      </c>
      <c r="EL17" s="94" t="e">
        <f t="shared" ca="1" si="116"/>
        <v>#N/A</v>
      </c>
      <c r="EM17" s="94" t="e">
        <f t="shared" ca="1" si="116"/>
        <v>#N/A</v>
      </c>
      <c r="EN17" s="94" t="e">
        <f t="shared" ca="1" si="116"/>
        <v>#N/A</v>
      </c>
      <c r="EO17" s="94" t="e">
        <f t="shared" ca="1" si="116"/>
        <v>#N/A</v>
      </c>
      <c r="EP17" s="94" t="e">
        <f t="shared" ca="1" si="116"/>
        <v>#N/A</v>
      </c>
      <c r="EQ17" s="94" t="e">
        <f t="shared" ca="1" si="116"/>
        <v>#N/A</v>
      </c>
      <c r="ER17" s="94" t="e">
        <f t="shared" ca="1" si="116"/>
        <v>#N/A</v>
      </c>
      <c r="ES17" s="94" t="e">
        <f t="shared" ca="1" si="116"/>
        <v>#N/A</v>
      </c>
      <c r="ET17" s="94" t="e">
        <f t="shared" ca="1" si="116"/>
        <v>#N/A</v>
      </c>
      <c r="EU17" s="94" t="e">
        <f t="shared" ca="1" si="116"/>
        <v>#N/A</v>
      </c>
      <c r="EV17" s="94" t="e">
        <f t="shared" ca="1" si="116"/>
        <v>#N/A</v>
      </c>
      <c r="EW17" s="94" t="e">
        <f t="shared" ca="1" si="116"/>
        <v>#N/A</v>
      </c>
      <c r="EX17" s="94" t="e">
        <f t="shared" ca="1" si="116"/>
        <v>#N/A</v>
      </c>
      <c r="EY17" s="94" t="e">
        <f t="shared" ca="1" si="116"/>
        <v>#N/A</v>
      </c>
      <c r="EZ17" s="94" t="e">
        <f t="shared" ca="1" si="116"/>
        <v>#N/A</v>
      </c>
      <c r="FA17" s="94" t="e">
        <f t="shared" ca="1" si="116"/>
        <v>#N/A</v>
      </c>
      <c r="FB17" s="94" t="e">
        <f t="shared" ca="1" si="116"/>
        <v>#N/A</v>
      </c>
      <c r="FC17" s="94" t="e">
        <f t="shared" ca="1" si="116"/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ref="GR17:IN17" ca="1" si="117">IFERROR(AVERAGE(GN15:GR15),NA())</f>
        <v>#N/A</v>
      </c>
      <c r="GS17" s="94" t="e">
        <f t="shared" ca="1" si="117"/>
        <v>#N/A</v>
      </c>
      <c r="GT17" s="94" t="e">
        <f t="shared" ca="1" si="117"/>
        <v>#N/A</v>
      </c>
      <c r="GU17" s="94" t="e">
        <f t="shared" ca="1" si="117"/>
        <v>#N/A</v>
      </c>
      <c r="GV17" s="94" t="e">
        <f t="shared" ca="1" si="117"/>
        <v>#N/A</v>
      </c>
      <c r="GW17" s="94" t="e">
        <f t="shared" ca="1" si="117"/>
        <v>#N/A</v>
      </c>
      <c r="GX17" s="94" t="e">
        <f t="shared" ca="1" si="117"/>
        <v>#N/A</v>
      </c>
      <c r="GY17" s="94" t="e">
        <f t="shared" ca="1" si="117"/>
        <v>#N/A</v>
      </c>
      <c r="GZ17" s="94" t="e">
        <f t="shared" ca="1" si="117"/>
        <v>#N/A</v>
      </c>
      <c r="HA17" s="94" t="e">
        <f t="shared" ca="1" si="117"/>
        <v>#N/A</v>
      </c>
      <c r="HB17" s="94" t="e">
        <f t="shared" ca="1" si="117"/>
        <v>#N/A</v>
      </c>
      <c r="HC17" s="94" t="e">
        <f t="shared" ca="1" si="117"/>
        <v>#N/A</v>
      </c>
      <c r="HD17" s="94" t="e">
        <f t="shared" ca="1" si="117"/>
        <v>#N/A</v>
      </c>
      <c r="HE17" s="94" t="e">
        <f t="shared" ca="1" si="117"/>
        <v>#N/A</v>
      </c>
      <c r="HF17" s="94" t="e">
        <f t="shared" ca="1" si="117"/>
        <v>#N/A</v>
      </c>
      <c r="HG17" s="94" t="e">
        <f t="shared" ca="1" si="117"/>
        <v>#N/A</v>
      </c>
      <c r="HH17" s="94" t="e">
        <f t="shared" ca="1" si="117"/>
        <v>#N/A</v>
      </c>
      <c r="HI17" s="94" t="e">
        <f t="shared" ca="1" si="117"/>
        <v>#N/A</v>
      </c>
      <c r="HJ17" s="94" t="e">
        <f t="shared" ca="1" si="117"/>
        <v>#N/A</v>
      </c>
      <c r="HK17" s="94" t="e">
        <f t="shared" ca="1" si="117"/>
        <v>#N/A</v>
      </c>
      <c r="HL17" s="94" t="e">
        <f t="shared" ca="1" si="117"/>
        <v>#N/A</v>
      </c>
      <c r="HM17" s="94" t="e">
        <f t="shared" ca="1" si="117"/>
        <v>#N/A</v>
      </c>
      <c r="HN17" s="94" t="e">
        <f t="shared" ca="1" si="117"/>
        <v>#N/A</v>
      </c>
      <c r="HO17" s="94" t="e">
        <f t="shared" ca="1" si="117"/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331002651</v>
      </c>
      <c r="F19" s="19" t="s">
        <v>465</v>
      </c>
      <c r="G19" s="40">
        <f>$C$16</f>
        <v>96983.776743000009</v>
      </c>
      <c r="H19" s="40">
        <f t="shared" ref="H19:BS19" si="118">$C$16</f>
        <v>96983.776743000009</v>
      </c>
      <c r="I19" s="40">
        <f t="shared" si="118"/>
        <v>96983.776743000009</v>
      </c>
      <c r="J19" s="40">
        <f t="shared" si="118"/>
        <v>96983.776743000009</v>
      </c>
      <c r="K19" s="40">
        <f t="shared" si="118"/>
        <v>96983.776743000009</v>
      </c>
      <c r="L19" s="40">
        <f t="shared" si="118"/>
        <v>96983.776743000009</v>
      </c>
      <c r="M19" s="40">
        <f t="shared" si="118"/>
        <v>96983.776743000009</v>
      </c>
      <c r="N19" s="40">
        <f t="shared" si="118"/>
        <v>96983.776743000009</v>
      </c>
      <c r="O19" s="40">
        <f t="shared" si="118"/>
        <v>96983.776743000009</v>
      </c>
      <c r="P19" s="40">
        <f t="shared" si="118"/>
        <v>96983.776743000009</v>
      </c>
      <c r="Q19" s="40">
        <f t="shared" si="118"/>
        <v>96983.776743000009</v>
      </c>
      <c r="R19" s="40">
        <f t="shared" si="118"/>
        <v>96983.776743000009</v>
      </c>
      <c r="S19" s="40">
        <f t="shared" si="118"/>
        <v>96983.776743000009</v>
      </c>
      <c r="T19" s="40">
        <f t="shared" si="118"/>
        <v>96983.776743000009</v>
      </c>
      <c r="U19" s="40">
        <f t="shared" si="118"/>
        <v>96983.776743000009</v>
      </c>
      <c r="V19" s="40">
        <f t="shared" si="118"/>
        <v>96983.776743000009</v>
      </c>
      <c r="W19" s="40">
        <f t="shared" si="118"/>
        <v>96983.776743000009</v>
      </c>
      <c r="X19" s="40">
        <f t="shared" si="118"/>
        <v>96983.776743000009</v>
      </c>
      <c r="Y19" s="40">
        <f t="shared" si="118"/>
        <v>96983.776743000009</v>
      </c>
      <c r="Z19" s="40">
        <f t="shared" si="118"/>
        <v>96983.776743000009</v>
      </c>
      <c r="AA19" s="40">
        <f t="shared" si="118"/>
        <v>96983.776743000009</v>
      </c>
      <c r="AB19" s="40">
        <f t="shared" si="118"/>
        <v>96983.776743000009</v>
      </c>
      <c r="AC19" s="40">
        <f t="shared" si="118"/>
        <v>96983.776743000009</v>
      </c>
      <c r="AD19" s="40">
        <f t="shared" si="118"/>
        <v>96983.776743000009</v>
      </c>
      <c r="AE19" s="40">
        <f t="shared" si="118"/>
        <v>96983.776743000009</v>
      </c>
      <c r="AF19" s="40">
        <f t="shared" si="118"/>
        <v>96983.776743000009</v>
      </c>
      <c r="AG19" s="40">
        <f t="shared" si="118"/>
        <v>96983.776743000009</v>
      </c>
      <c r="AH19" s="40">
        <f t="shared" si="118"/>
        <v>96983.776743000009</v>
      </c>
      <c r="AI19" s="40">
        <f t="shared" si="118"/>
        <v>96983.776743000009</v>
      </c>
      <c r="AJ19" s="40">
        <f t="shared" si="118"/>
        <v>96983.776743000009</v>
      </c>
      <c r="AK19" s="40">
        <f t="shared" si="118"/>
        <v>96983.776743000009</v>
      </c>
      <c r="AL19" s="40">
        <f t="shared" si="118"/>
        <v>96983.776743000009</v>
      </c>
      <c r="AM19" s="40">
        <f t="shared" si="118"/>
        <v>96983.776743000009</v>
      </c>
      <c r="AN19" s="40">
        <f t="shared" si="118"/>
        <v>96983.776743000009</v>
      </c>
      <c r="AO19" s="40">
        <f t="shared" si="118"/>
        <v>96983.776743000009</v>
      </c>
      <c r="AP19" s="40">
        <f t="shared" si="118"/>
        <v>96983.776743000009</v>
      </c>
      <c r="AQ19" s="40">
        <f t="shared" si="118"/>
        <v>96983.776743000009</v>
      </c>
      <c r="AR19" s="40">
        <f t="shared" si="118"/>
        <v>96983.776743000009</v>
      </c>
      <c r="AS19" s="40">
        <f t="shared" si="118"/>
        <v>96983.776743000009</v>
      </c>
      <c r="AT19" s="40">
        <f t="shared" si="118"/>
        <v>96983.776743000009</v>
      </c>
      <c r="AU19" s="40">
        <f t="shared" si="118"/>
        <v>96983.776743000009</v>
      </c>
      <c r="AV19" s="40">
        <f t="shared" si="118"/>
        <v>96983.776743000009</v>
      </c>
      <c r="AW19" s="40">
        <f t="shared" si="118"/>
        <v>96983.776743000009</v>
      </c>
      <c r="AX19" s="40">
        <f t="shared" si="118"/>
        <v>96983.776743000009</v>
      </c>
      <c r="AY19" s="40">
        <f t="shared" si="118"/>
        <v>96983.776743000009</v>
      </c>
      <c r="AZ19" s="40">
        <f t="shared" si="118"/>
        <v>96983.776743000009</v>
      </c>
      <c r="BA19" s="40">
        <f t="shared" si="118"/>
        <v>96983.776743000009</v>
      </c>
      <c r="BB19" s="40">
        <f t="shared" si="118"/>
        <v>96983.776743000009</v>
      </c>
      <c r="BC19" s="40">
        <f t="shared" si="118"/>
        <v>96983.776743000009</v>
      </c>
      <c r="BD19" s="40">
        <f t="shared" si="118"/>
        <v>96983.776743000009</v>
      </c>
      <c r="BE19" s="40">
        <f t="shared" si="118"/>
        <v>96983.776743000009</v>
      </c>
      <c r="BF19" s="40">
        <f t="shared" si="118"/>
        <v>96983.776743000009</v>
      </c>
      <c r="BG19" s="40">
        <f t="shared" si="118"/>
        <v>96983.776743000009</v>
      </c>
      <c r="BH19" s="40">
        <f t="shared" si="118"/>
        <v>96983.776743000009</v>
      </c>
      <c r="BI19" s="40">
        <f t="shared" si="118"/>
        <v>96983.776743000009</v>
      </c>
      <c r="BJ19" s="40">
        <f t="shared" si="118"/>
        <v>96983.776743000009</v>
      </c>
      <c r="BK19" s="40">
        <f t="shared" si="118"/>
        <v>96983.776743000009</v>
      </c>
      <c r="BL19" s="40">
        <f t="shared" si="118"/>
        <v>96983.776743000009</v>
      </c>
      <c r="BM19" s="40">
        <f t="shared" si="118"/>
        <v>96983.776743000009</v>
      </c>
      <c r="BN19" s="40">
        <f t="shared" si="118"/>
        <v>96983.776743000009</v>
      </c>
      <c r="BO19" s="40">
        <f t="shared" si="118"/>
        <v>96983.776743000009</v>
      </c>
      <c r="BP19" s="40">
        <f t="shared" si="118"/>
        <v>96983.776743000009</v>
      </c>
      <c r="BQ19" s="40">
        <f t="shared" si="118"/>
        <v>96983.776743000009</v>
      </c>
      <c r="BR19" s="40">
        <f t="shared" si="118"/>
        <v>96983.776743000009</v>
      </c>
      <c r="BS19" s="40">
        <f t="shared" si="118"/>
        <v>96983.776743000009</v>
      </c>
      <c r="BT19" s="40">
        <f t="shared" ref="BT19:EE19" si="119">$C$16</f>
        <v>96983.776743000009</v>
      </c>
      <c r="BU19" s="40">
        <f t="shared" si="119"/>
        <v>96983.776743000009</v>
      </c>
      <c r="BV19" s="40">
        <f t="shared" si="119"/>
        <v>96983.776743000009</v>
      </c>
      <c r="BW19" s="40">
        <f t="shared" si="119"/>
        <v>96983.776743000009</v>
      </c>
      <c r="BX19" s="40">
        <f t="shared" si="119"/>
        <v>96983.776743000009</v>
      </c>
      <c r="BY19" s="40">
        <f t="shared" si="119"/>
        <v>96983.776743000009</v>
      </c>
      <c r="BZ19" s="40">
        <f t="shared" si="119"/>
        <v>96983.776743000009</v>
      </c>
      <c r="CA19" s="40">
        <f t="shared" si="119"/>
        <v>96983.776743000009</v>
      </c>
      <c r="CB19" s="40">
        <f t="shared" si="119"/>
        <v>96983.776743000009</v>
      </c>
      <c r="CC19" s="40">
        <f t="shared" si="119"/>
        <v>96983.776743000009</v>
      </c>
      <c r="CD19" s="40">
        <f t="shared" si="119"/>
        <v>96983.776743000009</v>
      </c>
      <c r="CE19" s="40">
        <f t="shared" si="119"/>
        <v>96983.776743000009</v>
      </c>
      <c r="CF19" s="40">
        <f t="shared" si="119"/>
        <v>96983.776743000009</v>
      </c>
      <c r="CG19" s="40">
        <f t="shared" si="119"/>
        <v>96983.776743000009</v>
      </c>
      <c r="CH19" s="40">
        <f t="shared" si="119"/>
        <v>96983.776743000009</v>
      </c>
      <c r="CI19" s="40">
        <f t="shared" si="119"/>
        <v>96983.776743000009</v>
      </c>
      <c r="CJ19" s="40">
        <f t="shared" si="119"/>
        <v>96983.776743000009</v>
      </c>
      <c r="CK19" s="40">
        <f t="shared" si="119"/>
        <v>96983.776743000009</v>
      </c>
      <c r="CL19" s="40">
        <f t="shared" si="119"/>
        <v>96983.776743000009</v>
      </c>
      <c r="CM19" s="40">
        <f t="shared" si="119"/>
        <v>96983.776743000009</v>
      </c>
      <c r="CN19" s="40">
        <f t="shared" si="119"/>
        <v>96983.776743000009</v>
      </c>
      <c r="CO19" s="40">
        <f t="shared" si="119"/>
        <v>96983.776743000009</v>
      </c>
      <c r="CP19" s="40">
        <f t="shared" si="119"/>
        <v>96983.776743000009</v>
      </c>
      <c r="CQ19" s="40">
        <f t="shared" si="119"/>
        <v>96983.776743000009</v>
      </c>
      <c r="CR19" s="40">
        <f t="shared" si="119"/>
        <v>96983.776743000009</v>
      </c>
      <c r="CS19" s="40">
        <f t="shared" si="119"/>
        <v>96983.776743000009</v>
      </c>
      <c r="CT19" s="40">
        <f t="shared" si="119"/>
        <v>96983.776743000009</v>
      </c>
      <c r="CU19" s="40">
        <f t="shared" si="119"/>
        <v>96983.776743000009</v>
      </c>
      <c r="CV19" s="40">
        <f t="shared" si="119"/>
        <v>96983.776743000009</v>
      </c>
      <c r="CW19" s="40">
        <f t="shared" si="119"/>
        <v>96983.776743000009</v>
      </c>
      <c r="CX19" s="40">
        <f t="shared" si="119"/>
        <v>96983.776743000009</v>
      </c>
      <c r="CY19" s="40">
        <f t="shared" si="119"/>
        <v>96983.776743000009</v>
      </c>
      <c r="CZ19" s="40">
        <f t="shared" si="119"/>
        <v>96983.776743000009</v>
      </c>
      <c r="DA19" s="40">
        <f t="shared" si="119"/>
        <v>96983.776743000009</v>
      </c>
      <c r="DB19" s="40">
        <f t="shared" si="119"/>
        <v>96983.776743000009</v>
      </c>
      <c r="DC19" s="40">
        <f t="shared" si="119"/>
        <v>96983.776743000009</v>
      </c>
      <c r="DD19" s="40">
        <f t="shared" si="119"/>
        <v>96983.776743000009</v>
      </c>
      <c r="DE19" s="40">
        <f t="shared" si="119"/>
        <v>96983.776743000009</v>
      </c>
      <c r="DF19" s="40">
        <f t="shared" si="119"/>
        <v>96983.776743000009</v>
      </c>
      <c r="DG19" s="40">
        <f t="shared" si="119"/>
        <v>96983.776743000009</v>
      </c>
      <c r="DH19" s="40">
        <f t="shared" si="119"/>
        <v>96983.776743000009</v>
      </c>
      <c r="DI19" s="40">
        <f t="shared" si="119"/>
        <v>96983.776743000009</v>
      </c>
      <c r="DJ19" s="40">
        <f t="shared" si="119"/>
        <v>96983.776743000009</v>
      </c>
      <c r="DK19" s="40">
        <f t="shared" si="119"/>
        <v>96983.776743000009</v>
      </c>
      <c r="DL19" s="40">
        <f t="shared" si="119"/>
        <v>96983.776743000009</v>
      </c>
      <c r="DM19" s="40">
        <f t="shared" si="119"/>
        <v>96983.776743000009</v>
      </c>
      <c r="DN19" s="40">
        <f t="shared" si="119"/>
        <v>96983.776743000009</v>
      </c>
      <c r="DO19" s="40">
        <f t="shared" si="119"/>
        <v>96983.776743000009</v>
      </c>
      <c r="DP19" s="40">
        <f t="shared" si="119"/>
        <v>96983.776743000009</v>
      </c>
      <c r="DQ19" s="40">
        <f t="shared" si="119"/>
        <v>96983.776743000009</v>
      </c>
      <c r="DR19" s="40">
        <f t="shared" si="119"/>
        <v>96983.776743000009</v>
      </c>
      <c r="DS19" s="40">
        <f t="shared" si="119"/>
        <v>96983.776743000009</v>
      </c>
      <c r="DT19" s="40">
        <f t="shared" si="119"/>
        <v>96983.776743000009</v>
      </c>
      <c r="DU19" s="40">
        <f t="shared" si="119"/>
        <v>96983.776743000009</v>
      </c>
      <c r="DV19" s="40">
        <f t="shared" si="119"/>
        <v>96983.776743000009</v>
      </c>
      <c r="DW19" s="40">
        <f t="shared" si="119"/>
        <v>96983.776743000009</v>
      </c>
      <c r="DX19" s="40">
        <f t="shared" si="119"/>
        <v>96983.776743000009</v>
      </c>
      <c r="DY19" s="40">
        <f t="shared" si="119"/>
        <v>96983.776743000009</v>
      </c>
      <c r="DZ19" s="40">
        <f t="shared" si="119"/>
        <v>96983.776743000009</v>
      </c>
      <c r="EA19" s="40">
        <f t="shared" si="119"/>
        <v>96983.776743000009</v>
      </c>
      <c r="EB19" s="40">
        <f t="shared" si="119"/>
        <v>96983.776743000009</v>
      </c>
      <c r="EC19" s="40">
        <f t="shared" si="119"/>
        <v>96983.776743000009</v>
      </c>
      <c r="ED19" s="40">
        <f t="shared" si="119"/>
        <v>96983.776743000009</v>
      </c>
      <c r="EE19" s="40">
        <f t="shared" si="119"/>
        <v>96983.776743000009</v>
      </c>
      <c r="EF19" s="40">
        <f t="shared" ref="EF19:GQ19" si="120">$C$16</f>
        <v>96983.776743000009</v>
      </c>
      <c r="EG19" s="40">
        <f t="shared" si="120"/>
        <v>96983.776743000009</v>
      </c>
      <c r="EH19" s="40">
        <f t="shared" si="120"/>
        <v>96983.776743000009</v>
      </c>
      <c r="EI19" s="40">
        <f t="shared" si="120"/>
        <v>96983.776743000009</v>
      </c>
      <c r="EJ19" s="40">
        <f t="shared" si="120"/>
        <v>96983.776743000009</v>
      </c>
      <c r="EK19" s="40">
        <f t="shared" si="120"/>
        <v>96983.776743000009</v>
      </c>
      <c r="EL19" s="40">
        <f t="shared" si="120"/>
        <v>96983.776743000009</v>
      </c>
      <c r="EM19" s="40">
        <f t="shared" si="120"/>
        <v>96983.776743000009</v>
      </c>
      <c r="EN19" s="40">
        <f t="shared" si="120"/>
        <v>96983.776743000009</v>
      </c>
      <c r="EO19" s="40">
        <f t="shared" si="120"/>
        <v>96983.776743000009</v>
      </c>
      <c r="EP19" s="40">
        <f t="shared" si="120"/>
        <v>96983.776743000009</v>
      </c>
      <c r="EQ19" s="40">
        <f t="shared" si="120"/>
        <v>96983.776743000009</v>
      </c>
      <c r="ER19" s="40">
        <f t="shared" si="120"/>
        <v>96983.776743000009</v>
      </c>
      <c r="ES19" s="40">
        <f t="shared" si="120"/>
        <v>96983.776743000009</v>
      </c>
      <c r="ET19" s="40">
        <f t="shared" si="120"/>
        <v>96983.776743000009</v>
      </c>
      <c r="EU19" s="40">
        <f t="shared" si="120"/>
        <v>96983.776743000009</v>
      </c>
      <c r="EV19" s="40">
        <f t="shared" si="120"/>
        <v>96983.776743000009</v>
      </c>
      <c r="EW19" s="40">
        <f t="shared" si="120"/>
        <v>96983.776743000009</v>
      </c>
      <c r="EX19" s="40">
        <f t="shared" si="120"/>
        <v>96983.776743000009</v>
      </c>
      <c r="EY19" s="40">
        <f t="shared" si="120"/>
        <v>96983.776743000009</v>
      </c>
      <c r="EZ19" s="40">
        <f t="shared" si="120"/>
        <v>96983.776743000009</v>
      </c>
      <c r="FA19" s="40">
        <f t="shared" si="120"/>
        <v>96983.776743000009</v>
      </c>
      <c r="FB19" s="40">
        <f t="shared" si="120"/>
        <v>96983.776743000009</v>
      </c>
      <c r="FC19" s="40">
        <f t="shared" si="120"/>
        <v>96983.776743000009</v>
      </c>
      <c r="FD19" s="40">
        <f t="shared" si="120"/>
        <v>96983.776743000009</v>
      </c>
      <c r="FE19" s="40">
        <f t="shared" si="120"/>
        <v>96983.776743000009</v>
      </c>
      <c r="FF19" s="40">
        <f t="shared" si="120"/>
        <v>96983.776743000009</v>
      </c>
      <c r="FG19" s="40">
        <f t="shared" si="120"/>
        <v>96983.776743000009</v>
      </c>
      <c r="FH19" s="40">
        <f t="shared" si="120"/>
        <v>96983.776743000009</v>
      </c>
      <c r="FI19" s="40">
        <f t="shared" si="120"/>
        <v>96983.776743000009</v>
      </c>
      <c r="FJ19" s="40">
        <f t="shared" si="120"/>
        <v>96983.776743000009</v>
      </c>
      <c r="FK19" s="40">
        <f t="shared" si="120"/>
        <v>96983.776743000009</v>
      </c>
      <c r="FL19" s="40">
        <f t="shared" si="120"/>
        <v>96983.776743000009</v>
      </c>
      <c r="FM19" s="40">
        <f t="shared" si="120"/>
        <v>96983.776743000009</v>
      </c>
      <c r="FN19" s="40">
        <f t="shared" si="120"/>
        <v>96983.776743000009</v>
      </c>
      <c r="FO19" s="40">
        <f t="shared" si="120"/>
        <v>96983.776743000009</v>
      </c>
      <c r="FP19" s="40">
        <f t="shared" si="120"/>
        <v>96983.776743000009</v>
      </c>
      <c r="FQ19" s="40">
        <f t="shared" si="120"/>
        <v>96983.776743000009</v>
      </c>
      <c r="FR19" s="40">
        <f t="shared" si="120"/>
        <v>96983.776743000009</v>
      </c>
      <c r="FS19" s="40">
        <f t="shared" si="120"/>
        <v>96983.776743000009</v>
      </c>
      <c r="FT19" s="40">
        <f t="shared" si="120"/>
        <v>96983.776743000009</v>
      </c>
      <c r="FU19" s="40">
        <f t="shared" si="120"/>
        <v>96983.776743000009</v>
      </c>
      <c r="FV19" s="40">
        <f t="shared" si="120"/>
        <v>96983.776743000009</v>
      </c>
      <c r="FW19" s="40">
        <f t="shared" si="120"/>
        <v>96983.776743000009</v>
      </c>
      <c r="FX19" s="40">
        <f t="shared" si="120"/>
        <v>96983.776743000009</v>
      </c>
      <c r="FY19" s="40">
        <f t="shared" si="120"/>
        <v>96983.776743000009</v>
      </c>
      <c r="FZ19" s="40">
        <f t="shared" si="120"/>
        <v>96983.776743000009</v>
      </c>
      <c r="GA19" s="40">
        <f t="shared" si="120"/>
        <v>96983.776743000009</v>
      </c>
      <c r="GB19" s="40">
        <f t="shared" si="120"/>
        <v>96983.776743000009</v>
      </c>
      <c r="GC19" s="40">
        <f t="shared" si="120"/>
        <v>96983.776743000009</v>
      </c>
      <c r="GD19" s="40">
        <f t="shared" si="120"/>
        <v>96983.776743000009</v>
      </c>
      <c r="GE19" s="40">
        <f t="shared" si="120"/>
        <v>96983.776743000009</v>
      </c>
      <c r="GF19" s="40">
        <f t="shared" si="120"/>
        <v>96983.776743000009</v>
      </c>
      <c r="GG19" s="40">
        <f t="shared" si="120"/>
        <v>96983.776743000009</v>
      </c>
      <c r="GH19" s="40">
        <f t="shared" si="120"/>
        <v>96983.776743000009</v>
      </c>
      <c r="GI19" s="40">
        <f t="shared" si="120"/>
        <v>96983.776743000009</v>
      </c>
      <c r="GJ19" s="40">
        <f t="shared" si="120"/>
        <v>96983.776743000009</v>
      </c>
      <c r="GK19" s="40">
        <f t="shared" si="120"/>
        <v>96983.776743000009</v>
      </c>
      <c r="GL19" s="40">
        <f t="shared" si="120"/>
        <v>96983.776743000009</v>
      </c>
      <c r="GM19" s="40">
        <f t="shared" si="120"/>
        <v>96983.776743000009</v>
      </c>
      <c r="GN19" s="40">
        <f t="shared" si="120"/>
        <v>96983.776743000009</v>
      </c>
      <c r="GO19" s="40">
        <f t="shared" si="120"/>
        <v>96983.776743000009</v>
      </c>
      <c r="GP19" s="40">
        <f t="shared" si="120"/>
        <v>96983.776743000009</v>
      </c>
      <c r="GQ19" s="40">
        <f t="shared" si="120"/>
        <v>96983.776743000009</v>
      </c>
      <c r="GR19" s="40">
        <f t="shared" ref="GR19:IN19" si="121">$C$16</f>
        <v>96983.776743000009</v>
      </c>
      <c r="GS19" s="40">
        <f t="shared" si="121"/>
        <v>96983.776743000009</v>
      </c>
      <c r="GT19" s="40">
        <f t="shared" si="121"/>
        <v>96983.776743000009</v>
      </c>
      <c r="GU19" s="40">
        <f t="shared" si="121"/>
        <v>96983.776743000009</v>
      </c>
      <c r="GV19" s="40">
        <f t="shared" si="121"/>
        <v>96983.776743000009</v>
      </c>
      <c r="GW19" s="40">
        <f t="shared" si="121"/>
        <v>96983.776743000009</v>
      </c>
      <c r="GX19" s="40">
        <f t="shared" si="121"/>
        <v>96983.776743000009</v>
      </c>
      <c r="GY19" s="40">
        <f t="shared" si="121"/>
        <v>96983.776743000009</v>
      </c>
      <c r="GZ19" s="40">
        <f t="shared" si="121"/>
        <v>96983.776743000009</v>
      </c>
      <c r="HA19" s="40">
        <f t="shared" si="121"/>
        <v>96983.776743000009</v>
      </c>
      <c r="HB19" s="40">
        <f t="shared" si="121"/>
        <v>96983.776743000009</v>
      </c>
      <c r="HC19" s="40">
        <f t="shared" si="121"/>
        <v>96983.776743000009</v>
      </c>
      <c r="HD19" s="40">
        <f t="shared" si="121"/>
        <v>96983.776743000009</v>
      </c>
      <c r="HE19" s="40">
        <f t="shared" si="121"/>
        <v>96983.776743000009</v>
      </c>
      <c r="HF19" s="40">
        <f t="shared" si="121"/>
        <v>96983.776743000009</v>
      </c>
      <c r="HG19" s="40">
        <f t="shared" si="121"/>
        <v>96983.776743000009</v>
      </c>
      <c r="HH19" s="40">
        <f t="shared" si="121"/>
        <v>96983.776743000009</v>
      </c>
      <c r="HI19" s="40">
        <f t="shared" si="121"/>
        <v>96983.776743000009</v>
      </c>
      <c r="HJ19" s="40">
        <f t="shared" si="121"/>
        <v>96983.776743000009</v>
      </c>
      <c r="HK19" s="40">
        <f t="shared" si="121"/>
        <v>96983.776743000009</v>
      </c>
      <c r="HL19" s="40">
        <f t="shared" si="121"/>
        <v>96983.776743000009</v>
      </c>
      <c r="HM19" s="40">
        <f t="shared" si="121"/>
        <v>96983.776743000009</v>
      </c>
      <c r="HN19" s="40">
        <f t="shared" si="121"/>
        <v>96983.776743000009</v>
      </c>
      <c r="HO19" s="40">
        <f t="shared" si="121"/>
        <v>96983.776743000009</v>
      </c>
      <c r="HP19" s="40">
        <f t="shared" si="121"/>
        <v>96983.776743000009</v>
      </c>
      <c r="HQ19" s="40">
        <f t="shared" si="121"/>
        <v>96983.776743000009</v>
      </c>
      <c r="HR19" s="40">
        <f t="shared" si="121"/>
        <v>96983.776743000009</v>
      </c>
      <c r="HS19" s="40">
        <f t="shared" si="121"/>
        <v>96983.776743000009</v>
      </c>
      <c r="HT19" s="40">
        <f t="shared" si="121"/>
        <v>96983.776743000009</v>
      </c>
      <c r="HU19" s="40">
        <f t="shared" si="121"/>
        <v>96983.776743000009</v>
      </c>
      <c r="HV19" s="40">
        <f t="shared" si="121"/>
        <v>96983.776743000009</v>
      </c>
      <c r="HW19" s="40">
        <f t="shared" si="121"/>
        <v>96983.776743000009</v>
      </c>
      <c r="HX19" s="40">
        <f t="shared" si="121"/>
        <v>96983.776743000009</v>
      </c>
      <c r="HY19" s="40">
        <f t="shared" si="121"/>
        <v>96983.776743000009</v>
      </c>
      <c r="HZ19" s="40">
        <f t="shared" si="121"/>
        <v>96983.776743000009</v>
      </c>
      <c r="IA19" s="40">
        <f t="shared" si="121"/>
        <v>96983.776743000009</v>
      </c>
      <c r="IB19" s="40">
        <f t="shared" si="121"/>
        <v>96983.776743000009</v>
      </c>
      <c r="IC19" s="40">
        <f t="shared" si="121"/>
        <v>96983.776743000009</v>
      </c>
      <c r="ID19" s="40">
        <f t="shared" si="121"/>
        <v>96983.776743000009</v>
      </c>
      <c r="IE19" s="40">
        <f t="shared" si="121"/>
        <v>96983.776743000009</v>
      </c>
      <c r="IF19" s="40">
        <f t="shared" si="121"/>
        <v>96983.776743000009</v>
      </c>
      <c r="IG19" s="40">
        <f t="shared" si="121"/>
        <v>96983.776743000009</v>
      </c>
      <c r="IH19" s="40">
        <f t="shared" si="121"/>
        <v>96983.776743000009</v>
      </c>
      <c r="II19" s="40">
        <f t="shared" si="121"/>
        <v>96983.776743000009</v>
      </c>
      <c r="IJ19" s="40">
        <f t="shared" si="121"/>
        <v>96983.776743000009</v>
      </c>
      <c r="IK19" s="40">
        <f t="shared" si="121"/>
        <v>96983.776743000009</v>
      </c>
      <c r="IL19" s="40">
        <f t="shared" si="121"/>
        <v>96983.776743000009</v>
      </c>
      <c r="IM19" s="40">
        <f t="shared" si="121"/>
        <v>96983.776743000009</v>
      </c>
      <c r="IN19" s="40">
        <f t="shared" si="121"/>
        <v>96983.776743000009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4.2541986736008397</v>
      </c>
      <c r="H20" s="40">
        <f t="shared" ref="H20:BS20" ca="1" si="122">H9*$C$15</f>
        <v>5.3718271386993655</v>
      </c>
      <c r="I20" s="40">
        <f t="shared" ca="1" si="122"/>
        <v>7.7873467245574695</v>
      </c>
      <c r="J20" s="40">
        <f t="shared" ca="1" si="122"/>
        <v>9.337605563242521</v>
      </c>
      <c r="K20" s="40">
        <f t="shared" ca="1" si="122"/>
        <v>14.276802328355361</v>
      </c>
      <c r="L20" s="40">
        <f t="shared" ca="1" si="122"/>
        <v>18.314685815162935</v>
      </c>
      <c r="M20" s="40">
        <f t="shared" ca="1" si="122"/>
        <v>20.622047807624408</v>
      </c>
      <c r="N20" s="40">
        <f t="shared" ca="1" si="122"/>
        <v>33.961484326542298</v>
      </c>
      <c r="O20" s="40">
        <f t="shared" ca="1" si="122"/>
        <v>45.281979102056397</v>
      </c>
      <c r="P20" s="40">
        <f t="shared" ca="1" si="122"/>
        <v>58.909835870031962</v>
      </c>
      <c r="Q20" s="40">
        <f t="shared" ca="1" si="122"/>
        <v>77.260574216327115</v>
      </c>
      <c r="R20" s="40">
        <f t="shared" ca="1" si="122"/>
        <v>88.256596211651313</v>
      </c>
      <c r="S20" s="40">
        <f t="shared" ca="1" si="122"/>
        <v>117.78361920893173</v>
      </c>
      <c r="T20" s="40">
        <f t="shared" ca="1" si="122"/>
        <v>154.12457059019991</v>
      </c>
      <c r="U20" s="40">
        <f t="shared" ca="1" si="122"/>
        <v>217.10834247817166</v>
      </c>
      <c r="V20" s="40">
        <f t="shared" ca="1" si="122"/>
        <v>257.52322987737966</v>
      </c>
      <c r="W20" s="40">
        <f t="shared" ca="1" si="122"/>
        <v>463.92397060928477</v>
      </c>
      <c r="X20" s="40">
        <f t="shared" ca="1" si="122"/>
        <v>657.27369507132971</v>
      </c>
      <c r="Y20" s="40">
        <f t="shared" ca="1" si="122"/>
        <v>860.97049596831903</v>
      </c>
      <c r="Z20" s="40">
        <f t="shared" ca="1" si="122"/>
        <v>1128.4442244381887</v>
      </c>
      <c r="AA20" s="40">
        <f t="shared" ca="1" si="122"/>
        <v>1488.5729579178396</v>
      </c>
      <c r="AB20" s="40">
        <f t="shared" ca="1" si="122"/>
        <v>1816.795201345484</v>
      </c>
      <c r="AC20" s="40">
        <f t="shared" ca="1" si="122"/>
        <v>2221.6290734290756</v>
      </c>
      <c r="AD20" s="40">
        <f t="shared" ca="1" si="122"/>
        <v>2827.5279116370057</v>
      </c>
      <c r="AE20" s="40">
        <f t="shared" ca="1" si="122"/>
        <v>3586.6634491959599</v>
      </c>
      <c r="AF20" s="40">
        <f t="shared" ca="1" si="122"/>
        <v>4549.611922433869</v>
      </c>
      <c r="AG20" s="40">
        <f t="shared" ca="1" si="122"/>
        <v>5771.0930891474072</v>
      </c>
      <c r="AH20" s="40">
        <f t="shared" ca="1" si="122"/>
        <v>7320.5178840369708</v>
      </c>
      <c r="AI20" s="40">
        <f t="shared" ca="1" si="122"/>
        <v>9285.932710266201</v>
      </c>
      <c r="AJ20" s="40">
        <f t="shared" ca="1" si="122"/>
        <v>11779.022695596535</v>
      </c>
      <c r="AK20" s="40">
        <f t="shared" ca="1" si="122"/>
        <v>14941.458224221918</v>
      </c>
      <c r="AL20" s="40">
        <f t="shared" ca="1" si="122"/>
        <v>18952.945387364558</v>
      </c>
      <c r="AM20" s="40">
        <f t="shared" ca="1" si="122"/>
        <v>24041.437821249187</v>
      </c>
      <c r="AN20" s="40">
        <f t="shared" ca="1" si="122"/>
        <v>30496.090222384239</v>
      </c>
      <c r="AO20" s="40">
        <f t="shared" ca="1" si="122"/>
        <v>38683.689626491585</v>
      </c>
      <c r="AP20" s="40">
        <f t="shared" ca="1" si="122"/>
        <v>49069.498162106996</v>
      </c>
      <c r="AQ20" s="40">
        <f t="shared" ca="1" si="122"/>
        <v>62243.691672887588</v>
      </c>
      <c r="AR20" s="40">
        <f t="shared" ca="1" si="122"/>
        <v>78954.896589126598</v>
      </c>
      <c r="AS20" s="40">
        <f t="shared" ca="1" si="122"/>
        <v>100152.7307885412</v>
      </c>
      <c r="AT20" s="40">
        <f t="shared" ca="1" si="122"/>
        <v>127041.76584006044</v>
      </c>
      <c r="AU20" s="40">
        <f t="shared" ca="1" si="122"/>
        <v>161149.97704692977</v>
      </c>
      <c r="AV20" s="40">
        <f t="shared" ca="1" si="122"/>
        <v>204415.57097781624</v>
      </c>
      <c r="AW20" s="40">
        <f t="shared" ca="1" si="122"/>
        <v>259297.12447937788</v>
      </c>
      <c r="AX20" s="40">
        <f t="shared" ca="1" si="122"/>
        <v>328913.29384379683</v>
      </c>
      <c r="AY20" s="40">
        <f t="shared" ca="1" si="122"/>
        <v>417220.03313530691</v>
      </c>
      <c r="AZ20" s="40">
        <f t="shared" ca="1" si="122"/>
        <v>529235.39214591566</v>
      </c>
      <c r="BA20" s="40">
        <f t="shared" ca="1" si="122"/>
        <v>671324.66817336704</v>
      </c>
      <c r="BB20" s="40">
        <f t="shared" ca="1" si="122"/>
        <v>851562.11543355195</v>
      </c>
      <c r="BC20" s="40">
        <f t="shared" ca="1" si="122"/>
        <v>1080189.7663239106</v>
      </c>
      <c r="BD20" s="40">
        <f t="shared" ca="1" si="122"/>
        <v>1370199.4371565622</v>
      </c>
      <c r="BE20" s="40">
        <f t="shared" ca="1" si="122"/>
        <v>1738070.9909643603</v>
      </c>
      <c r="BF20" s="40">
        <f t="shared" ca="1" si="122"/>
        <v>2204708.8093254408</v>
      </c>
      <c r="BG20" s="40">
        <f t="shared" ca="1" si="122"/>
        <v>2796629.6884227055</v>
      </c>
      <c r="BH20" s="40">
        <f t="shared" ca="1" si="122"/>
        <v>3547469.6617918713</v>
      </c>
      <c r="BI20" s="40">
        <f t="shared" ca="1" si="122"/>
        <v>4499895.3752906034</v>
      </c>
      <c r="BJ20" s="40">
        <f t="shared" ca="1" si="122"/>
        <v>4773393.3520086836</v>
      </c>
      <c r="BK20" s="40">
        <f t="shared" ca="1" si="122"/>
        <v>4773393.3520086836</v>
      </c>
      <c r="BL20" s="40">
        <f t="shared" ca="1" si="122"/>
        <v>4773393.3520086836</v>
      </c>
      <c r="BM20" s="40">
        <f t="shared" ca="1" si="122"/>
        <v>4773393.3520086836</v>
      </c>
      <c r="BN20" s="40">
        <f t="shared" ca="1" si="122"/>
        <v>4773393.3520086836</v>
      </c>
      <c r="BO20" s="40">
        <f t="shared" ca="1" si="122"/>
        <v>4773393.3520086836</v>
      </c>
      <c r="BP20" s="40">
        <f t="shared" ca="1" si="122"/>
        <v>4773393.3520086836</v>
      </c>
      <c r="BQ20" s="40">
        <f t="shared" ca="1" si="122"/>
        <v>4773393.3520086836</v>
      </c>
      <c r="BR20" s="40">
        <f t="shared" ca="1" si="122"/>
        <v>4773393.3520086836</v>
      </c>
      <c r="BS20" s="40">
        <f t="shared" ca="1" si="122"/>
        <v>4773393.3520086836</v>
      </c>
      <c r="BT20" s="40">
        <f t="shared" ref="BT20:EE20" ca="1" si="123">BT9*$C$15</f>
        <v>4773393.3520086836</v>
      </c>
      <c r="BU20" s="40">
        <f t="shared" ca="1" si="123"/>
        <v>4773393.3520086836</v>
      </c>
      <c r="BV20" s="40">
        <f t="shared" ca="1" si="123"/>
        <v>4773393.3520086836</v>
      </c>
      <c r="BW20" s="40">
        <f t="shared" ca="1" si="123"/>
        <v>4773393.3520086836</v>
      </c>
      <c r="BX20" s="40">
        <f t="shared" ca="1" si="123"/>
        <v>4773393.3520086836</v>
      </c>
      <c r="BY20" s="40">
        <f t="shared" ca="1" si="123"/>
        <v>4773393.3520086836</v>
      </c>
      <c r="BZ20" s="40">
        <f t="shared" ca="1" si="123"/>
        <v>4773393.3520086836</v>
      </c>
      <c r="CA20" s="40">
        <f t="shared" ca="1" si="123"/>
        <v>4773393.3520086836</v>
      </c>
      <c r="CB20" s="40">
        <f t="shared" ca="1" si="123"/>
        <v>4773393.3520086836</v>
      </c>
      <c r="CC20" s="40">
        <f t="shared" ca="1" si="123"/>
        <v>4773393.3520086836</v>
      </c>
      <c r="CD20" s="40">
        <f t="shared" ca="1" si="123"/>
        <v>4773393.3520086836</v>
      </c>
      <c r="CE20" s="40">
        <f t="shared" ca="1" si="123"/>
        <v>4773393.3520086836</v>
      </c>
      <c r="CF20" s="40">
        <f t="shared" ca="1" si="123"/>
        <v>4773393.3520086836</v>
      </c>
      <c r="CG20" s="40">
        <f t="shared" ca="1" si="123"/>
        <v>4773393.3520086836</v>
      </c>
      <c r="CH20" s="40">
        <f t="shared" ca="1" si="123"/>
        <v>4773393.3520086836</v>
      </c>
      <c r="CI20" s="40">
        <f t="shared" ca="1" si="123"/>
        <v>4773393.3520086836</v>
      </c>
      <c r="CJ20" s="40">
        <f t="shared" ca="1" si="123"/>
        <v>4773393.3520086836</v>
      </c>
      <c r="CK20" s="40">
        <f t="shared" ca="1" si="123"/>
        <v>4773393.3520086836</v>
      </c>
      <c r="CL20" s="40">
        <f t="shared" ca="1" si="123"/>
        <v>4773393.3520086836</v>
      </c>
      <c r="CM20" s="40">
        <f t="shared" ca="1" si="123"/>
        <v>4773393.3520086836</v>
      </c>
      <c r="CN20" s="40">
        <f t="shared" ca="1" si="123"/>
        <v>4773393.3520086836</v>
      </c>
      <c r="CO20" s="40">
        <f t="shared" ca="1" si="123"/>
        <v>4773393.3520086836</v>
      </c>
      <c r="CP20" s="40">
        <f t="shared" ca="1" si="123"/>
        <v>4773393.3520086836</v>
      </c>
      <c r="CQ20" s="40">
        <f t="shared" ca="1" si="123"/>
        <v>4773393.3520086836</v>
      </c>
      <c r="CR20" s="40">
        <f t="shared" ca="1" si="123"/>
        <v>4773393.3520086836</v>
      </c>
      <c r="CS20" s="40">
        <f t="shared" ca="1" si="123"/>
        <v>4773393.3520086836</v>
      </c>
      <c r="CT20" s="40">
        <f t="shared" ca="1" si="123"/>
        <v>4773393.3520086836</v>
      </c>
      <c r="CU20" s="40">
        <f t="shared" ca="1" si="123"/>
        <v>4773393.3520086836</v>
      </c>
      <c r="CV20" s="40">
        <f t="shared" ca="1" si="123"/>
        <v>4773393.3520086836</v>
      </c>
      <c r="CW20" s="40">
        <f t="shared" ca="1" si="123"/>
        <v>4773393.3520086836</v>
      </c>
      <c r="CX20" s="40">
        <f t="shared" ca="1" si="123"/>
        <v>4773393.3520086836</v>
      </c>
      <c r="CY20" s="40">
        <f t="shared" ca="1" si="123"/>
        <v>4773393.3520086836</v>
      </c>
      <c r="CZ20" s="40">
        <f t="shared" ca="1" si="123"/>
        <v>4773393.3520086836</v>
      </c>
      <c r="DA20" s="40">
        <f t="shared" ca="1" si="123"/>
        <v>4773393.3520086836</v>
      </c>
      <c r="DB20" s="40">
        <f t="shared" ca="1" si="123"/>
        <v>4773393.3520086836</v>
      </c>
      <c r="DC20" s="40">
        <f t="shared" ca="1" si="123"/>
        <v>4773393.3520086836</v>
      </c>
      <c r="DD20" s="40">
        <f t="shared" ca="1" si="123"/>
        <v>4773393.3520086836</v>
      </c>
      <c r="DE20" s="40">
        <f t="shared" ca="1" si="123"/>
        <v>4773393.3520086836</v>
      </c>
      <c r="DF20" s="40">
        <f t="shared" ca="1" si="123"/>
        <v>4773393.3520086836</v>
      </c>
      <c r="DG20" s="40">
        <f t="shared" ca="1" si="123"/>
        <v>4773393.3520086836</v>
      </c>
      <c r="DH20" s="40">
        <f t="shared" ca="1" si="123"/>
        <v>4773393.3520086836</v>
      </c>
      <c r="DI20" s="40">
        <f t="shared" ca="1" si="123"/>
        <v>4773393.3520086836</v>
      </c>
      <c r="DJ20" s="40">
        <f t="shared" ca="1" si="123"/>
        <v>4773393.3520086836</v>
      </c>
      <c r="DK20" s="40">
        <f t="shared" ca="1" si="123"/>
        <v>4773393.3520086836</v>
      </c>
      <c r="DL20" s="40">
        <f t="shared" ca="1" si="123"/>
        <v>4773393.3520086836</v>
      </c>
      <c r="DM20" s="40">
        <f t="shared" ca="1" si="123"/>
        <v>4773393.3520086836</v>
      </c>
      <c r="DN20" s="40">
        <f t="shared" ca="1" si="123"/>
        <v>4773393.3520086836</v>
      </c>
      <c r="DO20" s="40">
        <f t="shared" ca="1" si="123"/>
        <v>4773393.3520086836</v>
      </c>
      <c r="DP20" s="40">
        <f t="shared" ca="1" si="123"/>
        <v>4773393.3520086836</v>
      </c>
      <c r="DQ20" s="40">
        <f t="shared" ca="1" si="123"/>
        <v>4773393.3520086836</v>
      </c>
      <c r="DR20" s="40">
        <f t="shared" ca="1" si="123"/>
        <v>4773393.3520086836</v>
      </c>
      <c r="DS20" s="40">
        <f t="shared" ca="1" si="123"/>
        <v>4773393.3520086836</v>
      </c>
      <c r="DT20" s="40">
        <f t="shared" ca="1" si="123"/>
        <v>4773393.3520086836</v>
      </c>
      <c r="DU20" s="40">
        <f t="shared" ca="1" si="123"/>
        <v>4773393.3520086836</v>
      </c>
      <c r="DV20" s="40">
        <f t="shared" ca="1" si="123"/>
        <v>4773393.3520086836</v>
      </c>
      <c r="DW20" s="40">
        <f t="shared" ca="1" si="123"/>
        <v>4773393.3520086836</v>
      </c>
      <c r="DX20" s="40">
        <f t="shared" ca="1" si="123"/>
        <v>4773393.3520086836</v>
      </c>
      <c r="DY20" s="40">
        <f t="shared" ca="1" si="123"/>
        <v>4773393.3520086836</v>
      </c>
      <c r="DZ20" s="40">
        <f t="shared" ca="1" si="123"/>
        <v>4773393.3520086836</v>
      </c>
      <c r="EA20" s="40">
        <f t="shared" ca="1" si="123"/>
        <v>4773393.3520086836</v>
      </c>
      <c r="EB20" s="40">
        <f t="shared" ca="1" si="123"/>
        <v>4773393.3520086836</v>
      </c>
      <c r="EC20" s="40">
        <f t="shared" ca="1" si="123"/>
        <v>4773393.3520086836</v>
      </c>
      <c r="ED20" s="40">
        <f t="shared" ca="1" si="123"/>
        <v>4773393.3520086836</v>
      </c>
      <c r="EE20" s="40">
        <f t="shared" ca="1" si="123"/>
        <v>4773393.3520086836</v>
      </c>
      <c r="EF20" s="40">
        <f t="shared" ref="EF20:GQ20" ca="1" si="124">EF9*$C$15</f>
        <v>4773393.3520086836</v>
      </c>
      <c r="EG20" s="40">
        <f t="shared" ca="1" si="124"/>
        <v>4773393.3520086836</v>
      </c>
      <c r="EH20" s="40">
        <f t="shared" ca="1" si="124"/>
        <v>4773393.3520086836</v>
      </c>
      <c r="EI20" s="40">
        <f t="shared" ca="1" si="124"/>
        <v>4773393.3520086836</v>
      </c>
      <c r="EJ20" s="40">
        <f t="shared" ca="1" si="124"/>
        <v>4773393.3520086836</v>
      </c>
      <c r="EK20" s="40">
        <f t="shared" ca="1" si="124"/>
        <v>4773393.3520086836</v>
      </c>
      <c r="EL20" s="40">
        <f t="shared" ca="1" si="124"/>
        <v>4773393.3520086836</v>
      </c>
      <c r="EM20" s="40">
        <f t="shared" ca="1" si="124"/>
        <v>4773393.3520086836</v>
      </c>
      <c r="EN20" s="40">
        <f t="shared" ca="1" si="124"/>
        <v>4773393.3520086836</v>
      </c>
      <c r="EO20" s="40">
        <f t="shared" ca="1" si="124"/>
        <v>4773393.3520086836</v>
      </c>
      <c r="EP20" s="40">
        <f t="shared" ca="1" si="124"/>
        <v>4773393.3520086836</v>
      </c>
      <c r="EQ20" s="40">
        <f t="shared" ca="1" si="124"/>
        <v>4773393.3520086836</v>
      </c>
      <c r="ER20" s="40">
        <f t="shared" ca="1" si="124"/>
        <v>4773393.3520086836</v>
      </c>
      <c r="ES20" s="40">
        <f t="shared" ca="1" si="124"/>
        <v>4773393.3520086836</v>
      </c>
      <c r="ET20" s="40">
        <f t="shared" ca="1" si="124"/>
        <v>4773393.3520086836</v>
      </c>
      <c r="EU20" s="40">
        <f t="shared" ca="1" si="124"/>
        <v>4773393.3520086836</v>
      </c>
      <c r="EV20" s="40">
        <f t="shared" ca="1" si="124"/>
        <v>4773393.3520086836</v>
      </c>
      <c r="EW20" s="40">
        <f t="shared" ca="1" si="124"/>
        <v>4773393.3520086836</v>
      </c>
      <c r="EX20" s="40">
        <f t="shared" ca="1" si="124"/>
        <v>4773393.3520086836</v>
      </c>
      <c r="EY20" s="40">
        <f t="shared" ca="1" si="124"/>
        <v>4773393.3520086836</v>
      </c>
      <c r="EZ20" s="40">
        <f t="shared" ca="1" si="124"/>
        <v>4773393.3520086836</v>
      </c>
      <c r="FA20" s="40">
        <f t="shared" ca="1" si="124"/>
        <v>4773393.3520086836</v>
      </c>
      <c r="FB20" s="40">
        <f t="shared" ca="1" si="124"/>
        <v>4773393.3520086836</v>
      </c>
      <c r="FC20" s="40">
        <f t="shared" ca="1" si="124"/>
        <v>4773393.3520086836</v>
      </c>
      <c r="FD20" s="40">
        <f t="shared" ca="1" si="124"/>
        <v>4773393.3520086836</v>
      </c>
      <c r="FE20" s="40">
        <f t="shared" ca="1" si="124"/>
        <v>4773393.3520086836</v>
      </c>
      <c r="FF20" s="40">
        <f t="shared" ca="1" si="124"/>
        <v>4773393.3520086836</v>
      </c>
      <c r="FG20" s="40">
        <f t="shared" ca="1" si="124"/>
        <v>4773393.3520086836</v>
      </c>
      <c r="FH20" s="40">
        <f t="shared" ca="1" si="124"/>
        <v>4773393.3520086836</v>
      </c>
      <c r="FI20" s="40">
        <f t="shared" ca="1" si="124"/>
        <v>4773393.3520086836</v>
      </c>
      <c r="FJ20" s="40">
        <f t="shared" ca="1" si="124"/>
        <v>4773393.3520086836</v>
      </c>
      <c r="FK20" s="40">
        <f t="shared" ca="1" si="124"/>
        <v>4773393.3520086836</v>
      </c>
      <c r="FL20" s="40">
        <f t="shared" ca="1" si="124"/>
        <v>4773393.3520086836</v>
      </c>
      <c r="FM20" s="40">
        <f t="shared" ca="1" si="124"/>
        <v>4773393.3520086836</v>
      </c>
      <c r="FN20" s="40">
        <f t="shared" ca="1" si="124"/>
        <v>4773393.3520086836</v>
      </c>
      <c r="FO20" s="40">
        <f t="shared" ca="1" si="124"/>
        <v>4773393.3520086836</v>
      </c>
      <c r="FP20" s="40">
        <f t="shared" ca="1" si="124"/>
        <v>4773393.3520086836</v>
      </c>
      <c r="FQ20" s="40">
        <f t="shared" ca="1" si="124"/>
        <v>4773393.3520086836</v>
      </c>
      <c r="FR20" s="40">
        <f t="shared" ca="1" si="124"/>
        <v>4773393.3520086836</v>
      </c>
      <c r="FS20" s="40">
        <f t="shared" ca="1" si="124"/>
        <v>4773393.3520086836</v>
      </c>
      <c r="FT20" s="40">
        <f t="shared" ca="1" si="124"/>
        <v>4773393.3520086836</v>
      </c>
      <c r="FU20" s="40">
        <f t="shared" ca="1" si="124"/>
        <v>4773393.3520086836</v>
      </c>
      <c r="FV20" s="40">
        <f t="shared" ca="1" si="124"/>
        <v>4773393.3520086836</v>
      </c>
      <c r="FW20" s="40">
        <f t="shared" ca="1" si="124"/>
        <v>4773393.3520086836</v>
      </c>
      <c r="FX20" s="40">
        <f t="shared" ca="1" si="124"/>
        <v>4773393.3520086836</v>
      </c>
      <c r="FY20" s="40">
        <f t="shared" ca="1" si="124"/>
        <v>4773393.3520086836</v>
      </c>
      <c r="FZ20" s="40">
        <f t="shared" ca="1" si="124"/>
        <v>4773393.3520086836</v>
      </c>
      <c r="GA20" s="40">
        <f t="shared" ca="1" si="124"/>
        <v>4773393.3520086836</v>
      </c>
      <c r="GB20" s="40">
        <f t="shared" ca="1" si="124"/>
        <v>4773393.3520086836</v>
      </c>
      <c r="GC20" s="40">
        <f t="shared" ca="1" si="124"/>
        <v>4773393.3520086836</v>
      </c>
      <c r="GD20" s="40">
        <f t="shared" ca="1" si="124"/>
        <v>4773393.3520086836</v>
      </c>
      <c r="GE20" s="40">
        <f t="shared" ca="1" si="124"/>
        <v>4773393.3520086836</v>
      </c>
      <c r="GF20" s="40">
        <f t="shared" ca="1" si="124"/>
        <v>4773393.3520086836</v>
      </c>
      <c r="GG20" s="40">
        <f t="shared" ca="1" si="124"/>
        <v>4773393.3520086836</v>
      </c>
      <c r="GH20" s="40">
        <f t="shared" ca="1" si="124"/>
        <v>4773393.3520086836</v>
      </c>
      <c r="GI20" s="40">
        <f t="shared" ca="1" si="124"/>
        <v>4773393.3520086836</v>
      </c>
      <c r="GJ20" s="40">
        <f t="shared" ca="1" si="124"/>
        <v>4773393.3520086836</v>
      </c>
      <c r="GK20" s="40">
        <f t="shared" ca="1" si="124"/>
        <v>4773393.3520086836</v>
      </c>
      <c r="GL20" s="40">
        <f t="shared" ca="1" si="124"/>
        <v>4773393.3520086836</v>
      </c>
      <c r="GM20" s="40">
        <f t="shared" ca="1" si="124"/>
        <v>4773393.3520086836</v>
      </c>
      <c r="GN20" s="40">
        <f t="shared" ca="1" si="124"/>
        <v>4773393.3520086836</v>
      </c>
      <c r="GO20" s="40">
        <f t="shared" ca="1" si="124"/>
        <v>4773393.3520086836</v>
      </c>
      <c r="GP20" s="40">
        <f t="shared" ca="1" si="124"/>
        <v>4773393.3520086836</v>
      </c>
      <c r="GQ20" s="40">
        <f t="shared" ca="1" si="124"/>
        <v>4773393.3520086836</v>
      </c>
      <c r="GR20" s="40">
        <f t="shared" ref="GR20:IN20" ca="1" si="125">GR9*$C$15</f>
        <v>4773393.3520086836</v>
      </c>
      <c r="GS20" s="40">
        <f t="shared" ca="1" si="125"/>
        <v>4773393.3520086836</v>
      </c>
      <c r="GT20" s="40">
        <f t="shared" ca="1" si="125"/>
        <v>4773393.3520086836</v>
      </c>
      <c r="GU20" s="40">
        <f t="shared" ca="1" si="125"/>
        <v>4773393.3520086836</v>
      </c>
      <c r="GV20" s="40">
        <f t="shared" ca="1" si="125"/>
        <v>4773393.3520086836</v>
      </c>
      <c r="GW20" s="40">
        <f t="shared" ca="1" si="125"/>
        <v>4773393.3520086836</v>
      </c>
      <c r="GX20" s="40">
        <f t="shared" ca="1" si="125"/>
        <v>4773393.3520086836</v>
      </c>
      <c r="GY20" s="40">
        <f t="shared" ca="1" si="125"/>
        <v>4773393.3520086836</v>
      </c>
      <c r="GZ20" s="40">
        <f t="shared" ca="1" si="125"/>
        <v>4773393.3520086836</v>
      </c>
      <c r="HA20" s="40">
        <f t="shared" ca="1" si="125"/>
        <v>4773393.3520086836</v>
      </c>
      <c r="HB20" s="40">
        <f t="shared" ca="1" si="125"/>
        <v>4773393.3520086836</v>
      </c>
      <c r="HC20" s="40">
        <f t="shared" ca="1" si="125"/>
        <v>4773393.3520086836</v>
      </c>
      <c r="HD20" s="40">
        <f t="shared" ca="1" si="125"/>
        <v>4773393.3520086836</v>
      </c>
      <c r="HE20" s="40">
        <f t="shared" ca="1" si="125"/>
        <v>4773393.3520086836</v>
      </c>
      <c r="HF20" s="40">
        <f t="shared" ca="1" si="125"/>
        <v>4773393.3520086836</v>
      </c>
      <c r="HG20" s="40">
        <f t="shared" ca="1" si="125"/>
        <v>4773393.3520086836</v>
      </c>
      <c r="HH20" s="40">
        <f t="shared" ca="1" si="125"/>
        <v>4773393.3520086836</v>
      </c>
      <c r="HI20" s="40">
        <f t="shared" ca="1" si="125"/>
        <v>4773393.3520086836</v>
      </c>
      <c r="HJ20" s="40">
        <f t="shared" ca="1" si="125"/>
        <v>4773393.3520086836</v>
      </c>
      <c r="HK20" s="40">
        <f t="shared" ca="1" si="125"/>
        <v>4773393.3520086836</v>
      </c>
      <c r="HL20" s="40">
        <f t="shared" ca="1" si="125"/>
        <v>4773393.3520086836</v>
      </c>
      <c r="HM20" s="40">
        <f t="shared" ca="1" si="125"/>
        <v>4773393.3520086836</v>
      </c>
      <c r="HN20" s="40">
        <f t="shared" ca="1" si="125"/>
        <v>4773393.3520086836</v>
      </c>
      <c r="HO20" s="40">
        <f t="shared" ca="1" si="125"/>
        <v>4773393.3520086836</v>
      </c>
      <c r="HP20" s="40">
        <f t="shared" ca="1" si="125"/>
        <v>4773393.3520086836</v>
      </c>
      <c r="HQ20" s="40">
        <f t="shared" ca="1" si="125"/>
        <v>4773393.3520086836</v>
      </c>
      <c r="HR20" s="40">
        <f t="shared" ca="1" si="125"/>
        <v>4773393.3520086836</v>
      </c>
      <c r="HS20" s="40">
        <f t="shared" ca="1" si="125"/>
        <v>4773393.3520086836</v>
      </c>
      <c r="HT20" s="40">
        <f t="shared" ca="1" si="125"/>
        <v>4773393.3520086836</v>
      </c>
      <c r="HU20" s="40">
        <f t="shared" ca="1" si="125"/>
        <v>4773393.3520086836</v>
      </c>
      <c r="HV20" s="40">
        <f t="shared" ca="1" si="125"/>
        <v>4773393.3520086836</v>
      </c>
      <c r="HW20" s="40">
        <f t="shared" ca="1" si="125"/>
        <v>4773393.3520086836</v>
      </c>
      <c r="HX20" s="40">
        <f t="shared" ca="1" si="125"/>
        <v>4773393.3520086836</v>
      </c>
      <c r="HY20" s="40">
        <f t="shared" ca="1" si="125"/>
        <v>4773393.3520086836</v>
      </c>
      <c r="HZ20" s="40">
        <f t="shared" ca="1" si="125"/>
        <v>4773393.3520086836</v>
      </c>
      <c r="IA20" s="40">
        <f t="shared" ca="1" si="125"/>
        <v>4773393.3520086836</v>
      </c>
      <c r="IB20" s="40">
        <f t="shared" ca="1" si="125"/>
        <v>4773393.3520086836</v>
      </c>
      <c r="IC20" s="40">
        <f t="shared" ca="1" si="125"/>
        <v>4773393.3520086836</v>
      </c>
      <c r="ID20" s="40">
        <f t="shared" ca="1" si="125"/>
        <v>4773393.3520086836</v>
      </c>
      <c r="IE20" s="40">
        <f t="shared" ca="1" si="125"/>
        <v>4773393.3520086836</v>
      </c>
      <c r="IF20" s="40">
        <f t="shared" ca="1" si="125"/>
        <v>4773393.3520086836</v>
      </c>
      <c r="IG20" s="40">
        <f t="shared" ca="1" si="125"/>
        <v>4773393.3520086836</v>
      </c>
      <c r="IH20" s="40">
        <f t="shared" ca="1" si="125"/>
        <v>4773393.3520086836</v>
      </c>
      <c r="II20" s="40">
        <f t="shared" ca="1" si="125"/>
        <v>4773393.3520086836</v>
      </c>
      <c r="IJ20" s="40">
        <f t="shared" ca="1" si="125"/>
        <v>4773393.3520086836</v>
      </c>
      <c r="IK20" s="40">
        <f t="shared" ca="1" si="125"/>
        <v>4773393.3520086836</v>
      </c>
      <c r="IL20" s="40">
        <f t="shared" ca="1" si="125"/>
        <v>4773393.3520086836</v>
      </c>
      <c r="IM20" s="40">
        <f t="shared" ca="1" si="125"/>
        <v>4773393.3520086836</v>
      </c>
      <c r="IN20" s="40">
        <f t="shared" ca="1" si="125"/>
        <v>4773393.3520086836</v>
      </c>
    </row>
    <row r="21" spans="2:248" x14ac:dyDescent="0.3">
      <c r="B21" s="19" t="s">
        <v>491</v>
      </c>
      <c r="C21" s="40">
        <f>C20*C19</f>
        <v>132401060.40000001</v>
      </c>
      <c r="F21" s="19" t="s">
        <v>493</v>
      </c>
      <c r="G21" s="40">
        <f>G10*$C$15</f>
        <v>4.2541986736008397</v>
      </c>
      <c r="H21" s="40">
        <f t="shared" ref="H21:BS22" ca="1" si="126">H10*$C$15</f>
        <v>5.3718271386993655</v>
      </c>
      <c r="I21" s="40">
        <f t="shared" ca="1" si="126"/>
        <v>7.7873467245574695</v>
      </c>
      <c r="J21" s="40">
        <f t="shared" ca="1" si="126"/>
        <v>9.337605563242521</v>
      </c>
      <c r="K21" s="40">
        <f t="shared" ca="1" si="126"/>
        <v>14.276802328355361</v>
      </c>
      <c r="L21" s="40">
        <f t="shared" ca="1" si="126"/>
        <v>18.314685815162935</v>
      </c>
      <c r="M21" s="40">
        <f t="shared" ca="1" si="126"/>
        <v>20.622047807624408</v>
      </c>
      <c r="N21" s="40">
        <f t="shared" ca="1" si="126"/>
        <v>33.961484326542298</v>
      </c>
      <c r="O21" s="40">
        <f t="shared" ca="1" si="126"/>
        <v>45.281979102056397</v>
      </c>
      <c r="P21" s="40">
        <f t="shared" ca="1" si="126"/>
        <v>58.909835870031962</v>
      </c>
      <c r="Q21" s="40">
        <f t="shared" ca="1" si="126"/>
        <v>77.260574216327115</v>
      </c>
      <c r="R21" s="40">
        <f t="shared" ca="1" si="126"/>
        <v>88.256596211651313</v>
      </c>
      <c r="S21" s="40">
        <f t="shared" ca="1" si="126"/>
        <v>117.78361920893173</v>
      </c>
      <c r="T21" s="40">
        <f t="shared" ca="1" si="126"/>
        <v>154.12457059019991</v>
      </c>
      <c r="U21" s="40">
        <f t="shared" ca="1" si="126"/>
        <v>217.10834247817166</v>
      </c>
      <c r="V21" s="40">
        <f t="shared" ca="1" si="126"/>
        <v>257.52322987737966</v>
      </c>
      <c r="W21" s="40">
        <f t="shared" ca="1" si="126"/>
        <v>463.92397060928477</v>
      </c>
      <c r="X21" s="40">
        <f t="shared" ca="1" si="126"/>
        <v>657.27369507132971</v>
      </c>
      <c r="Y21" s="40">
        <f t="shared" ca="1" si="126"/>
        <v>860.97049596831903</v>
      </c>
      <c r="Z21" s="40">
        <f t="shared" ca="1" si="126"/>
        <v>1128.4442244381887</v>
      </c>
      <c r="AA21" s="40">
        <f t="shared" ca="1" si="126"/>
        <v>1488.5729579178396</v>
      </c>
      <c r="AB21" s="40">
        <f t="shared" ca="1" si="126"/>
        <v>1816.795201345484</v>
      </c>
      <c r="AC21" s="40">
        <f t="shared" ca="1" si="126"/>
        <v>2221.6290734290756</v>
      </c>
      <c r="AD21" s="40">
        <f t="shared" ca="1" si="126"/>
        <v>2827.5279116370057</v>
      </c>
      <c r="AE21" s="40">
        <f t="shared" ca="1" si="126"/>
        <v>3110.280702800706</v>
      </c>
      <c r="AF21" s="40">
        <f t="shared" ca="1" si="126"/>
        <v>3421.308773080777</v>
      </c>
      <c r="AG21" s="40">
        <f t="shared" ca="1" si="126"/>
        <v>3763.4396503888552</v>
      </c>
      <c r="AH21" s="40">
        <f t="shared" ca="1" si="126"/>
        <v>4139.7836154277411</v>
      </c>
      <c r="AI21" s="40">
        <f t="shared" ca="1" si="126"/>
        <v>4553.7619769705152</v>
      </c>
      <c r="AJ21" s="40">
        <f t="shared" ca="1" si="126"/>
        <v>5009.1381746675679</v>
      </c>
      <c r="AK21" s="40">
        <f t="shared" ca="1" si="126"/>
        <v>5510.0519921343248</v>
      </c>
      <c r="AL21" s="40">
        <f t="shared" ca="1" si="126"/>
        <v>6061.0571913477579</v>
      </c>
      <c r="AM21" s="40">
        <f t="shared" ca="1" si="126"/>
        <v>6667.1629104825352</v>
      </c>
      <c r="AN21" s="40">
        <f t="shared" ca="1" si="126"/>
        <v>7333.879201530789</v>
      </c>
      <c r="AO21" s="40">
        <f t="shared" ca="1" si="126"/>
        <v>8067.2671216838689</v>
      </c>
      <c r="AP21" s="40">
        <f t="shared" ca="1" si="126"/>
        <v>8873.9938338522552</v>
      </c>
      <c r="AQ21" s="40">
        <f t="shared" ca="1" si="126"/>
        <v>9761.3932172374825</v>
      </c>
      <c r="AR21" s="40">
        <f t="shared" ca="1" si="126"/>
        <v>10737.532538961232</v>
      </c>
      <c r="AS21" s="40">
        <f t="shared" ca="1" si="126"/>
        <v>11811.285792857358</v>
      </c>
      <c r="AT21" s="40">
        <f t="shared" ca="1" si="126"/>
        <v>12992.414372143094</v>
      </c>
      <c r="AU21" s="40">
        <f t="shared" ca="1" si="126"/>
        <v>14291.655809357404</v>
      </c>
      <c r="AV21" s="40">
        <f t="shared" ca="1" si="126"/>
        <v>15720.821390293146</v>
      </c>
      <c r="AW21" s="40">
        <f t="shared" ca="1" si="126"/>
        <v>17292.903529322459</v>
      </c>
      <c r="AX21" s="40">
        <f t="shared" ca="1" si="126"/>
        <v>19022.193882254709</v>
      </c>
      <c r="AY21" s="40">
        <f t="shared" ca="1" si="126"/>
        <v>20924.413270480178</v>
      </c>
      <c r="AZ21" s="40">
        <f t="shared" ca="1" si="126"/>
        <v>23016.854597528196</v>
      </c>
      <c r="BA21" s="40">
        <f t="shared" ca="1" si="126"/>
        <v>25318.540057281021</v>
      </c>
      <c r="BB21" s="40">
        <f t="shared" ca="1" si="126"/>
        <v>27850.394063009124</v>
      </c>
      <c r="BC21" s="40">
        <f t="shared" ca="1" si="126"/>
        <v>30635.433469310035</v>
      </c>
      <c r="BD21" s="40">
        <f t="shared" ca="1" si="126"/>
        <v>33698.97681624104</v>
      </c>
      <c r="BE21" s="40">
        <f t="shared" ca="1" si="126"/>
        <v>37068.874497865152</v>
      </c>
      <c r="BF21" s="40">
        <f t="shared" ca="1" si="126"/>
        <v>40775.76194765167</v>
      </c>
      <c r="BG21" s="40">
        <f t="shared" ca="1" si="126"/>
        <v>44853.33814241684</v>
      </c>
      <c r="BH21" s="40">
        <f t="shared" ca="1" si="126"/>
        <v>49338.671956658531</v>
      </c>
      <c r="BI21" s="40">
        <f t="shared" ca="1" si="126"/>
        <v>54272.539152324389</v>
      </c>
      <c r="BJ21" s="40">
        <f t="shared" ca="1" si="126"/>
        <v>59699.793067556835</v>
      </c>
      <c r="BK21" s="40">
        <f t="shared" ca="1" si="126"/>
        <v>65669.772374312524</v>
      </c>
      <c r="BL21" s="40">
        <f t="shared" ca="1" si="126"/>
        <v>72236.749611743784</v>
      </c>
      <c r="BM21" s="40">
        <f t="shared" ca="1" si="126"/>
        <v>79460.424572918157</v>
      </c>
      <c r="BN21" s="40">
        <f t="shared" ca="1" si="126"/>
        <v>87406.467030209984</v>
      </c>
      <c r="BO21" s="40">
        <f t="shared" ca="1" si="126"/>
        <v>96147.113733230988</v>
      </c>
      <c r="BP21" s="40">
        <f t="shared" ca="1" si="126"/>
        <v>105761.8251065541</v>
      </c>
      <c r="BQ21" s="40">
        <f t="shared" ca="1" si="126"/>
        <v>116338.00761720951</v>
      </c>
      <c r="BR21" s="40">
        <f t="shared" ca="1" si="126"/>
        <v>127971.80837893047</v>
      </c>
      <c r="BS21" s="40">
        <f t="shared" ca="1" si="126"/>
        <v>140768.98921682354</v>
      </c>
      <c r="BT21" s="40">
        <f t="shared" ref="BT21:EE23" ca="1" si="127">BT10*$C$15</f>
        <v>154845.88813850589</v>
      </c>
      <c r="BU21" s="40">
        <f t="shared" ca="1" si="127"/>
        <v>170330.47695235652</v>
      </c>
      <c r="BV21" s="40">
        <f t="shared" ca="1" si="127"/>
        <v>187363.52464759219</v>
      </c>
      <c r="BW21" s="40">
        <f t="shared" ca="1" si="127"/>
        <v>206099.87711235142</v>
      </c>
      <c r="BX21" s="40">
        <f t="shared" ca="1" si="127"/>
        <v>226709.86482358657</v>
      </c>
      <c r="BY21" s="40">
        <f t="shared" ca="1" si="127"/>
        <v>249380.85130594525</v>
      </c>
      <c r="BZ21" s="40">
        <f t="shared" ca="1" si="127"/>
        <v>274318.93643653975</v>
      </c>
      <c r="CA21" s="40">
        <f t="shared" ca="1" si="127"/>
        <v>301750.83008019376</v>
      </c>
      <c r="CB21" s="40">
        <f t="shared" ca="1" si="127"/>
        <v>331925.91308821313</v>
      </c>
      <c r="CC21" s="40">
        <f t="shared" ca="1" si="127"/>
        <v>365118.50439703447</v>
      </c>
      <c r="CD21" s="40">
        <f t="shared" ca="1" si="127"/>
        <v>401630.35483673791</v>
      </c>
      <c r="CE21" s="40">
        <f t="shared" ca="1" si="127"/>
        <v>441793.39032041177</v>
      </c>
      <c r="CF21" s="40">
        <f t="shared" ca="1" si="127"/>
        <v>485972.72935245303</v>
      </c>
      <c r="CG21" s="40">
        <f t="shared" ca="1" si="127"/>
        <v>534570.00228769833</v>
      </c>
      <c r="CH21" s="40">
        <f t="shared" ca="1" si="127"/>
        <v>588027.00251646829</v>
      </c>
      <c r="CI21" s="40">
        <f t="shared" ca="1" si="127"/>
        <v>646829.70276811509</v>
      </c>
      <c r="CJ21" s="40">
        <f t="shared" ca="1" si="127"/>
        <v>711512.67304492672</v>
      </c>
      <c r="CK21" s="40">
        <f t="shared" ca="1" si="127"/>
        <v>782663.94034941948</v>
      </c>
      <c r="CL21" s="40">
        <f t="shared" ca="1" si="127"/>
        <v>860930.33438436151</v>
      </c>
      <c r="CM21" s="40">
        <f t="shared" ca="1" si="127"/>
        <v>947023.36782279774</v>
      </c>
      <c r="CN21" s="40">
        <f t="shared" ca="1" si="127"/>
        <v>1041725.7046050776</v>
      </c>
      <c r="CO21" s="40">
        <f t="shared" ca="1" si="127"/>
        <v>1145898.2750655855</v>
      </c>
      <c r="CP21" s="40">
        <f t="shared" ca="1" si="127"/>
        <v>1260488.102572144</v>
      </c>
      <c r="CQ21" s="40">
        <f t="shared" ca="1" si="127"/>
        <v>1386536.9128293586</v>
      </c>
      <c r="CR21" s="40">
        <f t="shared" ca="1" si="127"/>
        <v>1525190.6041122947</v>
      </c>
      <c r="CS21" s="40">
        <f t="shared" ca="1" si="127"/>
        <v>1677709.6645235242</v>
      </c>
      <c r="CT21" s="40">
        <f t="shared" ca="1" si="127"/>
        <v>1845480.6309758769</v>
      </c>
      <c r="CU21" s="40">
        <f t="shared" ca="1" si="127"/>
        <v>2030028.6940734647</v>
      </c>
      <c r="CV21" s="40">
        <f t="shared" ca="1" si="127"/>
        <v>2233031.5634808117</v>
      </c>
      <c r="CW21" s="40">
        <f t="shared" ca="1" si="127"/>
        <v>2456334.7198288925</v>
      </c>
      <c r="CX21" s="40">
        <f t="shared" ca="1" si="127"/>
        <v>2701968.1918117823</v>
      </c>
      <c r="CY21" s="40">
        <f t="shared" ca="1" si="127"/>
        <v>2972165.0109929605</v>
      </c>
      <c r="CZ21" s="40">
        <f t="shared" ca="1" si="127"/>
        <v>3269381.5120922569</v>
      </c>
      <c r="DA21" s="40">
        <f t="shared" ca="1" si="127"/>
        <v>3596319.6633014828</v>
      </c>
      <c r="DB21" s="40">
        <f t="shared" ca="1" si="127"/>
        <v>3955951.6296316315</v>
      </c>
      <c r="DC21" s="40">
        <f t="shared" ca="1" si="127"/>
        <v>4351546.7925947951</v>
      </c>
      <c r="DD21" s="40">
        <f t="shared" ca="1" si="127"/>
        <v>4773393.3520086836</v>
      </c>
      <c r="DE21" s="40">
        <f t="shared" ca="1" si="127"/>
        <v>4773393.3520086836</v>
      </c>
      <c r="DF21" s="40">
        <f t="shared" ca="1" si="127"/>
        <v>4773393.3520086836</v>
      </c>
      <c r="DG21" s="40">
        <f t="shared" ca="1" si="127"/>
        <v>4773393.3520086836</v>
      </c>
      <c r="DH21" s="40">
        <f t="shared" ca="1" si="127"/>
        <v>4773393.3520086836</v>
      </c>
      <c r="DI21" s="40">
        <f t="shared" ca="1" si="127"/>
        <v>4773393.3520086836</v>
      </c>
      <c r="DJ21" s="40">
        <f t="shared" ca="1" si="127"/>
        <v>4773393.3520086836</v>
      </c>
      <c r="DK21" s="40">
        <f t="shared" ca="1" si="127"/>
        <v>4773393.3520086836</v>
      </c>
      <c r="DL21" s="40">
        <f t="shared" ca="1" si="127"/>
        <v>4773393.3520086836</v>
      </c>
      <c r="DM21" s="40">
        <f t="shared" ca="1" si="127"/>
        <v>4773393.3520086836</v>
      </c>
      <c r="DN21" s="40">
        <f t="shared" ca="1" si="127"/>
        <v>4773393.3520086836</v>
      </c>
      <c r="DO21" s="40">
        <f t="shared" ca="1" si="127"/>
        <v>4773393.3520086836</v>
      </c>
      <c r="DP21" s="40">
        <f t="shared" ca="1" si="127"/>
        <v>4773393.3520086836</v>
      </c>
      <c r="DQ21" s="40">
        <f t="shared" ca="1" si="127"/>
        <v>4773393.3520086836</v>
      </c>
      <c r="DR21" s="40">
        <f t="shared" ca="1" si="127"/>
        <v>4773393.3520086836</v>
      </c>
      <c r="DS21" s="40">
        <f t="shared" ca="1" si="127"/>
        <v>4773393.3520086836</v>
      </c>
      <c r="DT21" s="40">
        <f t="shared" ca="1" si="127"/>
        <v>4773393.3520086836</v>
      </c>
      <c r="DU21" s="40">
        <f t="shared" ca="1" si="127"/>
        <v>4773393.3520086836</v>
      </c>
      <c r="DV21" s="40">
        <f t="shared" ca="1" si="127"/>
        <v>4773393.3520086836</v>
      </c>
      <c r="DW21" s="40">
        <f t="shared" ca="1" si="127"/>
        <v>4773393.3520086836</v>
      </c>
      <c r="DX21" s="40">
        <f t="shared" ca="1" si="127"/>
        <v>4773393.3520086836</v>
      </c>
      <c r="DY21" s="40">
        <f t="shared" ca="1" si="127"/>
        <v>4773393.3520086836</v>
      </c>
      <c r="DZ21" s="40">
        <f t="shared" ca="1" si="127"/>
        <v>4773393.3520086836</v>
      </c>
      <c r="EA21" s="40">
        <f t="shared" ca="1" si="127"/>
        <v>4773393.3520086836</v>
      </c>
      <c r="EB21" s="40">
        <f t="shared" ca="1" si="127"/>
        <v>4773393.3520086836</v>
      </c>
      <c r="EC21" s="40">
        <f t="shared" ca="1" si="127"/>
        <v>4773393.3520086836</v>
      </c>
      <c r="ED21" s="40">
        <f t="shared" ca="1" si="127"/>
        <v>4773393.3520086836</v>
      </c>
      <c r="EE21" s="40">
        <f t="shared" ca="1" si="127"/>
        <v>4773393.3520086836</v>
      </c>
      <c r="EF21" s="40">
        <f t="shared" ref="EF21:GQ23" ca="1" si="128">EF10*$C$15</f>
        <v>4773393.3520086836</v>
      </c>
      <c r="EG21" s="40">
        <f t="shared" ca="1" si="128"/>
        <v>4773393.3520086836</v>
      </c>
      <c r="EH21" s="40">
        <f t="shared" ca="1" si="128"/>
        <v>4773393.3520086836</v>
      </c>
      <c r="EI21" s="40">
        <f t="shared" ca="1" si="128"/>
        <v>4773393.3520086836</v>
      </c>
      <c r="EJ21" s="40">
        <f t="shared" ca="1" si="128"/>
        <v>4773393.3520086836</v>
      </c>
      <c r="EK21" s="40">
        <f t="shared" ca="1" si="128"/>
        <v>4773393.3520086836</v>
      </c>
      <c r="EL21" s="40">
        <f t="shared" ca="1" si="128"/>
        <v>4773393.3520086836</v>
      </c>
      <c r="EM21" s="40">
        <f t="shared" ca="1" si="128"/>
        <v>4773393.3520086836</v>
      </c>
      <c r="EN21" s="40">
        <f t="shared" ca="1" si="128"/>
        <v>4773393.3520086836</v>
      </c>
      <c r="EO21" s="40">
        <f t="shared" ca="1" si="128"/>
        <v>4773393.3520086836</v>
      </c>
      <c r="EP21" s="40">
        <f t="shared" ca="1" si="128"/>
        <v>4773393.3520086836</v>
      </c>
      <c r="EQ21" s="40">
        <f t="shared" ca="1" si="128"/>
        <v>4773393.3520086836</v>
      </c>
      <c r="ER21" s="40">
        <f t="shared" ca="1" si="128"/>
        <v>4773393.3520086836</v>
      </c>
      <c r="ES21" s="40">
        <f t="shared" ca="1" si="128"/>
        <v>4773393.3520086836</v>
      </c>
      <c r="ET21" s="40">
        <f t="shared" ca="1" si="128"/>
        <v>4773393.3520086836</v>
      </c>
      <c r="EU21" s="40">
        <f t="shared" ca="1" si="128"/>
        <v>4773393.3520086836</v>
      </c>
      <c r="EV21" s="40">
        <f t="shared" ca="1" si="128"/>
        <v>4773393.3520086836</v>
      </c>
      <c r="EW21" s="40">
        <f t="shared" ca="1" si="128"/>
        <v>4773393.3520086836</v>
      </c>
      <c r="EX21" s="40">
        <f t="shared" ca="1" si="128"/>
        <v>4773393.3520086836</v>
      </c>
      <c r="EY21" s="40">
        <f t="shared" ca="1" si="128"/>
        <v>4773393.3520086836</v>
      </c>
      <c r="EZ21" s="40">
        <f t="shared" ca="1" si="128"/>
        <v>4773393.3520086836</v>
      </c>
      <c r="FA21" s="40">
        <f t="shared" ca="1" si="128"/>
        <v>4773393.3520086836</v>
      </c>
      <c r="FB21" s="40">
        <f t="shared" ca="1" si="128"/>
        <v>4773393.3520086836</v>
      </c>
      <c r="FC21" s="40">
        <f t="shared" ca="1" si="128"/>
        <v>4773393.3520086836</v>
      </c>
      <c r="FD21" s="40">
        <f t="shared" ca="1" si="128"/>
        <v>4773393.3520086836</v>
      </c>
      <c r="FE21" s="40">
        <f t="shared" ca="1" si="128"/>
        <v>4773393.3520086836</v>
      </c>
      <c r="FF21" s="40">
        <f t="shared" ca="1" si="128"/>
        <v>4773393.3520086836</v>
      </c>
      <c r="FG21" s="40">
        <f t="shared" ca="1" si="128"/>
        <v>4773393.3520086836</v>
      </c>
      <c r="FH21" s="40">
        <f t="shared" ca="1" si="128"/>
        <v>4773393.3520086836</v>
      </c>
      <c r="FI21" s="40">
        <f t="shared" ca="1" si="128"/>
        <v>4773393.3520086836</v>
      </c>
      <c r="FJ21" s="40">
        <f t="shared" ca="1" si="128"/>
        <v>4773393.3520086836</v>
      </c>
      <c r="FK21" s="40">
        <f t="shared" ca="1" si="128"/>
        <v>4773393.3520086836</v>
      </c>
      <c r="FL21" s="40">
        <f t="shared" ca="1" si="128"/>
        <v>4773393.3520086836</v>
      </c>
      <c r="FM21" s="40">
        <f t="shared" ca="1" si="128"/>
        <v>4773393.3520086836</v>
      </c>
      <c r="FN21" s="40">
        <f t="shared" ca="1" si="128"/>
        <v>4773393.3520086836</v>
      </c>
      <c r="FO21" s="40">
        <f t="shared" ca="1" si="128"/>
        <v>4773393.3520086836</v>
      </c>
      <c r="FP21" s="40">
        <f t="shared" ca="1" si="128"/>
        <v>4773393.3520086836</v>
      </c>
      <c r="FQ21" s="40">
        <f t="shared" ca="1" si="128"/>
        <v>4773393.3520086836</v>
      </c>
      <c r="FR21" s="40">
        <f t="shared" ca="1" si="128"/>
        <v>4773393.3520086836</v>
      </c>
      <c r="FS21" s="40">
        <f t="shared" ca="1" si="128"/>
        <v>4773393.3520086836</v>
      </c>
      <c r="FT21" s="40">
        <f t="shared" ca="1" si="128"/>
        <v>4773393.3520086836</v>
      </c>
      <c r="FU21" s="40">
        <f t="shared" ca="1" si="128"/>
        <v>4773393.3520086836</v>
      </c>
      <c r="FV21" s="40">
        <f t="shared" ca="1" si="128"/>
        <v>4773393.3520086836</v>
      </c>
      <c r="FW21" s="40">
        <f t="shared" ca="1" si="128"/>
        <v>4773393.3520086836</v>
      </c>
      <c r="FX21" s="40">
        <f t="shared" ca="1" si="128"/>
        <v>4773393.3520086836</v>
      </c>
      <c r="FY21" s="40">
        <f t="shared" ca="1" si="128"/>
        <v>4773393.3520086836</v>
      </c>
      <c r="FZ21" s="40">
        <f t="shared" ca="1" si="128"/>
        <v>4773393.3520086836</v>
      </c>
      <c r="GA21" s="40">
        <f t="shared" ca="1" si="128"/>
        <v>4773393.3520086836</v>
      </c>
      <c r="GB21" s="40">
        <f t="shared" ca="1" si="128"/>
        <v>4773393.3520086836</v>
      </c>
      <c r="GC21" s="40">
        <f t="shared" ca="1" si="128"/>
        <v>4773393.3520086836</v>
      </c>
      <c r="GD21" s="40">
        <f t="shared" ca="1" si="128"/>
        <v>4773393.3520086836</v>
      </c>
      <c r="GE21" s="40">
        <f t="shared" ca="1" si="128"/>
        <v>4773393.3520086836</v>
      </c>
      <c r="GF21" s="40">
        <f t="shared" ca="1" si="128"/>
        <v>4773393.3520086836</v>
      </c>
      <c r="GG21" s="40">
        <f t="shared" ca="1" si="128"/>
        <v>4773393.3520086836</v>
      </c>
      <c r="GH21" s="40">
        <f t="shared" ca="1" si="128"/>
        <v>4773393.3520086836</v>
      </c>
      <c r="GI21" s="40">
        <f t="shared" ca="1" si="128"/>
        <v>4773393.3520086836</v>
      </c>
      <c r="GJ21" s="40">
        <f t="shared" ca="1" si="128"/>
        <v>4773393.3520086836</v>
      </c>
      <c r="GK21" s="40">
        <f t="shared" ca="1" si="128"/>
        <v>4773393.3520086836</v>
      </c>
      <c r="GL21" s="40">
        <f t="shared" ca="1" si="128"/>
        <v>4773393.3520086836</v>
      </c>
      <c r="GM21" s="40">
        <f t="shared" ca="1" si="128"/>
        <v>4773393.3520086836</v>
      </c>
      <c r="GN21" s="40">
        <f t="shared" ca="1" si="128"/>
        <v>4773393.3520086836</v>
      </c>
      <c r="GO21" s="40">
        <f t="shared" ca="1" si="128"/>
        <v>4773393.3520086836</v>
      </c>
      <c r="GP21" s="40">
        <f t="shared" ca="1" si="128"/>
        <v>4773393.3520086836</v>
      </c>
      <c r="GQ21" s="40">
        <f t="shared" ca="1" si="128"/>
        <v>4773393.3520086836</v>
      </c>
      <c r="GR21" s="40">
        <f t="shared" ref="GR21:IN23" ca="1" si="129">GR10*$C$15</f>
        <v>4773393.3520086836</v>
      </c>
      <c r="GS21" s="40">
        <f t="shared" ca="1" si="129"/>
        <v>4773393.3520086836</v>
      </c>
      <c r="GT21" s="40">
        <f t="shared" ca="1" si="129"/>
        <v>4773393.3520086836</v>
      </c>
      <c r="GU21" s="40">
        <f t="shared" ca="1" si="129"/>
        <v>4773393.3520086836</v>
      </c>
      <c r="GV21" s="40">
        <f t="shared" ca="1" si="129"/>
        <v>4773393.3520086836</v>
      </c>
      <c r="GW21" s="40">
        <f t="shared" ca="1" si="129"/>
        <v>4773393.3520086836</v>
      </c>
      <c r="GX21" s="40">
        <f t="shared" ca="1" si="129"/>
        <v>4773393.3520086836</v>
      </c>
      <c r="GY21" s="40">
        <f t="shared" ca="1" si="129"/>
        <v>4773393.3520086836</v>
      </c>
      <c r="GZ21" s="40">
        <f t="shared" ca="1" si="129"/>
        <v>4773393.3520086836</v>
      </c>
      <c r="HA21" s="40">
        <f t="shared" ca="1" si="129"/>
        <v>4773393.3520086836</v>
      </c>
      <c r="HB21" s="40">
        <f t="shared" ca="1" si="129"/>
        <v>4773393.3520086836</v>
      </c>
      <c r="HC21" s="40">
        <f t="shared" ca="1" si="129"/>
        <v>4773393.3520086836</v>
      </c>
      <c r="HD21" s="40">
        <f t="shared" ca="1" si="129"/>
        <v>4773393.3520086836</v>
      </c>
      <c r="HE21" s="40">
        <f t="shared" ca="1" si="129"/>
        <v>4773393.3520086836</v>
      </c>
      <c r="HF21" s="40">
        <f t="shared" ca="1" si="129"/>
        <v>4773393.3520086836</v>
      </c>
      <c r="HG21" s="40">
        <f t="shared" ca="1" si="129"/>
        <v>4773393.3520086836</v>
      </c>
      <c r="HH21" s="40">
        <f t="shared" ca="1" si="129"/>
        <v>4773393.3520086836</v>
      </c>
      <c r="HI21" s="40">
        <f t="shared" ca="1" si="129"/>
        <v>4773393.3520086836</v>
      </c>
      <c r="HJ21" s="40">
        <f t="shared" ca="1" si="129"/>
        <v>4773393.3520086836</v>
      </c>
      <c r="HK21" s="40">
        <f t="shared" ca="1" si="129"/>
        <v>4773393.3520086836</v>
      </c>
      <c r="HL21" s="40">
        <f t="shared" ca="1" si="129"/>
        <v>4773393.3520086836</v>
      </c>
      <c r="HM21" s="40">
        <f t="shared" ca="1" si="129"/>
        <v>4773393.3520086836</v>
      </c>
      <c r="HN21" s="40">
        <f t="shared" ca="1" si="129"/>
        <v>4773393.3520086836</v>
      </c>
      <c r="HO21" s="40">
        <f t="shared" ca="1" si="129"/>
        <v>4773393.3520086836</v>
      </c>
      <c r="HP21" s="40">
        <f t="shared" ca="1" si="129"/>
        <v>4773393.3520086836</v>
      </c>
      <c r="HQ21" s="40">
        <f t="shared" ca="1" si="129"/>
        <v>4773393.3520086836</v>
      </c>
      <c r="HR21" s="40">
        <f t="shared" ca="1" si="129"/>
        <v>4773393.3520086836</v>
      </c>
      <c r="HS21" s="40">
        <f t="shared" ca="1" si="129"/>
        <v>4773393.3520086836</v>
      </c>
      <c r="HT21" s="40">
        <f t="shared" ca="1" si="129"/>
        <v>4773393.3520086836</v>
      </c>
      <c r="HU21" s="40">
        <f t="shared" ca="1" si="129"/>
        <v>4773393.3520086836</v>
      </c>
      <c r="HV21" s="40">
        <f t="shared" ca="1" si="129"/>
        <v>4773393.3520086836</v>
      </c>
      <c r="HW21" s="40">
        <f t="shared" ca="1" si="129"/>
        <v>4773393.3520086836</v>
      </c>
      <c r="HX21" s="40">
        <f t="shared" ca="1" si="129"/>
        <v>4773393.3520086836</v>
      </c>
      <c r="HY21" s="40">
        <f t="shared" ca="1" si="129"/>
        <v>4773393.3520086836</v>
      </c>
      <c r="HZ21" s="40">
        <f t="shared" ca="1" si="129"/>
        <v>4773393.3520086836</v>
      </c>
      <c r="IA21" s="40">
        <f t="shared" ca="1" si="129"/>
        <v>4773393.3520086836</v>
      </c>
      <c r="IB21" s="40">
        <f t="shared" ca="1" si="129"/>
        <v>4773393.3520086836</v>
      </c>
      <c r="IC21" s="40">
        <f t="shared" ca="1" si="129"/>
        <v>4773393.3520086836</v>
      </c>
      <c r="ID21" s="40">
        <f t="shared" ca="1" si="129"/>
        <v>4773393.3520086836</v>
      </c>
      <c r="IE21" s="40">
        <f t="shared" ca="1" si="129"/>
        <v>4773393.3520086836</v>
      </c>
      <c r="IF21" s="40">
        <f t="shared" ca="1" si="129"/>
        <v>4773393.3520086836</v>
      </c>
      <c r="IG21" s="40">
        <f t="shared" ca="1" si="129"/>
        <v>4773393.3520086836</v>
      </c>
      <c r="IH21" s="40">
        <f t="shared" ca="1" si="129"/>
        <v>4773393.3520086836</v>
      </c>
      <c r="II21" s="40">
        <f t="shared" ca="1" si="129"/>
        <v>4773393.3520086836</v>
      </c>
      <c r="IJ21" s="40">
        <f t="shared" ca="1" si="129"/>
        <v>4773393.3520086836</v>
      </c>
      <c r="IK21" s="40">
        <f t="shared" ca="1" si="129"/>
        <v>4773393.3520086836</v>
      </c>
      <c r="IL21" s="40">
        <f t="shared" ca="1" si="129"/>
        <v>4773393.3520086836</v>
      </c>
      <c r="IM21" s="40">
        <f t="shared" ca="1" si="129"/>
        <v>4773393.3520086836</v>
      </c>
      <c r="IN21" s="40">
        <f t="shared" ca="1" si="129"/>
        <v>4773393.3520086836</v>
      </c>
    </row>
    <row r="22" spans="2:248" x14ac:dyDescent="0.3">
      <c r="C22" s="40"/>
      <c r="F22" s="19" t="s">
        <v>496</v>
      </c>
      <c r="G22" s="40">
        <f t="shared" ref="G22:V23" si="130">G11*$C$15</f>
        <v>4.2541986736008397</v>
      </c>
      <c r="H22" s="40">
        <f t="shared" ca="1" si="130"/>
        <v>5.3718271386993655</v>
      </c>
      <c r="I22" s="40">
        <f t="shared" ca="1" si="130"/>
        <v>7.7873467245574695</v>
      </c>
      <c r="J22" s="40">
        <f t="shared" ca="1" si="130"/>
        <v>9.337605563242521</v>
      </c>
      <c r="K22" s="40">
        <f t="shared" ca="1" si="130"/>
        <v>14.276802328355361</v>
      </c>
      <c r="L22" s="40">
        <f t="shared" ca="1" si="130"/>
        <v>18.314685815162935</v>
      </c>
      <c r="M22" s="40">
        <f t="shared" ca="1" si="130"/>
        <v>20.622047807624408</v>
      </c>
      <c r="N22" s="40">
        <f t="shared" ca="1" si="130"/>
        <v>33.961484326542298</v>
      </c>
      <c r="O22" s="40">
        <f t="shared" ca="1" si="130"/>
        <v>45.281979102056397</v>
      </c>
      <c r="P22" s="40">
        <f t="shared" ca="1" si="130"/>
        <v>58.909835870031962</v>
      </c>
      <c r="Q22" s="40">
        <f t="shared" ca="1" si="130"/>
        <v>77.260574216327115</v>
      </c>
      <c r="R22" s="40">
        <f t="shared" ca="1" si="130"/>
        <v>88.256596211651313</v>
      </c>
      <c r="S22" s="40">
        <f t="shared" ca="1" si="130"/>
        <v>117.78361920893173</v>
      </c>
      <c r="T22" s="40">
        <f t="shared" ca="1" si="130"/>
        <v>154.12457059019991</v>
      </c>
      <c r="U22" s="40">
        <f t="shared" ca="1" si="130"/>
        <v>217.10834247817166</v>
      </c>
      <c r="V22" s="40">
        <f t="shared" ca="1" si="130"/>
        <v>257.52322987737966</v>
      </c>
      <c r="W22" s="40">
        <f t="shared" ca="1" si="126"/>
        <v>463.92397060928477</v>
      </c>
      <c r="X22" s="40">
        <f t="shared" ca="1" si="126"/>
        <v>657.27369507132971</v>
      </c>
      <c r="Y22" s="40">
        <f t="shared" ca="1" si="126"/>
        <v>860.97049596831903</v>
      </c>
      <c r="Z22" s="40">
        <f t="shared" ca="1" si="126"/>
        <v>1128.4442244381887</v>
      </c>
      <c r="AA22" s="40">
        <f t="shared" ca="1" si="126"/>
        <v>1488.5729579178396</v>
      </c>
      <c r="AB22" s="40">
        <f t="shared" ca="1" si="126"/>
        <v>1816.795201345484</v>
      </c>
      <c r="AC22" s="40">
        <f t="shared" ca="1" si="126"/>
        <v>2221.6290734290756</v>
      </c>
      <c r="AD22" s="40">
        <f t="shared" ca="1" si="126"/>
        <v>2827.5279116370057</v>
      </c>
      <c r="AE22" s="40">
        <f t="shared" ca="1" si="126"/>
        <v>3534.4098895462571</v>
      </c>
      <c r="AF22" s="40">
        <f t="shared" ca="1" si="126"/>
        <v>4418.0123619328215</v>
      </c>
      <c r="AG22" s="40">
        <f t="shared" ca="1" si="126"/>
        <v>5522.5154524160262</v>
      </c>
      <c r="AH22" s="40">
        <f t="shared" ca="1" si="126"/>
        <v>6903.1443155200332</v>
      </c>
      <c r="AI22" s="40">
        <f t="shared" ca="1" si="126"/>
        <v>8628.9303944000403</v>
      </c>
      <c r="AJ22" s="40">
        <f t="shared" ca="1" si="126"/>
        <v>10786.162993000051</v>
      </c>
      <c r="AK22" s="40">
        <f t="shared" ca="1" si="126"/>
        <v>13482.703741250065</v>
      </c>
      <c r="AL22" s="40">
        <f t="shared" ca="1" si="126"/>
        <v>16853.379676562581</v>
      </c>
      <c r="AM22" s="40">
        <f t="shared" ca="1" si="126"/>
        <v>21066.724595703225</v>
      </c>
      <c r="AN22" s="40">
        <f t="shared" ca="1" si="126"/>
        <v>26333.405744629032</v>
      </c>
      <c r="AO22" s="40">
        <f t="shared" ca="1" si="126"/>
        <v>32916.757180786291</v>
      </c>
      <c r="AP22" s="40">
        <f t="shared" ca="1" si="126"/>
        <v>41145.946475982862</v>
      </c>
      <c r="AQ22" s="40">
        <f t="shared" ca="1" si="126"/>
        <v>51432.43309497858</v>
      </c>
      <c r="AR22" s="40">
        <f t="shared" ca="1" si="126"/>
        <v>64290.541368723221</v>
      </c>
      <c r="AS22" s="40">
        <f t="shared" ca="1" si="126"/>
        <v>80363.176710904023</v>
      </c>
      <c r="AT22" s="40">
        <f t="shared" ca="1" si="126"/>
        <v>100453.97088863004</v>
      </c>
      <c r="AU22" s="40">
        <f t="shared" ca="1" si="126"/>
        <v>125567.46361078756</v>
      </c>
      <c r="AV22" s="40">
        <f t="shared" ca="1" si="126"/>
        <v>156959.32951348444</v>
      </c>
      <c r="AW22" s="40">
        <f t="shared" ca="1" si="126"/>
        <v>196199.16189185553</v>
      </c>
      <c r="AX22" s="40">
        <f t="shared" ca="1" si="126"/>
        <v>245248.95236481942</v>
      </c>
      <c r="AY22" s="40">
        <f t="shared" ca="1" si="126"/>
        <v>306561.19045602431</v>
      </c>
      <c r="AZ22" s="40">
        <f t="shared" ca="1" si="126"/>
        <v>383201.48807003041</v>
      </c>
      <c r="BA22" s="40">
        <f t="shared" ca="1" si="126"/>
        <v>479001.86008753796</v>
      </c>
      <c r="BB22" s="40">
        <f t="shared" ca="1" si="126"/>
        <v>598752.32510942244</v>
      </c>
      <c r="BC22" s="40">
        <f t="shared" ca="1" si="126"/>
        <v>748440.40638677811</v>
      </c>
      <c r="BD22" s="40">
        <f t="shared" ca="1" si="126"/>
        <v>935550.50798347255</v>
      </c>
      <c r="BE22" s="40">
        <f t="shared" ca="1" si="126"/>
        <v>1169438.1349793407</v>
      </c>
      <c r="BF22" s="40">
        <f t="shared" ca="1" si="126"/>
        <v>1461797.6687241758</v>
      </c>
      <c r="BG22" s="40">
        <f t="shared" ca="1" si="126"/>
        <v>1827247.0859052197</v>
      </c>
      <c r="BH22" s="40">
        <f t="shared" ca="1" si="126"/>
        <v>2284058.8573815245</v>
      </c>
      <c r="BI22" s="40">
        <f t="shared" ca="1" si="126"/>
        <v>2855073.5717269056</v>
      </c>
      <c r="BJ22" s="40">
        <f t="shared" ca="1" si="126"/>
        <v>3568841.9646586319</v>
      </c>
      <c r="BK22" s="40">
        <f t="shared" ca="1" si="126"/>
        <v>4461052.4558232902</v>
      </c>
      <c r="BL22" s="40">
        <f t="shared" ca="1" si="126"/>
        <v>4773393.3520086836</v>
      </c>
      <c r="BM22" s="40">
        <f t="shared" ca="1" si="126"/>
        <v>4773393.3520086836</v>
      </c>
      <c r="BN22" s="40">
        <f t="shared" ca="1" si="126"/>
        <v>4773393.3520086836</v>
      </c>
      <c r="BO22" s="40">
        <f t="shared" ca="1" si="126"/>
        <v>4773393.3520086836</v>
      </c>
      <c r="BP22" s="40">
        <f t="shared" ca="1" si="126"/>
        <v>4773393.3520086836</v>
      </c>
      <c r="BQ22" s="40">
        <f t="shared" ca="1" si="126"/>
        <v>4773393.3520086836</v>
      </c>
      <c r="BR22" s="40">
        <f t="shared" ca="1" si="126"/>
        <v>4773393.3520086836</v>
      </c>
      <c r="BS22" s="40">
        <f t="shared" ca="1" si="126"/>
        <v>4773393.3520086836</v>
      </c>
      <c r="BT22" s="40">
        <f t="shared" ca="1" si="127"/>
        <v>4773393.3520086836</v>
      </c>
      <c r="BU22" s="40">
        <f t="shared" ca="1" si="127"/>
        <v>4773393.3520086836</v>
      </c>
      <c r="BV22" s="40">
        <f t="shared" ca="1" si="127"/>
        <v>4773393.3520086836</v>
      </c>
      <c r="BW22" s="40">
        <f t="shared" ca="1" si="127"/>
        <v>4773393.3520086836</v>
      </c>
      <c r="BX22" s="40">
        <f t="shared" ca="1" si="127"/>
        <v>4773393.3520086836</v>
      </c>
      <c r="BY22" s="40">
        <f t="shared" ca="1" si="127"/>
        <v>4773393.3520086836</v>
      </c>
      <c r="BZ22" s="40">
        <f t="shared" ca="1" si="127"/>
        <v>4773393.3520086836</v>
      </c>
      <c r="CA22" s="40">
        <f t="shared" ca="1" si="127"/>
        <v>4773393.3520086836</v>
      </c>
      <c r="CB22" s="40">
        <f t="shared" ca="1" si="127"/>
        <v>4773393.3520086836</v>
      </c>
      <c r="CC22" s="40">
        <f t="shared" ca="1" si="127"/>
        <v>4773393.3520086836</v>
      </c>
      <c r="CD22" s="40">
        <f t="shared" ca="1" si="127"/>
        <v>4773393.3520086836</v>
      </c>
      <c r="CE22" s="40">
        <f t="shared" ca="1" si="127"/>
        <v>4773393.3520086836</v>
      </c>
      <c r="CF22" s="40">
        <f t="shared" ca="1" si="127"/>
        <v>4773393.3520086836</v>
      </c>
      <c r="CG22" s="40">
        <f t="shared" ca="1" si="127"/>
        <v>4773393.3520086836</v>
      </c>
      <c r="CH22" s="40">
        <f t="shared" ca="1" si="127"/>
        <v>4773393.3520086836</v>
      </c>
      <c r="CI22" s="40">
        <f t="shared" ca="1" si="127"/>
        <v>4773393.3520086836</v>
      </c>
      <c r="CJ22" s="40">
        <f t="shared" ca="1" si="127"/>
        <v>4773393.3520086836</v>
      </c>
      <c r="CK22" s="40">
        <f t="shared" ca="1" si="127"/>
        <v>4773393.3520086836</v>
      </c>
      <c r="CL22" s="40">
        <f t="shared" ca="1" si="127"/>
        <v>4773393.3520086836</v>
      </c>
      <c r="CM22" s="40">
        <f t="shared" ca="1" si="127"/>
        <v>4773393.3520086836</v>
      </c>
      <c r="CN22" s="40">
        <f t="shared" ca="1" si="127"/>
        <v>4773393.3520086836</v>
      </c>
      <c r="CO22" s="40">
        <f t="shared" ca="1" si="127"/>
        <v>4773393.3520086836</v>
      </c>
      <c r="CP22" s="40">
        <f t="shared" ca="1" si="127"/>
        <v>4773393.3520086836</v>
      </c>
      <c r="CQ22" s="40">
        <f t="shared" ca="1" si="127"/>
        <v>4773393.3520086836</v>
      </c>
      <c r="CR22" s="40">
        <f t="shared" ca="1" si="127"/>
        <v>4773393.3520086836</v>
      </c>
      <c r="CS22" s="40">
        <f t="shared" ca="1" si="127"/>
        <v>4773393.3520086836</v>
      </c>
      <c r="CT22" s="40">
        <f t="shared" ca="1" si="127"/>
        <v>4773393.3520086836</v>
      </c>
      <c r="CU22" s="40">
        <f t="shared" ca="1" si="127"/>
        <v>4773393.3520086836</v>
      </c>
      <c r="CV22" s="40">
        <f t="shared" ca="1" si="127"/>
        <v>4773393.3520086836</v>
      </c>
      <c r="CW22" s="40">
        <f t="shared" ca="1" si="127"/>
        <v>4773393.3520086836</v>
      </c>
      <c r="CX22" s="40">
        <f t="shared" ca="1" si="127"/>
        <v>4773393.3520086836</v>
      </c>
      <c r="CY22" s="40">
        <f t="shared" ca="1" si="127"/>
        <v>4773393.3520086836</v>
      </c>
      <c r="CZ22" s="40">
        <f t="shared" ca="1" si="127"/>
        <v>4773393.3520086836</v>
      </c>
      <c r="DA22" s="40">
        <f t="shared" ca="1" si="127"/>
        <v>4773393.3520086836</v>
      </c>
      <c r="DB22" s="40">
        <f t="shared" ca="1" si="127"/>
        <v>4773393.3520086836</v>
      </c>
      <c r="DC22" s="40">
        <f t="shared" ca="1" si="127"/>
        <v>4773393.3520086836</v>
      </c>
      <c r="DD22" s="40">
        <f t="shared" ca="1" si="127"/>
        <v>4773393.3520086836</v>
      </c>
      <c r="DE22" s="40">
        <f t="shared" ca="1" si="127"/>
        <v>4773393.3520086836</v>
      </c>
      <c r="DF22" s="40">
        <f t="shared" ca="1" si="127"/>
        <v>4773393.3520086836</v>
      </c>
      <c r="DG22" s="40">
        <f t="shared" ca="1" si="127"/>
        <v>4773393.3520086836</v>
      </c>
      <c r="DH22" s="40">
        <f t="shared" ca="1" si="127"/>
        <v>4773393.3520086836</v>
      </c>
      <c r="DI22" s="40">
        <f t="shared" ca="1" si="127"/>
        <v>4773393.3520086836</v>
      </c>
      <c r="DJ22" s="40">
        <f t="shared" ca="1" si="127"/>
        <v>4773393.3520086836</v>
      </c>
      <c r="DK22" s="40">
        <f t="shared" ca="1" si="127"/>
        <v>4773393.3520086836</v>
      </c>
      <c r="DL22" s="40">
        <f t="shared" ca="1" si="127"/>
        <v>4773393.3520086836</v>
      </c>
      <c r="DM22" s="40">
        <f t="shared" ca="1" si="127"/>
        <v>4773393.3520086836</v>
      </c>
      <c r="DN22" s="40">
        <f t="shared" ca="1" si="127"/>
        <v>4773393.3520086836</v>
      </c>
      <c r="DO22" s="40">
        <f t="shared" ca="1" si="127"/>
        <v>4773393.3520086836</v>
      </c>
      <c r="DP22" s="40">
        <f t="shared" ca="1" si="127"/>
        <v>4773393.3520086836</v>
      </c>
      <c r="DQ22" s="40">
        <f t="shared" ca="1" si="127"/>
        <v>4773393.3520086836</v>
      </c>
      <c r="DR22" s="40">
        <f t="shared" ca="1" si="127"/>
        <v>4773393.3520086836</v>
      </c>
      <c r="DS22" s="40">
        <f t="shared" ca="1" si="127"/>
        <v>4773393.3520086836</v>
      </c>
      <c r="DT22" s="40">
        <f t="shared" ca="1" si="127"/>
        <v>4773393.3520086836</v>
      </c>
      <c r="DU22" s="40">
        <f t="shared" ca="1" si="127"/>
        <v>4773393.3520086836</v>
      </c>
      <c r="DV22" s="40">
        <f t="shared" ca="1" si="127"/>
        <v>4773393.3520086836</v>
      </c>
      <c r="DW22" s="40">
        <f t="shared" ca="1" si="127"/>
        <v>4773393.3520086836</v>
      </c>
      <c r="DX22" s="40">
        <f t="shared" ca="1" si="127"/>
        <v>4773393.3520086836</v>
      </c>
      <c r="DY22" s="40">
        <f t="shared" ca="1" si="127"/>
        <v>4773393.3520086836</v>
      </c>
      <c r="DZ22" s="40">
        <f t="shared" ca="1" si="127"/>
        <v>4773393.3520086836</v>
      </c>
      <c r="EA22" s="40">
        <f t="shared" ca="1" si="127"/>
        <v>4773393.3520086836</v>
      </c>
      <c r="EB22" s="40">
        <f t="shared" ca="1" si="127"/>
        <v>4773393.3520086836</v>
      </c>
      <c r="EC22" s="40">
        <f t="shared" ca="1" si="127"/>
        <v>4773393.3520086836</v>
      </c>
      <c r="ED22" s="40">
        <f t="shared" ca="1" si="127"/>
        <v>4773393.3520086836</v>
      </c>
      <c r="EE22" s="40">
        <f t="shared" ca="1" si="127"/>
        <v>4773393.3520086836</v>
      </c>
      <c r="EF22" s="40">
        <f t="shared" ca="1" si="128"/>
        <v>4773393.3520086836</v>
      </c>
      <c r="EG22" s="40">
        <f t="shared" ca="1" si="128"/>
        <v>4773393.3520086836</v>
      </c>
      <c r="EH22" s="40">
        <f t="shared" ca="1" si="128"/>
        <v>4773393.3520086836</v>
      </c>
      <c r="EI22" s="40">
        <f t="shared" ca="1" si="128"/>
        <v>4773393.3520086836</v>
      </c>
      <c r="EJ22" s="40">
        <f t="shared" ca="1" si="128"/>
        <v>4773393.3520086836</v>
      </c>
      <c r="EK22" s="40">
        <f t="shared" ca="1" si="128"/>
        <v>4773393.3520086836</v>
      </c>
      <c r="EL22" s="40">
        <f t="shared" ca="1" si="128"/>
        <v>4773393.3520086836</v>
      </c>
      <c r="EM22" s="40">
        <f t="shared" ca="1" si="128"/>
        <v>4773393.3520086836</v>
      </c>
      <c r="EN22" s="40">
        <f t="shared" ca="1" si="128"/>
        <v>4773393.3520086836</v>
      </c>
      <c r="EO22" s="40">
        <f t="shared" ca="1" si="128"/>
        <v>4773393.3520086836</v>
      </c>
      <c r="EP22" s="40">
        <f t="shared" ca="1" si="128"/>
        <v>4773393.3520086836</v>
      </c>
      <c r="EQ22" s="40">
        <f t="shared" ca="1" si="128"/>
        <v>4773393.3520086836</v>
      </c>
      <c r="ER22" s="40">
        <f t="shared" ca="1" si="128"/>
        <v>4773393.3520086836</v>
      </c>
      <c r="ES22" s="40">
        <f t="shared" ca="1" si="128"/>
        <v>4773393.3520086836</v>
      </c>
      <c r="ET22" s="40">
        <f t="shared" ca="1" si="128"/>
        <v>4773393.3520086836</v>
      </c>
      <c r="EU22" s="40">
        <f t="shared" ca="1" si="128"/>
        <v>4773393.3520086836</v>
      </c>
      <c r="EV22" s="40">
        <f t="shared" ca="1" si="128"/>
        <v>4773393.3520086836</v>
      </c>
      <c r="EW22" s="40">
        <f t="shared" ca="1" si="128"/>
        <v>4773393.3520086836</v>
      </c>
      <c r="EX22" s="40">
        <f t="shared" ca="1" si="128"/>
        <v>4773393.3520086836</v>
      </c>
      <c r="EY22" s="40">
        <f t="shared" ca="1" si="128"/>
        <v>4773393.3520086836</v>
      </c>
      <c r="EZ22" s="40">
        <f t="shared" ca="1" si="128"/>
        <v>4773393.3520086836</v>
      </c>
      <c r="FA22" s="40">
        <f t="shared" ca="1" si="128"/>
        <v>4773393.3520086836</v>
      </c>
      <c r="FB22" s="40">
        <f t="shared" ca="1" si="128"/>
        <v>4773393.3520086836</v>
      </c>
      <c r="FC22" s="40">
        <f t="shared" ca="1" si="128"/>
        <v>4773393.3520086836</v>
      </c>
      <c r="FD22" s="40">
        <f t="shared" ca="1" si="128"/>
        <v>4773393.3520086836</v>
      </c>
      <c r="FE22" s="40">
        <f t="shared" ca="1" si="128"/>
        <v>4773393.3520086836</v>
      </c>
      <c r="FF22" s="40">
        <f t="shared" ca="1" si="128"/>
        <v>4773393.3520086836</v>
      </c>
      <c r="FG22" s="40">
        <f t="shared" ca="1" si="128"/>
        <v>4773393.3520086836</v>
      </c>
      <c r="FH22" s="40">
        <f t="shared" ca="1" si="128"/>
        <v>4773393.3520086836</v>
      </c>
      <c r="FI22" s="40">
        <f t="shared" ca="1" si="128"/>
        <v>4773393.3520086836</v>
      </c>
      <c r="FJ22" s="40">
        <f t="shared" ca="1" si="128"/>
        <v>4773393.3520086836</v>
      </c>
      <c r="FK22" s="40">
        <f t="shared" ca="1" si="128"/>
        <v>4773393.3520086836</v>
      </c>
      <c r="FL22" s="40">
        <f t="shared" ca="1" si="128"/>
        <v>4773393.3520086836</v>
      </c>
      <c r="FM22" s="40">
        <f t="shared" ca="1" si="128"/>
        <v>4773393.3520086836</v>
      </c>
      <c r="FN22" s="40">
        <f t="shared" ca="1" si="128"/>
        <v>4773393.3520086836</v>
      </c>
      <c r="FO22" s="40">
        <f t="shared" ca="1" si="128"/>
        <v>4773393.3520086836</v>
      </c>
      <c r="FP22" s="40">
        <f t="shared" ca="1" si="128"/>
        <v>4773393.3520086836</v>
      </c>
      <c r="FQ22" s="40">
        <f t="shared" ca="1" si="128"/>
        <v>4773393.3520086836</v>
      </c>
      <c r="FR22" s="40">
        <f t="shared" ca="1" si="128"/>
        <v>4773393.3520086836</v>
      </c>
      <c r="FS22" s="40">
        <f t="shared" ca="1" si="128"/>
        <v>4773393.3520086836</v>
      </c>
      <c r="FT22" s="40">
        <f t="shared" ca="1" si="128"/>
        <v>4773393.3520086836</v>
      </c>
      <c r="FU22" s="40">
        <f t="shared" ca="1" si="128"/>
        <v>4773393.3520086836</v>
      </c>
      <c r="FV22" s="40">
        <f t="shared" ca="1" si="128"/>
        <v>4773393.3520086836</v>
      </c>
      <c r="FW22" s="40">
        <f t="shared" ca="1" si="128"/>
        <v>4773393.3520086836</v>
      </c>
      <c r="FX22" s="40">
        <f t="shared" ca="1" si="128"/>
        <v>4773393.3520086836</v>
      </c>
      <c r="FY22" s="40">
        <f t="shared" ca="1" si="128"/>
        <v>4773393.3520086836</v>
      </c>
      <c r="FZ22" s="40">
        <f t="shared" ca="1" si="128"/>
        <v>4773393.3520086836</v>
      </c>
      <c r="GA22" s="40">
        <f t="shared" ca="1" si="128"/>
        <v>4773393.3520086836</v>
      </c>
      <c r="GB22" s="40">
        <f t="shared" ca="1" si="128"/>
        <v>4773393.3520086836</v>
      </c>
      <c r="GC22" s="40">
        <f t="shared" ca="1" si="128"/>
        <v>4773393.3520086836</v>
      </c>
      <c r="GD22" s="40">
        <f t="shared" ca="1" si="128"/>
        <v>4773393.3520086836</v>
      </c>
      <c r="GE22" s="40">
        <f t="shared" ca="1" si="128"/>
        <v>4773393.3520086836</v>
      </c>
      <c r="GF22" s="40">
        <f t="shared" ca="1" si="128"/>
        <v>4773393.3520086836</v>
      </c>
      <c r="GG22" s="40">
        <f t="shared" ca="1" si="128"/>
        <v>4773393.3520086836</v>
      </c>
      <c r="GH22" s="40">
        <f t="shared" ca="1" si="128"/>
        <v>4773393.3520086836</v>
      </c>
      <c r="GI22" s="40">
        <f t="shared" ca="1" si="128"/>
        <v>4773393.3520086836</v>
      </c>
      <c r="GJ22" s="40">
        <f t="shared" ca="1" si="128"/>
        <v>4773393.3520086836</v>
      </c>
      <c r="GK22" s="40">
        <f t="shared" ca="1" si="128"/>
        <v>4773393.3520086836</v>
      </c>
      <c r="GL22" s="40">
        <f t="shared" ca="1" si="128"/>
        <v>4773393.3520086836</v>
      </c>
      <c r="GM22" s="40">
        <f t="shared" ca="1" si="128"/>
        <v>4773393.3520086836</v>
      </c>
      <c r="GN22" s="40">
        <f t="shared" ca="1" si="128"/>
        <v>4773393.3520086836</v>
      </c>
      <c r="GO22" s="40">
        <f t="shared" ca="1" si="128"/>
        <v>4773393.3520086836</v>
      </c>
      <c r="GP22" s="40">
        <f t="shared" ca="1" si="128"/>
        <v>4773393.3520086836</v>
      </c>
      <c r="GQ22" s="40">
        <f t="shared" ca="1" si="128"/>
        <v>4773393.3520086836</v>
      </c>
      <c r="GR22" s="40">
        <f t="shared" ca="1" si="129"/>
        <v>4773393.3520086836</v>
      </c>
      <c r="GS22" s="40">
        <f t="shared" ca="1" si="129"/>
        <v>4773393.3520086836</v>
      </c>
      <c r="GT22" s="40">
        <f t="shared" ca="1" si="129"/>
        <v>4773393.3520086836</v>
      </c>
      <c r="GU22" s="40">
        <f t="shared" ca="1" si="129"/>
        <v>4773393.3520086836</v>
      </c>
      <c r="GV22" s="40">
        <f t="shared" ca="1" si="129"/>
        <v>4773393.3520086836</v>
      </c>
      <c r="GW22" s="40">
        <f t="shared" ca="1" si="129"/>
        <v>4773393.3520086836</v>
      </c>
      <c r="GX22" s="40">
        <f t="shared" ca="1" si="129"/>
        <v>4773393.3520086836</v>
      </c>
      <c r="GY22" s="40">
        <f t="shared" ca="1" si="129"/>
        <v>4773393.3520086836</v>
      </c>
      <c r="GZ22" s="40">
        <f t="shared" ca="1" si="129"/>
        <v>4773393.3520086836</v>
      </c>
      <c r="HA22" s="40">
        <f t="shared" ca="1" si="129"/>
        <v>4773393.3520086836</v>
      </c>
      <c r="HB22" s="40">
        <f t="shared" ca="1" si="129"/>
        <v>4773393.3520086836</v>
      </c>
      <c r="HC22" s="40">
        <f t="shared" ca="1" si="129"/>
        <v>4773393.3520086836</v>
      </c>
      <c r="HD22" s="40">
        <f t="shared" ca="1" si="129"/>
        <v>4773393.3520086836</v>
      </c>
      <c r="HE22" s="40">
        <f t="shared" ca="1" si="129"/>
        <v>4773393.3520086836</v>
      </c>
      <c r="HF22" s="40">
        <f t="shared" ca="1" si="129"/>
        <v>4773393.3520086836</v>
      </c>
      <c r="HG22" s="40">
        <f t="shared" ca="1" si="129"/>
        <v>4773393.3520086836</v>
      </c>
      <c r="HH22" s="40">
        <f t="shared" ca="1" si="129"/>
        <v>4773393.3520086836</v>
      </c>
      <c r="HI22" s="40">
        <f t="shared" ca="1" si="129"/>
        <v>4773393.3520086836</v>
      </c>
      <c r="HJ22" s="40">
        <f t="shared" ca="1" si="129"/>
        <v>4773393.3520086836</v>
      </c>
      <c r="HK22" s="40">
        <f t="shared" ca="1" si="129"/>
        <v>4773393.3520086836</v>
      </c>
      <c r="HL22" s="40">
        <f t="shared" ca="1" si="129"/>
        <v>4773393.3520086836</v>
      </c>
      <c r="HM22" s="40">
        <f t="shared" ca="1" si="129"/>
        <v>4773393.3520086836</v>
      </c>
      <c r="HN22" s="40">
        <f t="shared" ca="1" si="129"/>
        <v>4773393.3520086836</v>
      </c>
      <c r="HO22" s="40">
        <f t="shared" ca="1" si="129"/>
        <v>4773393.3520086836</v>
      </c>
      <c r="HP22" s="40">
        <f t="shared" ca="1" si="129"/>
        <v>4773393.3520086836</v>
      </c>
      <c r="HQ22" s="40">
        <f t="shared" ca="1" si="129"/>
        <v>4773393.3520086836</v>
      </c>
      <c r="HR22" s="40">
        <f t="shared" ca="1" si="129"/>
        <v>4773393.3520086836</v>
      </c>
      <c r="HS22" s="40">
        <f t="shared" ca="1" si="129"/>
        <v>4773393.3520086836</v>
      </c>
      <c r="HT22" s="40">
        <f t="shared" ca="1" si="129"/>
        <v>4773393.3520086836</v>
      </c>
      <c r="HU22" s="40">
        <f t="shared" ca="1" si="129"/>
        <v>4773393.3520086836</v>
      </c>
      <c r="HV22" s="40">
        <f t="shared" ca="1" si="129"/>
        <v>4773393.3520086836</v>
      </c>
      <c r="HW22" s="40">
        <f t="shared" ca="1" si="129"/>
        <v>4773393.3520086836</v>
      </c>
      <c r="HX22" s="40">
        <f t="shared" ca="1" si="129"/>
        <v>4773393.3520086836</v>
      </c>
      <c r="HY22" s="40">
        <f t="shared" ca="1" si="129"/>
        <v>4773393.3520086836</v>
      </c>
      <c r="HZ22" s="40">
        <f t="shared" ca="1" si="129"/>
        <v>4773393.3520086836</v>
      </c>
      <c r="IA22" s="40">
        <f t="shared" ca="1" si="129"/>
        <v>4773393.3520086836</v>
      </c>
      <c r="IB22" s="40">
        <f t="shared" ca="1" si="129"/>
        <v>4773393.3520086836</v>
      </c>
      <c r="IC22" s="40">
        <f t="shared" ca="1" si="129"/>
        <v>4773393.3520086836</v>
      </c>
      <c r="ID22" s="40">
        <f t="shared" ca="1" si="129"/>
        <v>4773393.3520086836</v>
      </c>
      <c r="IE22" s="40">
        <f t="shared" ca="1" si="129"/>
        <v>4773393.3520086836</v>
      </c>
      <c r="IF22" s="40">
        <f t="shared" ca="1" si="129"/>
        <v>4773393.3520086836</v>
      </c>
      <c r="IG22" s="40">
        <f t="shared" ca="1" si="129"/>
        <v>4773393.3520086836</v>
      </c>
      <c r="IH22" s="40">
        <f t="shared" ca="1" si="129"/>
        <v>4773393.3520086836</v>
      </c>
      <c r="II22" s="40">
        <f t="shared" ca="1" si="129"/>
        <v>4773393.3520086836</v>
      </c>
      <c r="IJ22" s="40">
        <f t="shared" ca="1" si="129"/>
        <v>4773393.3520086836</v>
      </c>
      <c r="IK22" s="40">
        <f t="shared" ca="1" si="129"/>
        <v>4773393.3520086836</v>
      </c>
      <c r="IL22" s="40">
        <f t="shared" ca="1" si="129"/>
        <v>4773393.3520086836</v>
      </c>
      <c r="IM22" s="40">
        <f t="shared" ca="1" si="129"/>
        <v>4773393.3520086836</v>
      </c>
      <c r="IN22" s="40">
        <f t="shared" ca="1" si="129"/>
        <v>4773393.3520086836</v>
      </c>
    </row>
    <row r="23" spans="2:248" x14ac:dyDescent="0.3">
      <c r="B23" s="19" t="s">
        <v>500</v>
      </c>
      <c r="C23" s="54">
        <f>IF(VLOOKUP(B2,Country_Data!C:I,7,FALSE)="","Not initiated",VLOOKUP(B2,Country_Data!C:I,7,FALSE))</f>
        <v>43904</v>
      </c>
      <c r="F23" s="19" t="s">
        <v>494</v>
      </c>
      <c r="G23" s="40">
        <f t="shared" si="130"/>
        <v>4.2541986736008397</v>
      </c>
      <c r="H23" s="40">
        <f t="shared" ref="H23:BS23" ca="1" si="131">H12*$C$15</f>
        <v>5.3718271386993655</v>
      </c>
      <c r="I23" s="40">
        <f t="shared" ca="1" si="131"/>
        <v>7.7873467245574695</v>
      </c>
      <c r="J23" s="40">
        <f t="shared" ca="1" si="131"/>
        <v>9.337605563242521</v>
      </c>
      <c r="K23" s="40">
        <f t="shared" ca="1" si="131"/>
        <v>14.276802328355361</v>
      </c>
      <c r="L23" s="40">
        <f t="shared" ca="1" si="131"/>
        <v>18.314685815162935</v>
      </c>
      <c r="M23" s="40">
        <f t="shared" ca="1" si="131"/>
        <v>20.622047807624408</v>
      </c>
      <c r="N23" s="40">
        <f t="shared" ca="1" si="131"/>
        <v>33.961484326542298</v>
      </c>
      <c r="O23" s="40">
        <f t="shared" ca="1" si="131"/>
        <v>45.281979102056397</v>
      </c>
      <c r="P23" s="40">
        <f t="shared" ca="1" si="131"/>
        <v>58.909835870031962</v>
      </c>
      <c r="Q23" s="40">
        <f t="shared" ca="1" si="131"/>
        <v>77.260574216327115</v>
      </c>
      <c r="R23" s="40">
        <f t="shared" ca="1" si="131"/>
        <v>88.256596211651313</v>
      </c>
      <c r="S23" s="40">
        <f t="shared" ca="1" si="131"/>
        <v>117.78361920893173</v>
      </c>
      <c r="T23" s="40">
        <f t="shared" ca="1" si="131"/>
        <v>154.12457059019991</v>
      </c>
      <c r="U23" s="40">
        <f t="shared" ca="1" si="131"/>
        <v>217.10834247817166</v>
      </c>
      <c r="V23" s="40">
        <f t="shared" ca="1" si="131"/>
        <v>257.52322987737966</v>
      </c>
      <c r="W23" s="40">
        <f t="shared" ca="1" si="131"/>
        <v>463.92397060928477</v>
      </c>
      <c r="X23" s="40">
        <f t="shared" ca="1" si="131"/>
        <v>657.27369507132971</v>
      </c>
      <c r="Y23" s="40">
        <f t="shared" ca="1" si="131"/>
        <v>860.97049596831903</v>
      </c>
      <c r="Z23" s="40">
        <f t="shared" ca="1" si="131"/>
        <v>1128.4442244381887</v>
      </c>
      <c r="AA23" s="40">
        <f t="shared" ca="1" si="131"/>
        <v>1488.5729579178396</v>
      </c>
      <c r="AB23" s="40">
        <f t="shared" ca="1" si="131"/>
        <v>1816.795201345484</v>
      </c>
      <c r="AC23" s="40">
        <f t="shared" ca="1" si="131"/>
        <v>2221.6290734290756</v>
      </c>
      <c r="AD23" s="40">
        <f t="shared" ca="1" si="131"/>
        <v>2827.5279116370057</v>
      </c>
      <c r="AE23" s="40">
        <f t="shared" ca="1" si="131"/>
        <v>3958.5390762918078</v>
      </c>
      <c r="AF23" s="40">
        <f t="shared" ca="1" si="131"/>
        <v>5541.9547068085303</v>
      </c>
      <c r="AG23" s="40">
        <f t="shared" ca="1" si="131"/>
        <v>7758.7365895319408</v>
      </c>
      <c r="AH23" s="40">
        <f t="shared" ca="1" si="131"/>
        <v>10862.231225344716</v>
      </c>
      <c r="AI23" s="40">
        <f t="shared" ca="1" si="131"/>
        <v>15207.123715482601</v>
      </c>
      <c r="AJ23" s="40">
        <f t="shared" ca="1" si="131"/>
        <v>21289.973201675639</v>
      </c>
      <c r="AK23" s="40">
        <f t="shared" ca="1" si="131"/>
        <v>29805.962482345891</v>
      </c>
      <c r="AL23" s="40">
        <f t="shared" ca="1" si="131"/>
        <v>41728.347475284245</v>
      </c>
      <c r="AM23" s="40">
        <f t="shared" ca="1" si="131"/>
        <v>58419.686465397943</v>
      </c>
      <c r="AN23" s="40">
        <f t="shared" ca="1" si="131"/>
        <v>81787.561051557102</v>
      </c>
      <c r="AO23" s="40">
        <f t="shared" ca="1" si="131"/>
        <v>114502.58547217994</v>
      </c>
      <c r="AP23" s="40">
        <f t="shared" ca="1" si="131"/>
        <v>160303.61966105193</v>
      </c>
      <c r="AQ23" s="40">
        <f t="shared" ca="1" si="131"/>
        <v>224425.0675254727</v>
      </c>
      <c r="AR23" s="40">
        <f t="shared" ca="1" si="131"/>
        <v>314195.09453566174</v>
      </c>
      <c r="AS23" s="40">
        <f t="shared" ca="1" si="131"/>
        <v>439873.1323499264</v>
      </c>
      <c r="AT23" s="40">
        <f t="shared" ca="1" si="131"/>
        <v>615822.38528989686</v>
      </c>
      <c r="AU23" s="40">
        <f t="shared" ca="1" si="131"/>
        <v>862151.33940585551</v>
      </c>
      <c r="AV23" s="40">
        <f t="shared" ca="1" si="131"/>
        <v>1207011.8751681976</v>
      </c>
      <c r="AW23" s="40">
        <f t="shared" ca="1" si="131"/>
        <v>1689816.6252354765</v>
      </c>
      <c r="AX23" s="40">
        <f t="shared" ca="1" si="131"/>
        <v>2365743.2753296667</v>
      </c>
      <c r="AY23" s="40">
        <f t="shared" ca="1" si="131"/>
        <v>3312040.5854615336</v>
      </c>
      <c r="AZ23" s="40">
        <f t="shared" ca="1" si="131"/>
        <v>4636856.8196461471</v>
      </c>
      <c r="BA23" s="40">
        <f t="shared" ca="1" si="131"/>
        <v>4773393.3520086836</v>
      </c>
      <c r="BB23" s="40">
        <f t="shared" ca="1" si="131"/>
        <v>4773393.3520086836</v>
      </c>
      <c r="BC23" s="40">
        <f t="shared" ca="1" si="131"/>
        <v>4773393.3520086836</v>
      </c>
      <c r="BD23" s="40">
        <f t="shared" ca="1" si="131"/>
        <v>4773393.3520086836</v>
      </c>
      <c r="BE23" s="40">
        <f t="shared" ca="1" si="131"/>
        <v>4773393.3520086836</v>
      </c>
      <c r="BF23" s="40">
        <f t="shared" ca="1" si="131"/>
        <v>4773393.3520086836</v>
      </c>
      <c r="BG23" s="40">
        <f t="shared" ca="1" si="131"/>
        <v>4773393.3520086836</v>
      </c>
      <c r="BH23" s="40">
        <f t="shared" ca="1" si="131"/>
        <v>4773393.3520086836</v>
      </c>
      <c r="BI23" s="40">
        <f t="shared" ca="1" si="131"/>
        <v>4773393.3520086836</v>
      </c>
      <c r="BJ23" s="40">
        <f t="shared" ca="1" si="131"/>
        <v>4773393.3520086836</v>
      </c>
      <c r="BK23" s="40">
        <f t="shared" ca="1" si="131"/>
        <v>4773393.3520086836</v>
      </c>
      <c r="BL23" s="40">
        <f t="shared" ca="1" si="131"/>
        <v>4773393.3520086836</v>
      </c>
      <c r="BM23" s="40">
        <f t="shared" ca="1" si="131"/>
        <v>4773393.3520086836</v>
      </c>
      <c r="BN23" s="40">
        <f t="shared" ca="1" si="131"/>
        <v>4773393.3520086836</v>
      </c>
      <c r="BO23" s="40">
        <f t="shared" ca="1" si="131"/>
        <v>4773393.3520086836</v>
      </c>
      <c r="BP23" s="40">
        <f t="shared" ca="1" si="131"/>
        <v>4773393.3520086836</v>
      </c>
      <c r="BQ23" s="40">
        <f t="shared" ca="1" si="131"/>
        <v>4773393.3520086836</v>
      </c>
      <c r="BR23" s="40">
        <f t="shared" ca="1" si="131"/>
        <v>4773393.3520086836</v>
      </c>
      <c r="BS23" s="40">
        <f t="shared" ca="1" si="131"/>
        <v>4773393.3520086836</v>
      </c>
      <c r="BT23" s="40">
        <f t="shared" ca="1" si="127"/>
        <v>4773393.3520086836</v>
      </c>
      <c r="BU23" s="40">
        <f t="shared" ca="1" si="127"/>
        <v>4773393.3520086836</v>
      </c>
      <c r="BV23" s="40">
        <f t="shared" ca="1" si="127"/>
        <v>4773393.3520086836</v>
      </c>
      <c r="BW23" s="40">
        <f t="shared" ca="1" si="127"/>
        <v>4773393.3520086836</v>
      </c>
      <c r="BX23" s="40">
        <f t="shared" ca="1" si="127"/>
        <v>4773393.3520086836</v>
      </c>
      <c r="BY23" s="40">
        <f t="shared" ca="1" si="127"/>
        <v>4773393.3520086836</v>
      </c>
      <c r="BZ23" s="40">
        <f t="shared" ca="1" si="127"/>
        <v>4773393.3520086836</v>
      </c>
      <c r="CA23" s="40">
        <f t="shared" ca="1" si="127"/>
        <v>4773393.3520086836</v>
      </c>
      <c r="CB23" s="40">
        <f t="shared" ca="1" si="127"/>
        <v>4773393.3520086836</v>
      </c>
      <c r="CC23" s="40">
        <f t="shared" ca="1" si="127"/>
        <v>4773393.3520086836</v>
      </c>
      <c r="CD23" s="40">
        <f t="shared" ca="1" si="127"/>
        <v>4773393.3520086836</v>
      </c>
      <c r="CE23" s="40">
        <f t="shared" ca="1" si="127"/>
        <v>4773393.3520086836</v>
      </c>
      <c r="CF23" s="40">
        <f t="shared" ca="1" si="127"/>
        <v>4773393.3520086836</v>
      </c>
      <c r="CG23" s="40">
        <f t="shared" ca="1" si="127"/>
        <v>4773393.3520086836</v>
      </c>
      <c r="CH23" s="40">
        <f t="shared" ca="1" si="127"/>
        <v>4773393.3520086836</v>
      </c>
      <c r="CI23" s="40">
        <f t="shared" ca="1" si="127"/>
        <v>4773393.3520086836</v>
      </c>
      <c r="CJ23" s="40">
        <f t="shared" ca="1" si="127"/>
        <v>4773393.3520086836</v>
      </c>
      <c r="CK23" s="40">
        <f t="shared" ca="1" si="127"/>
        <v>4773393.3520086836</v>
      </c>
      <c r="CL23" s="40">
        <f t="shared" ca="1" si="127"/>
        <v>4773393.3520086836</v>
      </c>
      <c r="CM23" s="40">
        <f t="shared" ca="1" si="127"/>
        <v>4773393.3520086836</v>
      </c>
      <c r="CN23" s="40">
        <f t="shared" ca="1" si="127"/>
        <v>4773393.3520086836</v>
      </c>
      <c r="CO23" s="40">
        <f t="shared" ca="1" si="127"/>
        <v>4773393.3520086836</v>
      </c>
      <c r="CP23" s="40">
        <f t="shared" ca="1" si="127"/>
        <v>4773393.3520086836</v>
      </c>
      <c r="CQ23" s="40">
        <f t="shared" ca="1" si="127"/>
        <v>4773393.3520086836</v>
      </c>
      <c r="CR23" s="40">
        <f t="shared" ca="1" si="127"/>
        <v>4773393.3520086836</v>
      </c>
      <c r="CS23" s="40">
        <f t="shared" ca="1" si="127"/>
        <v>4773393.3520086836</v>
      </c>
      <c r="CT23" s="40">
        <f t="shared" ca="1" si="127"/>
        <v>4773393.3520086836</v>
      </c>
      <c r="CU23" s="40">
        <f t="shared" ca="1" si="127"/>
        <v>4773393.3520086836</v>
      </c>
      <c r="CV23" s="40">
        <f t="shared" ca="1" si="127"/>
        <v>4773393.3520086836</v>
      </c>
      <c r="CW23" s="40">
        <f t="shared" ca="1" si="127"/>
        <v>4773393.3520086836</v>
      </c>
      <c r="CX23" s="40">
        <f t="shared" ca="1" si="127"/>
        <v>4773393.3520086836</v>
      </c>
      <c r="CY23" s="40">
        <f t="shared" ca="1" si="127"/>
        <v>4773393.3520086836</v>
      </c>
      <c r="CZ23" s="40">
        <f t="shared" ca="1" si="127"/>
        <v>4773393.3520086836</v>
      </c>
      <c r="DA23" s="40">
        <f t="shared" ca="1" si="127"/>
        <v>4773393.3520086836</v>
      </c>
      <c r="DB23" s="40">
        <f t="shared" ca="1" si="127"/>
        <v>4773393.3520086836</v>
      </c>
      <c r="DC23" s="40">
        <f t="shared" ca="1" si="127"/>
        <v>4773393.3520086836</v>
      </c>
      <c r="DD23" s="40">
        <f t="shared" ca="1" si="127"/>
        <v>4773393.3520086836</v>
      </c>
      <c r="DE23" s="40">
        <f t="shared" ca="1" si="127"/>
        <v>4773393.3520086836</v>
      </c>
      <c r="DF23" s="40">
        <f t="shared" ca="1" si="127"/>
        <v>4773393.3520086836</v>
      </c>
      <c r="DG23" s="40">
        <f t="shared" ca="1" si="127"/>
        <v>4773393.3520086836</v>
      </c>
      <c r="DH23" s="40">
        <f t="shared" ca="1" si="127"/>
        <v>4773393.3520086836</v>
      </c>
      <c r="DI23" s="40">
        <f t="shared" ca="1" si="127"/>
        <v>4773393.3520086836</v>
      </c>
      <c r="DJ23" s="40">
        <f t="shared" ca="1" si="127"/>
        <v>4773393.3520086836</v>
      </c>
      <c r="DK23" s="40">
        <f t="shared" ca="1" si="127"/>
        <v>4773393.3520086836</v>
      </c>
      <c r="DL23" s="40">
        <f t="shared" ca="1" si="127"/>
        <v>4773393.3520086836</v>
      </c>
      <c r="DM23" s="40">
        <f t="shared" ca="1" si="127"/>
        <v>4773393.3520086836</v>
      </c>
      <c r="DN23" s="40">
        <f t="shared" ca="1" si="127"/>
        <v>4773393.3520086836</v>
      </c>
      <c r="DO23" s="40">
        <f t="shared" ca="1" si="127"/>
        <v>4773393.3520086836</v>
      </c>
      <c r="DP23" s="40">
        <f t="shared" ca="1" si="127"/>
        <v>4773393.3520086836</v>
      </c>
      <c r="DQ23" s="40">
        <f t="shared" ca="1" si="127"/>
        <v>4773393.3520086836</v>
      </c>
      <c r="DR23" s="40">
        <f t="shared" ca="1" si="127"/>
        <v>4773393.3520086836</v>
      </c>
      <c r="DS23" s="40">
        <f t="shared" ca="1" si="127"/>
        <v>4773393.3520086836</v>
      </c>
      <c r="DT23" s="40">
        <f t="shared" ca="1" si="127"/>
        <v>4773393.3520086836</v>
      </c>
      <c r="DU23" s="40">
        <f t="shared" ca="1" si="127"/>
        <v>4773393.3520086836</v>
      </c>
      <c r="DV23" s="40">
        <f t="shared" ca="1" si="127"/>
        <v>4773393.3520086836</v>
      </c>
      <c r="DW23" s="40">
        <f t="shared" ca="1" si="127"/>
        <v>4773393.3520086836</v>
      </c>
      <c r="DX23" s="40">
        <f t="shared" ca="1" si="127"/>
        <v>4773393.3520086836</v>
      </c>
      <c r="DY23" s="40">
        <f t="shared" ca="1" si="127"/>
        <v>4773393.3520086836</v>
      </c>
      <c r="DZ23" s="40">
        <f t="shared" ca="1" si="127"/>
        <v>4773393.3520086836</v>
      </c>
      <c r="EA23" s="40">
        <f t="shared" ca="1" si="127"/>
        <v>4773393.3520086836</v>
      </c>
      <c r="EB23" s="40">
        <f t="shared" ca="1" si="127"/>
        <v>4773393.3520086836</v>
      </c>
      <c r="EC23" s="40">
        <f t="shared" ca="1" si="127"/>
        <v>4773393.3520086836</v>
      </c>
      <c r="ED23" s="40">
        <f t="shared" ca="1" si="127"/>
        <v>4773393.3520086836</v>
      </c>
      <c r="EE23" s="40">
        <f t="shared" ca="1" si="127"/>
        <v>4773393.3520086836</v>
      </c>
      <c r="EF23" s="40">
        <f t="shared" ca="1" si="128"/>
        <v>4773393.3520086836</v>
      </c>
      <c r="EG23" s="40">
        <f t="shared" ca="1" si="128"/>
        <v>4773393.3520086836</v>
      </c>
      <c r="EH23" s="40">
        <f t="shared" ca="1" si="128"/>
        <v>4773393.3520086836</v>
      </c>
      <c r="EI23" s="40">
        <f t="shared" ca="1" si="128"/>
        <v>4773393.3520086836</v>
      </c>
      <c r="EJ23" s="40">
        <f t="shared" ca="1" si="128"/>
        <v>4773393.3520086836</v>
      </c>
      <c r="EK23" s="40">
        <f t="shared" ca="1" si="128"/>
        <v>4773393.3520086836</v>
      </c>
      <c r="EL23" s="40">
        <f t="shared" ca="1" si="128"/>
        <v>4773393.3520086836</v>
      </c>
      <c r="EM23" s="40">
        <f t="shared" ca="1" si="128"/>
        <v>4773393.3520086836</v>
      </c>
      <c r="EN23" s="40">
        <f t="shared" ca="1" si="128"/>
        <v>4773393.3520086836</v>
      </c>
      <c r="EO23" s="40">
        <f t="shared" ca="1" si="128"/>
        <v>4773393.3520086836</v>
      </c>
      <c r="EP23" s="40">
        <f t="shared" ca="1" si="128"/>
        <v>4773393.3520086836</v>
      </c>
      <c r="EQ23" s="40">
        <f t="shared" ca="1" si="128"/>
        <v>4773393.3520086836</v>
      </c>
      <c r="ER23" s="40">
        <f t="shared" ca="1" si="128"/>
        <v>4773393.3520086836</v>
      </c>
      <c r="ES23" s="40">
        <f t="shared" ca="1" si="128"/>
        <v>4773393.3520086836</v>
      </c>
      <c r="ET23" s="40">
        <f t="shared" ca="1" si="128"/>
        <v>4773393.3520086836</v>
      </c>
      <c r="EU23" s="40">
        <f t="shared" ca="1" si="128"/>
        <v>4773393.3520086836</v>
      </c>
      <c r="EV23" s="40">
        <f t="shared" ca="1" si="128"/>
        <v>4773393.3520086836</v>
      </c>
      <c r="EW23" s="40">
        <f t="shared" ca="1" si="128"/>
        <v>4773393.3520086836</v>
      </c>
      <c r="EX23" s="40">
        <f t="shared" ca="1" si="128"/>
        <v>4773393.3520086836</v>
      </c>
      <c r="EY23" s="40">
        <f t="shared" ca="1" si="128"/>
        <v>4773393.3520086836</v>
      </c>
      <c r="EZ23" s="40">
        <f t="shared" ca="1" si="128"/>
        <v>4773393.3520086836</v>
      </c>
      <c r="FA23" s="40">
        <f t="shared" ca="1" si="128"/>
        <v>4773393.3520086836</v>
      </c>
      <c r="FB23" s="40">
        <f t="shared" ca="1" si="128"/>
        <v>4773393.3520086836</v>
      </c>
      <c r="FC23" s="40">
        <f t="shared" ca="1" si="128"/>
        <v>4773393.3520086836</v>
      </c>
      <c r="FD23" s="40">
        <f t="shared" ca="1" si="128"/>
        <v>4773393.3520086836</v>
      </c>
      <c r="FE23" s="40">
        <f t="shared" ca="1" si="128"/>
        <v>4773393.3520086836</v>
      </c>
      <c r="FF23" s="40">
        <f t="shared" ca="1" si="128"/>
        <v>4773393.3520086836</v>
      </c>
      <c r="FG23" s="40">
        <f t="shared" ca="1" si="128"/>
        <v>4773393.3520086836</v>
      </c>
      <c r="FH23" s="40">
        <f t="shared" ca="1" si="128"/>
        <v>4773393.3520086836</v>
      </c>
      <c r="FI23" s="40">
        <f t="shared" ca="1" si="128"/>
        <v>4773393.3520086836</v>
      </c>
      <c r="FJ23" s="40">
        <f t="shared" ca="1" si="128"/>
        <v>4773393.3520086836</v>
      </c>
      <c r="FK23" s="40">
        <f t="shared" ca="1" si="128"/>
        <v>4773393.3520086836</v>
      </c>
      <c r="FL23" s="40">
        <f t="shared" ca="1" si="128"/>
        <v>4773393.3520086836</v>
      </c>
      <c r="FM23" s="40">
        <f t="shared" ca="1" si="128"/>
        <v>4773393.3520086836</v>
      </c>
      <c r="FN23" s="40">
        <f t="shared" ca="1" si="128"/>
        <v>4773393.3520086836</v>
      </c>
      <c r="FO23" s="40">
        <f t="shared" ca="1" si="128"/>
        <v>4773393.3520086836</v>
      </c>
      <c r="FP23" s="40">
        <f t="shared" ca="1" si="128"/>
        <v>4773393.3520086836</v>
      </c>
      <c r="FQ23" s="40">
        <f t="shared" ca="1" si="128"/>
        <v>4773393.3520086836</v>
      </c>
      <c r="FR23" s="40">
        <f t="shared" ca="1" si="128"/>
        <v>4773393.3520086836</v>
      </c>
      <c r="FS23" s="40">
        <f t="shared" ca="1" si="128"/>
        <v>4773393.3520086836</v>
      </c>
      <c r="FT23" s="40">
        <f t="shared" ca="1" si="128"/>
        <v>4773393.3520086836</v>
      </c>
      <c r="FU23" s="40">
        <f t="shared" ca="1" si="128"/>
        <v>4773393.3520086836</v>
      </c>
      <c r="FV23" s="40">
        <f t="shared" ca="1" si="128"/>
        <v>4773393.3520086836</v>
      </c>
      <c r="FW23" s="40">
        <f t="shared" ca="1" si="128"/>
        <v>4773393.3520086836</v>
      </c>
      <c r="FX23" s="40">
        <f t="shared" ca="1" si="128"/>
        <v>4773393.3520086836</v>
      </c>
      <c r="FY23" s="40">
        <f t="shared" ca="1" si="128"/>
        <v>4773393.3520086836</v>
      </c>
      <c r="FZ23" s="40">
        <f t="shared" ca="1" si="128"/>
        <v>4773393.3520086836</v>
      </c>
      <c r="GA23" s="40">
        <f t="shared" ca="1" si="128"/>
        <v>4773393.3520086836</v>
      </c>
      <c r="GB23" s="40">
        <f t="shared" ca="1" si="128"/>
        <v>4773393.3520086836</v>
      </c>
      <c r="GC23" s="40">
        <f t="shared" ca="1" si="128"/>
        <v>4773393.3520086836</v>
      </c>
      <c r="GD23" s="40">
        <f t="shared" ca="1" si="128"/>
        <v>4773393.3520086836</v>
      </c>
      <c r="GE23" s="40">
        <f t="shared" ca="1" si="128"/>
        <v>4773393.3520086836</v>
      </c>
      <c r="GF23" s="40">
        <f t="shared" ca="1" si="128"/>
        <v>4773393.3520086836</v>
      </c>
      <c r="GG23" s="40">
        <f t="shared" ca="1" si="128"/>
        <v>4773393.3520086836</v>
      </c>
      <c r="GH23" s="40">
        <f t="shared" ca="1" si="128"/>
        <v>4773393.3520086836</v>
      </c>
      <c r="GI23" s="40">
        <f t="shared" ca="1" si="128"/>
        <v>4773393.3520086836</v>
      </c>
      <c r="GJ23" s="40">
        <f t="shared" ca="1" si="128"/>
        <v>4773393.3520086836</v>
      </c>
      <c r="GK23" s="40">
        <f t="shared" ca="1" si="128"/>
        <v>4773393.3520086836</v>
      </c>
      <c r="GL23" s="40">
        <f t="shared" ca="1" si="128"/>
        <v>4773393.3520086836</v>
      </c>
      <c r="GM23" s="40">
        <f t="shared" ca="1" si="128"/>
        <v>4773393.3520086836</v>
      </c>
      <c r="GN23" s="40">
        <f t="shared" ca="1" si="128"/>
        <v>4773393.3520086836</v>
      </c>
      <c r="GO23" s="40">
        <f t="shared" ca="1" si="128"/>
        <v>4773393.3520086836</v>
      </c>
      <c r="GP23" s="40">
        <f t="shared" ca="1" si="128"/>
        <v>4773393.3520086836</v>
      </c>
      <c r="GQ23" s="40">
        <f t="shared" ca="1" si="128"/>
        <v>4773393.3520086836</v>
      </c>
      <c r="GR23" s="40">
        <f t="shared" ca="1" si="129"/>
        <v>4773393.3520086836</v>
      </c>
      <c r="GS23" s="40">
        <f t="shared" ca="1" si="129"/>
        <v>4773393.3520086836</v>
      </c>
      <c r="GT23" s="40">
        <f t="shared" ca="1" si="129"/>
        <v>4773393.3520086836</v>
      </c>
      <c r="GU23" s="40">
        <f t="shared" ca="1" si="129"/>
        <v>4773393.3520086836</v>
      </c>
      <c r="GV23" s="40">
        <f t="shared" ca="1" si="129"/>
        <v>4773393.3520086836</v>
      </c>
      <c r="GW23" s="40">
        <f t="shared" ca="1" si="129"/>
        <v>4773393.3520086836</v>
      </c>
      <c r="GX23" s="40">
        <f t="shared" ca="1" si="129"/>
        <v>4773393.3520086836</v>
      </c>
      <c r="GY23" s="40">
        <f t="shared" ca="1" si="129"/>
        <v>4773393.3520086836</v>
      </c>
      <c r="GZ23" s="40">
        <f t="shared" ca="1" si="129"/>
        <v>4773393.3520086836</v>
      </c>
      <c r="HA23" s="40">
        <f t="shared" ca="1" si="129"/>
        <v>4773393.3520086836</v>
      </c>
      <c r="HB23" s="40">
        <f t="shared" ca="1" si="129"/>
        <v>4773393.3520086836</v>
      </c>
      <c r="HC23" s="40">
        <f t="shared" ca="1" si="129"/>
        <v>4773393.3520086836</v>
      </c>
      <c r="HD23" s="40">
        <f t="shared" ca="1" si="129"/>
        <v>4773393.3520086836</v>
      </c>
      <c r="HE23" s="40">
        <f t="shared" ca="1" si="129"/>
        <v>4773393.3520086836</v>
      </c>
      <c r="HF23" s="40">
        <f t="shared" ca="1" si="129"/>
        <v>4773393.3520086836</v>
      </c>
      <c r="HG23" s="40">
        <f t="shared" ca="1" si="129"/>
        <v>4773393.3520086836</v>
      </c>
      <c r="HH23" s="40">
        <f t="shared" ca="1" si="129"/>
        <v>4773393.3520086836</v>
      </c>
      <c r="HI23" s="40">
        <f t="shared" ca="1" si="129"/>
        <v>4773393.3520086836</v>
      </c>
      <c r="HJ23" s="40">
        <f t="shared" ca="1" si="129"/>
        <v>4773393.3520086836</v>
      </c>
      <c r="HK23" s="40">
        <f t="shared" ca="1" si="129"/>
        <v>4773393.3520086836</v>
      </c>
      <c r="HL23" s="40">
        <f t="shared" ca="1" si="129"/>
        <v>4773393.3520086836</v>
      </c>
      <c r="HM23" s="40">
        <f t="shared" ca="1" si="129"/>
        <v>4773393.3520086836</v>
      </c>
      <c r="HN23" s="40">
        <f t="shared" ca="1" si="129"/>
        <v>4773393.3520086836</v>
      </c>
      <c r="HO23" s="40">
        <f t="shared" ca="1" si="129"/>
        <v>4773393.3520086836</v>
      </c>
      <c r="HP23" s="40">
        <f t="shared" ca="1" si="129"/>
        <v>4773393.3520086836</v>
      </c>
      <c r="HQ23" s="40">
        <f t="shared" ca="1" si="129"/>
        <v>4773393.3520086836</v>
      </c>
      <c r="HR23" s="40">
        <f t="shared" ca="1" si="129"/>
        <v>4773393.3520086836</v>
      </c>
      <c r="HS23" s="40">
        <f t="shared" ca="1" si="129"/>
        <v>4773393.3520086836</v>
      </c>
      <c r="HT23" s="40">
        <f t="shared" ca="1" si="129"/>
        <v>4773393.3520086836</v>
      </c>
      <c r="HU23" s="40">
        <f t="shared" ca="1" si="129"/>
        <v>4773393.3520086836</v>
      </c>
      <c r="HV23" s="40">
        <f t="shared" ca="1" si="129"/>
        <v>4773393.3520086836</v>
      </c>
      <c r="HW23" s="40">
        <f t="shared" ca="1" si="129"/>
        <v>4773393.3520086836</v>
      </c>
      <c r="HX23" s="40">
        <f t="shared" ca="1" si="129"/>
        <v>4773393.3520086836</v>
      </c>
      <c r="HY23" s="40">
        <f t="shared" ca="1" si="129"/>
        <v>4773393.3520086836</v>
      </c>
      <c r="HZ23" s="40">
        <f t="shared" ca="1" si="129"/>
        <v>4773393.3520086836</v>
      </c>
      <c r="IA23" s="40">
        <f t="shared" ca="1" si="129"/>
        <v>4773393.3520086836</v>
      </c>
      <c r="IB23" s="40">
        <f t="shared" ca="1" si="129"/>
        <v>4773393.3520086836</v>
      </c>
      <c r="IC23" s="40">
        <f t="shared" ca="1" si="129"/>
        <v>4773393.3520086836</v>
      </c>
      <c r="ID23" s="40">
        <f t="shared" ca="1" si="129"/>
        <v>4773393.3520086836</v>
      </c>
      <c r="IE23" s="40">
        <f t="shared" ca="1" si="129"/>
        <v>4773393.3520086836</v>
      </c>
      <c r="IF23" s="40">
        <f t="shared" ca="1" si="129"/>
        <v>4773393.3520086836</v>
      </c>
      <c r="IG23" s="40">
        <f t="shared" ca="1" si="129"/>
        <v>4773393.3520086836</v>
      </c>
      <c r="IH23" s="40">
        <f t="shared" ca="1" si="129"/>
        <v>4773393.3520086836</v>
      </c>
      <c r="II23" s="40">
        <f t="shared" ca="1" si="129"/>
        <v>4773393.3520086836</v>
      </c>
      <c r="IJ23" s="40">
        <f t="shared" ca="1" si="129"/>
        <v>4773393.3520086836</v>
      </c>
      <c r="IK23" s="40">
        <f t="shared" ca="1" si="129"/>
        <v>4773393.3520086836</v>
      </c>
      <c r="IL23" s="40">
        <f t="shared" ca="1" si="129"/>
        <v>4773393.3520086836</v>
      </c>
      <c r="IM23" s="40">
        <f t="shared" ca="1" si="129"/>
        <v>4773393.3520086836</v>
      </c>
      <c r="IN23" s="40">
        <f t="shared" ca="1" si="129"/>
        <v>4773393.3520086836</v>
      </c>
    </row>
    <row r="24" spans="2:248" x14ac:dyDescent="0.3">
      <c r="B24" s="19" t="s">
        <v>499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1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-1000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>
        <f>IF(AND(G20&gt;G19,F20&lt;F19),1,0)</f>
        <v>0</v>
      </c>
      <c r="H26" s="26">
        <f t="shared" ref="H26:BS26" ca="1" si="136">IF(AND(H20&gt;H19,G20&lt;G19),1,0)</f>
        <v>0</v>
      </c>
      <c r="I26" s="26">
        <f t="shared" ca="1" si="136"/>
        <v>0</v>
      </c>
      <c r="J26" s="26">
        <f t="shared" ca="1" si="136"/>
        <v>0</v>
      </c>
      <c r="K26" s="26">
        <f t="shared" ca="1" si="136"/>
        <v>0</v>
      </c>
      <c r="L26" s="26">
        <f t="shared" ca="1" si="136"/>
        <v>0</v>
      </c>
      <c r="M26" s="26">
        <f t="shared" ca="1" si="136"/>
        <v>0</v>
      </c>
      <c r="N26" s="26">
        <f t="shared" ca="1" si="136"/>
        <v>0</v>
      </c>
      <c r="O26" s="26">
        <f t="shared" ca="1" si="136"/>
        <v>0</v>
      </c>
      <c r="P26" s="26">
        <f t="shared" ca="1" si="136"/>
        <v>0</v>
      </c>
      <c r="Q26" s="26">
        <f t="shared" ca="1" si="136"/>
        <v>0</v>
      </c>
      <c r="R26" s="26">
        <f t="shared" ca="1" si="136"/>
        <v>0</v>
      </c>
      <c r="S26" s="26">
        <f t="shared" ca="1" si="136"/>
        <v>0</v>
      </c>
      <c r="T26" s="26">
        <f t="shared" ca="1" si="136"/>
        <v>0</v>
      </c>
      <c r="U26" s="26">
        <f t="shared" ca="1" si="136"/>
        <v>0</v>
      </c>
      <c r="V26" s="26">
        <f t="shared" ca="1" si="136"/>
        <v>0</v>
      </c>
      <c r="W26" s="26">
        <f t="shared" ca="1" si="136"/>
        <v>0</v>
      </c>
      <c r="X26" s="26">
        <f t="shared" ca="1" si="136"/>
        <v>0</v>
      </c>
      <c r="Y26" s="26">
        <f t="shared" ca="1" si="136"/>
        <v>0</v>
      </c>
      <c r="Z26" s="26">
        <f t="shared" ca="1" si="136"/>
        <v>0</v>
      </c>
      <c r="AA26" s="26">
        <f t="shared" ca="1" si="136"/>
        <v>0</v>
      </c>
      <c r="AB26" s="26">
        <f t="shared" ca="1" si="136"/>
        <v>0</v>
      </c>
      <c r="AC26" s="26">
        <f t="shared" ca="1" si="136"/>
        <v>0</v>
      </c>
      <c r="AD26" s="26">
        <f t="shared" ca="1" si="136"/>
        <v>0</v>
      </c>
      <c r="AE26" s="26">
        <f t="shared" ca="1" si="136"/>
        <v>0</v>
      </c>
      <c r="AF26" s="26">
        <f t="shared" ca="1" si="136"/>
        <v>0</v>
      </c>
      <c r="AG26" s="26">
        <f t="shared" ca="1" si="136"/>
        <v>0</v>
      </c>
      <c r="AH26" s="26">
        <f t="shared" ca="1" si="136"/>
        <v>0</v>
      </c>
      <c r="AI26" s="26">
        <f t="shared" ca="1" si="136"/>
        <v>0</v>
      </c>
      <c r="AJ26" s="26">
        <f t="shared" ca="1" si="136"/>
        <v>0</v>
      </c>
      <c r="AK26" s="26">
        <f t="shared" ca="1" si="136"/>
        <v>0</v>
      </c>
      <c r="AL26" s="26">
        <f t="shared" ca="1" si="136"/>
        <v>0</v>
      </c>
      <c r="AM26" s="26">
        <f t="shared" ca="1" si="136"/>
        <v>0</v>
      </c>
      <c r="AN26" s="26">
        <f t="shared" ca="1" si="136"/>
        <v>0</v>
      </c>
      <c r="AO26" s="26">
        <f t="shared" ca="1" si="136"/>
        <v>0</v>
      </c>
      <c r="AP26" s="26">
        <f t="shared" ca="1" si="136"/>
        <v>0</v>
      </c>
      <c r="AQ26" s="26">
        <f t="shared" ca="1" si="136"/>
        <v>0</v>
      </c>
      <c r="AR26" s="26">
        <f t="shared" ca="1" si="136"/>
        <v>0</v>
      </c>
      <c r="AS26" s="26">
        <f t="shared" ca="1" si="136"/>
        <v>1</v>
      </c>
      <c r="AT26" s="26">
        <f t="shared" ca="1" si="136"/>
        <v>0</v>
      </c>
      <c r="AU26" s="26">
        <f t="shared" ca="1" si="136"/>
        <v>0</v>
      </c>
      <c r="AV26" s="26">
        <f t="shared" ca="1" si="136"/>
        <v>0</v>
      </c>
      <c r="AW26" s="26">
        <f t="shared" ca="1" si="136"/>
        <v>0</v>
      </c>
      <c r="AX26" s="26">
        <f t="shared" ca="1" si="136"/>
        <v>0</v>
      </c>
      <c r="AY26" s="26">
        <f t="shared" ca="1" si="136"/>
        <v>0</v>
      </c>
      <c r="AZ26" s="26">
        <f t="shared" ca="1" si="136"/>
        <v>0</v>
      </c>
      <c r="BA26" s="26">
        <f t="shared" ca="1" si="136"/>
        <v>0</v>
      </c>
      <c r="BB26" s="26">
        <f t="shared" ca="1" si="136"/>
        <v>0</v>
      </c>
      <c r="BC26" s="26">
        <f t="shared" ca="1" si="136"/>
        <v>0</v>
      </c>
      <c r="BD26" s="26">
        <f t="shared" ca="1" si="136"/>
        <v>0</v>
      </c>
      <c r="BE26" s="26">
        <f t="shared" ca="1" si="136"/>
        <v>0</v>
      </c>
      <c r="BF26" s="26">
        <f t="shared" ca="1" si="136"/>
        <v>0</v>
      </c>
      <c r="BG26" s="26">
        <f t="shared" ca="1" si="136"/>
        <v>0</v>
      </c>
      <c r="BH26" s="26">
        <f t="shared" ca="1" si="136"/>
        <v>0</v>
      </c>
      <c r="BI26" s="26">
        <f t="shared" ca="1" si="136"/>
        <v>0</v>
      </c>
      <c r="BJ26" s="26">
        <f t="shared" ca="1" si="136"/>
        <v>0</v>
      </c>
      <c r="BK26" s="26">
        <f t="shared" ca="1" si="136"/>
        <v>0</v>
      </c>
      <c r="BL26" s="26">
        <f t="shared" ca="1" si="136"/>
        <v>0</v>
      </c>
      <c r="BM26" s="26">
        <f t="shared" ca="1" si="136"/>
        <v>0</v>
      </c>
      <c r="BN26" s="26">
        <f t="shared" ca="1" si="136"/>
        <v>0</v>
      </c>
      <c r="BO26" s="26">
        <f t="shared" ca="1" si="136"/>
        <v>0</v>
      </c>
      <c r="BP26" s="26">
        <f t="shared" ca="1" si="136"/>
        <v>0</v>
      </c>
      <c r="BQ26" s="26">
        <f t="shared" ca="1" si="136"/>
        <v>0</v>
      </c>
      <c r="BR26" s="26">
        <f t="shared" ca="1" si="136"/>
        <v>0</v>
      </c>
      <c r="BS26" s="26">
        <f t="shared" ca="1" si="136"/>
        <v>0</v>
      </c>
      <c r="BT26" s="26">
        <f t="shared" ref="BT26:EE26" ca="1" si="137">IF(AND(BT20&gt;BT19,BS20&lt;BS19),1,0)</f>
        <v>0</v>
      </c>
      <c r="BU26" s="26">
        <f t="shared" ca="1" si="137"/>
        <v>0</v>
      </c>
      <c r="BV26" s="26">
        <f t="shared" ca="1" si="137"/>
        <v>0</v>
      </c>
      <c r="BW26" s="26">
        <f t="shared" ca="1" si="137"/>
        <v>0</v>
      </c>
      <c r="BX26" s="26">
        <f t="shared" ca="1" si="137"/>
        <v>0</v>
      </c>
      <c r="BY26" s="26">
        <f t="shared" ca="1" si="137"/>
        <v>0</v>
      </c>
      <c r="BZ26" s="26">
        <f t="shared" ca="1" si="137"/>
        <v>0</v>
      </c>
      <c r="CA26" s="26">
        <f t="shared" ca="1" si="137"/>
        <v>0</v>
      </c>
      <c r="CB26" s="26">
        <f t="shared" ca="1" si="137"/>
        <v>0</v>
      </c>
      <c r="CC26" s="26">
        <f t="shared" ca="1" si="137"/>
        <v>0</v>
      </c>
      <c r="CD26" s="26">
        <f t="shared" ca="1" si="137"/>
        <v>0</v>
      </c>
      <c r="CE26" s="26">
        <f t="shared" ca="1" si="137"/>
        <v>0</v>
      </c>
      <c r="CF26" s="26">
        <f t="shared" ca="1" si="137"/>
        <v>0</v>
      </c>
      <c r="CG26" s="26">
        <f t="shared" ca="1" si="137"/>
        <v>0</v>
      </c>
      <c r="CH26" s="26">
        <f t="shared" ca="1" si="137"/>
        <v>0</v>
      </c>
      <c r="CI26" s="26">
        <f t="shared" ca="1" si="137"/>
        <v>0</v>
      </c>
      <c r="CJ26" s="26">
        <f t="shared" ca="1" si="137"/>
        <v>0</v>
      </c>
      <c r="CK26" s="26">
        <f t="shared" ca="1" si="137"/>
        <v>0</v>
      </c>
      <c r="CL26" s="26">
        <f t="shared" ca="1" si="137"/>
        <v>0</v>
      </c>
      <c r="CM26" s="26">
        <f t="shared" ca="1" si="137"/>
        <v>0</v>
      </c>
      <c r="CN26" s="26">
        <f t="shared" ca="1" si="137"/>
        <v>0</v>
      </c>
      <c r="CO26" s="26">
        <f t="shared" ca="1" si="137"/>
        <v>0</v>
      </c>
      <c r="CP26" s="26">
        <f t="shared" ca="1" si="137"/>
        <v>0</v>
      </c>
      <c r="CQ26" s="26">
        <f t="shared" ca="1" si="137"/>
        <v>0</v>
      </c>
      <c r="CR26" s="26">
        <f t="shared" ca="1" si="137"/>
        <v>0</v>
      </c>
      <c r="CS26" s="26">
        <f t="shared" ca="1" si="137"/>
        <v>0</v>
      </c>
      <c r="CT26" s="26">
        <f t="shared" ca="1" si="137"/>
        <v>0</v>
      </c>
      <c r="CU26" s="26">
        <f t="shared" ca="1" si="137"/>
        <v>0</v>
      </c>
      <c r="CV26" s="26">
        <f t="shared" ca="1" si="137"/>
        <v>0</v>
      </c>
      <c r="CW26" s="26">
        <f t="shared" ca="1" si="137"/>
        <v>0</v>
      </c>
      <c r="CX26" s="26">
        <f t="shared" ca="1" si="137"/>
        <v>0</v>
      </c>
      <c r="CY26" s="26">
        <f t="shared" ca="1" si="137"/>
        <v>0</v>
      </c>
      <c r="CZ26" s="26">
        <f t="shared" ca="1" si="137"/>
        <v>0</v>
      </c>
      <c r="DA26" s="26">
        <f t="shared" ca="1" si="137"/>
        <v>0</v>
      </c>
      <c r="DB26" s="26">
        <f t="shared" ca="1" si="137"/>
        <v>0</v>
      </c>
      <c r="DC26" s="26">
        <f t="shared" ca="1" si="137"/>
        <v>0</v>
      </c>
      <c r="DD26" s="26">
        <f t="shared" ca="1" si="137"/>
        <v>0</v>
      </c>
      <c r="DE26" s="26">
        <f t="shared" ca="1" si="137"/>
        <v>0</v>
      </c>
      <c r="DF26" s="26">
        <f t="shared" ca="1" si="137"/>
        <v>0</v>
      </c>
      <c r="DG26" s="26">
        <f t="shared" ca="1" si="137"/>
        <v>0</v>
      </c>
      <c r="DH26" s="26">
        <f t="shared" ca="1" si="137"/>
        <v>0</v>
      </c>
      <c r="DI26" s="26">
        <f t="shared" ca="1" si="137"/>
        <v>0</v>
      </c>
      <c r="DJ26" s="26">
        <f t="shared" ca="1" si="137"/>
        <v>0</v>
      </c>
      <c r="DK26" s="26">
        <f t="shared" ca="1" si="137"/>
        <v>0</v>
      </c>
      <c r="DL26" s="26">
        <f t="shared" ca="1" si="137"/>
        <v>0</v>
      </c>
      <c r="DM26" s="26">
        <f t="shared" ca="1" si="137"/>
        <v>0</v>
      </c>
      <c r="DN26" s="26">
        <f t="shared" ca="1" si="137"/>
        <v>0</v>
      </c>
      <c r="DO26" s="26">
        <f t="shared" ca="1" si="137"/>
        <v>0</v>
      </c>
      <c r="DP26" s="26">
        <f t="shared" ca="1" si="137"/>
        <v>0</v>
      </c>
      <c r="DQ26" s="26">
        <f t="shared" ca="1" si="137"/>
        <v>0</v>
      </c>
      <c r="DR26" s="26">
        <f t="shared" ca="1" si="137"/>
        <v>0</v>
      </c>
      <c r="DS26" s="26">
        <f t="shared" ca="1" si="137"/>
        <v>0</v>
      </c>
      <c r="DT26" s="26">
        <f t="shared" ca="1" si="137"/>
        <v>0</v>
      </c>
      <c r="DU26" s="26">
        <f t="shared" ca="1" si="137"/>
        <v>0</v>
      </c>
      <c r="DV26" s="26">
        <f t="shared" ca="1" si="137"/>
        <v>0</v>
      </c>
      <c r="DW26" s="26">
        <f t="shared" ca="1" si="137"/>
        <v>0</v>
      </c>
      <c r="DX26" s="26">
        <f t="shared" ca="1" si="137"/>
        <v>0</v>
      </c>
      <c r="DY26" s="26">
        <f t="shared" ca="1" si="137"/>
        <v>0</v>
      </c>
      <c r="DZ26" s="26">
        <f t="shared" ca="1" si="137"/>
        <v>0</v>
      </c>
      <c r="EA26" s="26">
        <f t="shared" ca="1" si="137"/>
        <v>0</v>
      </c>
      <c r="EB26" s="26">
        <f t="shared" ca="1" si="137"/>
        <v>0</v>
      </c>
      <c r="EC26" s="26">
        <f t="shared" ca="1" si="137"/>
        <v>0</v>
      </c>
      <c r="ED26" s="26">
        <f t="shared" ca="1" si="137"/>
        <v>0</v>
      </c>
      <c r="EE26" s="26">
        <f t="shared" ca="1" si="137"/>
        <v>0</v>
      </c>
      <c r="EF26" s="26">
        <f t="shared" ref="EF26:GQ26" ca="1" si="138">IF(AND(EF20&gt;EF19,EE20&lt;EE19),1,0)</f>
        <v>0</v>
      </c>
      <c r="EG26" s="26">
        <f t="shared" ca="1" si="138"/>
        <v>0</v>
      </c>
      <c r="EH26" s="26">
        <f t="shared" ca="1" si="138"/>
        <v>0</v>
      </c>
      <c r="EI26" s="26">
        <f t="shared" ca="1" si="138"/>
        <v>0</v>
      </c>
      <c r="EJ26" s="26">
        <f t="shared" ca="1" si="138"/>
        <v>0</v>
      </c>
      <c r="EK26" s="26">
        <f t="shared" ca="1" si="138"/>
        <v>0</v>
      </c>
      <c r="EL26" s="26">
        <f t="shared" ca="1" si="138"/>
        <v>0</v>
      </c>
      <c r="EM26" s="26">
        <f t="shared" ca="1" si="138"/>
        <v>0</v>
      </c>
      <c r="EN26" s="26">
        <f t="shared" ca="1" si="138"/>
        <v>0</v>
      </c>
      <c r="EO26" s="26">
        <f t="shared" ca="1" si="138"/>
        <v>0</v>
      </c>
      <c r="EP26" s="26">
        <f t="shared" ca="1" si="138"/>
        <v>0</v>
      </c>
      <c r="EQ26" s="26">
        <f t="shared" ca="1" si="138"/>
        <v>0</v>
      </c>
      <c r="ER26" s="26">
        <f t="shared" ca="1" si="138"/>
        <v>0</v>
      </c>
      <c r="ES26" s="26">
        <f t="shared" ca="1" si="138"/>
        <v>0</v>
      </c>
      <c r="ET26" s="26">
        <f t="shared" ca="1" si="138"/>
        <v>0</v>
      </c>
      <c r="EU26" s="26">
        <f t="shared" ca="1" si="138"/>
        <v>0</v>
      </c>
      <c r="EV26" s="26">
        <f t="shared" ca="1" si="138"/>
        <v>0</v>
      </c>
      <c r="EW26" s="26">
        <f t="shared" ca="1" si="138"/>
        <v>0</v>
      </c>
      <c r="EX26" s="26">
        <f t="shared" ca="1" si="138"/>
        <v>0</v>
      </c>
      <c r="EY26" s="26">
        <f t="shared" ca="1" si="138"/>
        <v>0</v>
      </c>
      <c r="EZ26" s="26">
        <f t="shared" ca="1" si="138"/>
        <v>0</v>
      </c>
      <c r="FA26" s="26">
        <f t="shared" ca="1" si="138"/>
        <v>0</v>
      </c>
      <c r="FB26" s="26">
        <f t="shared" ca="1" si="138"/>
        <v>0</v>
      </c>
      <c r="FC26" s="26">
        <f t="shared" ca="1" si="138"/>
        <v>0</v>
      </c>
      <c r="FD26" s="26">
        <f t="shared" ca="1" si="138"/>
        <v>0</v>
      </c>
      <c r="FE26" s="26">
        <f t="shared" ca="1" si="138"/>
        <v>0</v>
      </c>
      <c r="FF26" s="26">
        <f t="shared" ca="1" si="138"/>
        <v>0</v>
      </c>
      <c r="FG26" s="26">
        <f t="shared" ca="1" si="138"/>
        <v>0</v>
      </c>
      <c r="FH26" s="26">
        <f t="shared" ca="1" si="138"/>
        <v>0</v>
      </c>
      <c r="FI26" s="26">
        <f t="shared" ca="1" si="138"/>
        <v>0</v>
      </c>
      <c r="FJ26" s="26">
        <f t="shared" ca="1" si="138"/>
        <v>0</v>
      </c>
      <c r="FK26" s="26">
        <f t="shared" ca="1" si="138"/>
        <v>0</v>
      </c>
      <c r="FL26" s="26">
        <f t="shared" ca="1" si="138"/>
        <v>0</v>
      </c>
      <c r="FM26" s="26">
        <f t="shared" ca="1" si="138"/>
        <v>0</v>
      </c>
      <c r="FN26" s="26">
        <f t="shared" ca="1" si="138"/>
        <v>0</v>
      </c>
      <c r="FO26" s="26">
        <f t="shared" ca="1" si="138"/>
        <v>0</v>
      </c>
      <c r="FP26" s="26">
        <f t="shared" ca="1" si="138"/>
        <v>0</v>
      </c>
      <c r="FQ26" s="26">
        <f t="shared" ca="1" si="138"/>
        <v>0</v>
      </c>
      <c r="FR26" s="26">
        <f t="shared" ca="1" si="138"/>
        <v>0</v>
      </c>
      <c r="FS26" s="26">
        <f t="shared" ca="1" si="138"/>
        <v>0</v>
      </c>
      <c r="FT26" s="26">
        <f t="shared" ca="1" si="138"/>
        <v>0</v>
      </c>
      <c r="FU26" s="26">
        <f t="shared" ca="1" si="138"/>
        <v>0</v>
      </c>
      <c r="FV26" s="26">
        <f t="shared" ca="1" si="138"/>
        <v>0</v>
      </c>
      <c r="FW26" s="26">
        <f t="shared" ca="1" si="138"/>
        <v>0</v>
      </c>
      <c r="FX26" s="26">
        <f t="shared" ca="1" si="138"/>
        <v>0</v>
      </c>
      <c r="FY26" s="26">
        <f t="shared" ca="1" si="138"/>
        <v>0</v>
      </c>
      <c r="FZ26" s="26">
        <f t="shared" ca="1" si="138"/>
        <v>0</v>
      </c>
      <c r="GA26" s="26">
        <f t="shared" ca="1" si="138"/>
        <v>0</v>
      </c>
      <c r="GB26" s="26">
        <f t="shared" ca="1" si="138"/>
        <v>0</v>
      </c>
      <c r="GC26" s="26">
        <f t="shared" ca="1" si="138"/>
        <v>0</v>
      </c>
      <c r="GD26" s="26">
        <f t="shared" ca="1" si="138"/>
        <v>0</v>
      </c>
      <c r="GE26" s="26">
        <f t="shared" ca="1" si="138"/>
        <v>0</v>
      </c>
      <c r="GF26" s="26">
        <f t="shared" ca="1" si="138"/>
        <v>0</v>
      </c>
      <c r="GG26" s="26">
        <f t="shared" ca="1" si="138"/>
        <v>0</v>
      </c>
      <c r="GH26" s="26">
        <f t="shared" ca="1" si="138"/>
        <v>0</v>
      </c>
      <c r="GI26" s="26">
        <f t="shared" ca="1" si="138"/>
        <v>0</v>
      </c>
      <c r="GJ26" s="26">
        <f t="shared" ca="1" si="138"/>
        <v>0</v>
      </c>
      <c r="GK26" s="26">
        <f t="shared" ca="1" si="138"/>
        <v>0</v>
      </c>
      <c r="GL26" s="26">
        <f t="shared" ca="1" si="138"/>
        <v>0</v>
      </c>
      <c r="GM26" s="26">
        <f t="shared" ca="1" si="138"/>
        <v>0</v>
      </c>
      <c r="GN26" s="26">
        <f t="shared" ca="1" si="138"/>
        <v>0</v>
      </c>
      <c r="GO26" s="26">
        <f t="shared" ca="1" si="138"/>
        <v>0</v>
      </c>
      <c r="GP26" s="26">
        <f t="shared" ca="1" si="138"/>
        <v>0</v>
      </c>
      <c r="GQ26" s="26">
        <f t="shared" ca="1" si="138"/>
        <v>0</v>
      </c>
      <c r="GR26" s="26">
        <f t="shared" ref="GR26:IN26" ca="1" si="139">IF(AND(GR20&gt;GR19,GQ20&lt;GQ19),1,0)</f>
        <v>0</v>
      </c>
      <c r="GS26" s="26">
        <f t="shared" ca="1" si="139"/>
        <v>0</v>
      </c>
      <c r="GT26" s="26">
        <f t="shared" ca="1" si="139"/>
        <v>0</v>
      </c>
      <c r="GU26" s="26">
        <f t="shared" ca="1" si="139"/>
        <v>0</v>
      </c>
      <c r="GV26" s="26">
        <f t="shared" ca="1" si="139"/>
        <v>0</v>
      </c>
      <c r="GW26" s="26">
        <f t="shared" ca="1" si="139"/>
        <v>0</v>
      </c>
      <c r="GX26" s="26">
        <f t="shared" ca="1" si="139"/>
        <v>0</v>
      </c>
      <c r="GY26" s="26">
        <f t="shared" ca="1" si="139"/>
        <v>0</v>
      </c>
      <c r="GZ26" s="26">
        <f t="shared" ca="1" si="139"/>
        <v>0</v>
      </c>
      <c r="HA26" s="26">
        <f t="shared" ca="1" si="139"/>
        <v>0</v>
      </c>
      <c r="HB26" s="26">
        <f t="shared" ca="1" si="139"/>
        <v>0</v>
      </c>
      <c r="HC26" s="26">
        <f t="shared" ca="1" si="139"/>
        <v>0</v>
      </c>
      <c r="HD26" s="26">
        <f t="shared" ca="1" si="139"/>
        <v>0</v>
      </c>
      <c r="HE26" s="26">
        <f t="shared" ca="1" si="139"/>
        <v>0</v>
      </c>
      <c r="HF26" s="26">
        <f t="shared" ca="1" si="139"/>
        <v>0</v>
      </c>
      <c r="HG26" s="26">
        <f t="shared" ca="1" si="139"/>
        <v>0</v>
      </c>
      <c r="HH26" s="26">
        <f t="shared" ca="1" si="139"/>
        <v>0</v>
      </c>
      <c r="HI26" s="26">
        <f t="shared" ca="1" si="139"/>
        <v>0</v>
      </c>
      <c r="HJ26" s="26">
        <f t="shared" ca="1" si="139"/>
        <v>0</v>
      </c>
      <c r="HK26" s="26">
        <f t="shared" ca="1" si="139"/>
        <v>0</v>
      </c>
      <c r="HL26" s="26">
        <f t="shared" ca="1" si="139"/>
        <v>0</v>
      </c>
      <c r="HM26" s="26">
        <f t="shared" ca="1" si="139"/>
        <v>0</v>
      </c>
      <c r="HN26" s="26">
        <f t="shared" ca="1" si="139"/>
        <v>0</v>
      </c>
      <c r="HO26" s="26">
        <f t="shared" ca="1" si="139"/>
        <v>0</v>
      </c>
      <c r="HP26" s="26">
        <f t="shared" ca="1" si="139"/>
        <v>0</v>
      </c>
      <c r="HQ26" s="26">
        <f t="shared" ca="1" si="139"/>
        <v>0</v>
      </c>
      <c r="HR26" s="26">
        <f t="shared" ca="1" si="139"/>
        <v>0</v>
      </c>
      <c r="HS26" s="26">
        <f t="shared" ca="1" si="139"/>
        <v>0</v>
      </c>
      <c r="HT26" s="26">
        <f t="shared" ca="1" si="139"/>
        <v>0</v>
      </c>
      <c r="HU26" s="26">
        <f t="shared" ca="1" si="139"/>
        <v>0</v>
      </c>
      <c r="HV26" s="26">
        <f t="shared" ca="1" si="139"/>
        <v>0</v>
      </c>
      <c r="HW26" s="26">
        <f t="shared" ca="1" si="139"/>
        <v>0</v>
      </c>
      <c r="HX26" s="26">
        <f t="shared" ca="1" si="139"/>
        <v>0</v>
      </c>
      <c r="HY26" s="26">
        <f t="shared" ca="1" si="139"/>
        <v>0</v>
      </c>
      <c r="HZ26" s="26">
        <f t="shared" ca="1" si="139"/>
        <v>0</v>
      </c>
      <c r="IA26" s="26">
        <f t="shared" ca="1" si="139"/>
        <v>0</v>
      </c>
      <c r="IB26" s="26">
        <f t="shared" ca="1" si="139"/>
        <v>0</v>
      </c>
      <c r="IC26" s="26">
        <f t="shared" ca="1" si="139"/>
        <v>0</v>
      </c>
      <c r="ID26" s="26">
        <f t="shared" ca="1" si="139"/>
        <v>0</v>
      </c>
      <c r="IE26" s="26">
        <f t="shared" ca="1" si="139"/>
        <v>0</v>
      </c>
      <c r="IF26" s="26">
        <f t="shared" ca="1" si="139"/>
        <v>0</v>
      </c>
      <c r="IG26" s="26">
        <f t="shared" ca="1" si="139"/>
        <v>0</v>
      </c>
      <c r="IH26" s="26">
        <f t="shared" ca="1" si="139"/>
        <v>0</v>
      </c>
      <c r="II26" s="26">
        <f t="shared" ca="1" si="139"/>
        <v>0</v>
      </c>
      <c r="IJ26" s="26">
        <f t="shared" ca="1" si="139"/>
        <v>0</v>
      </c>
      <c r="IK26" s="26">
        <f t="shared" ca="1" si="139"/>
        <v>0</v>
      </c>
      <c r="IL26" s="26">
        <f t="shared" ca="1" si="139"/>
        <v>0</v>
      </c>
      <c r="IM26" s="26">
        <f t="shared" ca="1" si="139"/>
        <v>0</v>
      </c>
      <c r="IN26" s="26">
        <f t="shared" ca="1" si="139"/>
        <v>0</v>
      </c>
    </row>
    <row r="27" spans="2:248" x14ac:dyDescent="0.3">
      <c r="B27" s="19" t="s">
        <v>427</v>
      </c>
      <c r="C27" s="21">
        <f ca="1">IF(C11&lt;0,MAX(G9:IN9)*1.1,_xlfn.MAXIFS(G8:IN8,G8:IN8,"&gt;"&amp;0)*3)</f>
        <v>235284</v>
      </c>
      <c r="D27" s="24">
        <f ca="1">IF(D31&lt;TODAY(),_xlfn.MAXIFS(G20:IN20,G4:IN4,"&lt;"&amp;C5+5),IF(D31="N/A",C16*1.5,_xlfn.MAXIFS(G20:IN20,G3:IN3,"&lt;"&amp;$D$31)*1.5))</f>
        <v>118432.34488368989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1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ht="15" thickBot="1" x14ac:dyDescent="0.35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ht="15" thickBot="1" x14ac:dyDescent="0.35">
      <c r="B30" s="19" t="s">
        <v>455</v>
      </c>
      <c r="C30" s="20">
        <f ca="1">MIN(IF(Projections!$Z$8="",xMin2+C5+5,xMin2+Projections!$Z$8+C5),MAX(3:3))</f>
        <v>43922</v>
      </c>
      <c r="D30" s="20">
        <f ca="1">IF(D31&lt;TODAY(),TODAY()+3+Projections!Z45,IFERROR(OFFSET(G26,-23,MATCH(1,G26:IN26,0))+3+Projections!Z45,xMax2+3+Projections!Z45))</f>
        <v>43935</v>
      </c>
      <c r="S30" s="18"/>
      <c r="T30" s="29"/>
      <c r="AI30" s="30"/>
      <c r="AJ30" s="31"/>
      <c r="AK30" s="32"/>
      <c r="AL30" s="31"/>
      <c r="AM30" s="31"/>
      <c r="AN30" s="32"/>
      <c r="AO30" s="32"/>
      <c r="AP30" s="33"/>
      <c r="AQ30" s="30"/>
    </row>
    <row r="31" spans="2:248" ht="15" thickBot="1" x14ac:dyDescent="0.35">
      <c r="C31" s="20"/>
      <c r="D31" s="20">
        <f ca="1">IFERROR(OFFSET(G26,-23,MATCH(1,G26:IN26,0))-1,"N/A")</f>
        <v>43931</v>
      </c>
      <c r="S31" s="18"/>
      <c r="T31" s="29"/>
      <c r="AI31" s="30"/>
      <c r="AJ31" s="31"/>
      <c r="AK31" s="32"/>
      <c r="AL31" s="31"/>
      <c r="AM31" s="31"/>
      <c r="AN31" s="32"/>
      <c r="AO31" s="32"/>
      <c r="AP31" s="33"/>
      <c r="AQ31" s="3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H1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 t="shared" ref="D2:D33" si="5"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100</v>
      </c>
      <c r="J2" s="10">
        <f t="shared" ref="J2:AO2" si="7">I2*1.5</f>
        <v>150</v>
      </c>
      <c r="K2" s="10">
        <f t="shared" si="7"/>
        <v>225</v>
      </c>
      <c r="L2" s="10">
        <f t="shared" si="7"/>
        <v>337.5</v>
      </c>
      <c r="M2" s="10">
        <f t="shared" si="7"/>
        <v>506.25</v>
      </c>
      <c r="N2" s="10">
        <f t="shared" si="7"/>
        <v>759.375</v>
      </c>
      <c r="O2" s="10">
        <f t="shared" si="7"/>
        <v>1139.0625</v>
      </c>
      <c r="P2" s="10">
        <f t="shared" si="7"/>
        <v>1708.59375</v>
      </c>
      <c r="Q2" s="10">
        <f t="shared" si="7"/>
        <v>2562.890625</v>
      </c>
      <c r="R2" s="10">
        <f t="shared" si="7"/>
        <v>3844.3359375</v>
      </c>
      <c r="S2" s="10">
        <f t="shared" si="7"/>
        <v>5766.50390625</v>
      </c>
      <c r="T2" s="10">
        <f t="shared" si="7"/>
        <v>8649.755859375</v>
      </c>
      <c r="U2" s="10">
        <f t="shared" si="7"/>
        <v>12974.6337890625</v>
      </c>
      <c r="V2" s="10">
        <f t="shared" si="7"/>
        <v>19461.95068359375</v>
      </c>
      <c r="W2" s="10">
        <f t="shared" si="7"/>
        <v>29192.926025390625</v>
      </c>
      <c r="X2" s="10">
        <f t="shared" si="7"/>
        <v>43789.389038085938</v>
      </c>
      <c r="Y2" s="10">
        <f t="shared" si="7"/>
        <v>65684.083557128906</v>
      </c>
      <c r="Z2" s="10">
        <f t="shared" si="7"/>
        <v>98526.125335693359</v>
      </c>
      <c r="AA2" s="10">
        <f t="shared" si="7"/>
        <v>147789.18800354004</v>
      </c>
      <c r="AB2" s="10">
        <f t="shared" si="7"/>
        <v>221683.78200531006</v>
      </c>
      <c r="AC2" s="10">
        <f t="shared" si="7"/>
        <v>332525.67300796509</v>
      </c>
      <c r="AD2" s="10">
        <f t="shared" si="7"/>
        <v>498788.50951194763</v>
      </c>
      <c r="AE2" s="10">
        <f t="shared" si="7"/>
        <v>748182.76426792145</v>
      </c>
      <c r="AF2" s="10">
        <f t="shared" si="7"/>
        <v>1122274.1464018822</v>
      </c>
      <c r="AG2" s="10">
        <f t="shared" si="7"/>
        <v>1683411.2196028233</v>
      </c>
      <c r="AH2" s="10">
        <f t="shared" si="7"/>
        <v>2525116.8294042349</v>
      </c>
      <c r="AI2" s="10">
        <f t="shared" si="7"/>
        <v>3787675.2441063523</v>
      </c>
      <c r="AJ2" s="10">
        <f t="shared" si="7"/>
        <v>5681512.8661595285</v>
      </c>
      <c r="AK2" s="10">
        <f t="shared" si="7"/>
        <v>8522269.2992392927</v>
      </c>
      <c r="AL2" s="10">
        <f t="shared" si="7"/>
        <v>12783403.948858939</v>
      </c>
      <c r="AM2" s="10">
        <f t="shared" si="7"/>
        <v>19175105.923288409</v>
      </c>
      <c r="AN2" s="10">
        <f t="shared" si="7"/>
        <v>28762658.884932615</v>
      </c>
      <c r="AO2" s="10">
        <f t="shared" si="7"/>
        <v>43143988.327398926</v>
      </c>
      <c r="AP2" s="10">
        <f t="shared" ref="AP2:BH2" si="8">AO2*1.5</f>
        <v>64715982.491098389</v>
      </c>
      <c r="AQ2" s="10">
        <f t="shared" si="8"/>
        <v>97073973.736647576</v>
      </c>
      <c r="AR2" s="10">
        <f t="shared" si="8"/>
        <v>145610960.60497135</v>
      </c>
      <c r="AS2" s="10">
        <f t="shared" si="8"/>
        <v>218416440.90745702</v>
      </c>
      <c r="AT2" s="10">
        <f t="shared" si="8"/>
        <v>327624661.36118555</v>
      </c>
      <c r="AU2" s="10">
        <f t="shared" si="8"/>
        <v>491436992.04177833</v>
      </c>
      <c r="AV2" s="10">
        <f t="shared" si="8"/>
        <v>737155488.06266749</v>
      </c>
      <c r="AW2" s="10">
        <f t="shared" si="8"/>
        <v>1105733232.0940013</v>
      </c>
      <c r="AX2" s="10">
        <f t="shared" si="8"/>
        <v>1658599848.1410019</v>
      </c>
      <c r="AY2" s="10">
        <f t="shared" si="8"/>
        <v>2487899772.211503</v>
      </c>
      <c r="AZ2" s="10">
        <f t="shared" si="8"/>
        <v>3731849658.3172545</v>
      </c>
      <c r="BA2" s="10">
        <f t="shared" si="8"/>
        <v>5597774487.4758816</v>
      </c>
      <c r="BB2" s="10">
        <f t="shared" si="8"/>
        <v>8396661731.2138224</v>
      </c>
      <c r="BC2" s="10">
        <f t="shared" si="8"/>
        <v>12594992596.820734</v>
      </c>
      <c r="BD2" s="10">
        <f t="shared" si="8"/>
        <v>18892488895.231102</v>
      </c>
      <c r="BE2" s="10">
        <f t="shared" si="8"/>
        <v>28338733342.846653</v>
      </c>
      <c r="BF2" s="10">
        <f t="shared" si="8"/>
        <v>42508100014.269981</v>
      </c>
      <c r="BG2" s="10">
        <f t="shared" si="8"/>
        <v>63762150021.404968</v>
      </c>
      <c r="BH2" s="10">
        <f t="shared" si="8"/>
        <v>95643225032.107452</v>
      </c>
    </row>
    <row r="3" spans="1:307" x14ac:dyDescent="0.25">
      <c r="A3" s="9">
        <f t="shared" ref="A3:A200" si="9">A2+1</f>
        <v>2</v>
      </c>
      <c r="B3" s="9">
        <v>1</v>
      </c>
      <c r="C3" s="9" t="str">
        <f>H3</f>
        <v>40% Daily Increase</v>
      </c>
      <c r="D3" s="6">
        <f t="shared" si="5"/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 t="shared" si="6"/>
        <v>1.4000000000000001</v>
      </c>
      <c r="H3" s="15" t="s">
        <v>431</v>
      </c>
      <c r="I3" s="9">
        <v>100</v>
      </c>
      <c r="J3" s="10">
        <f t="shared" ref="J3:AO3" si="10">I3*1.4</f>
        <v>140</v>
      </c>
      <c r="K3" s="10">
        <f t="shared" si="10"/>
        <v>196</v>
      </c>
      <c r="L3" s="10">
        <f t="shared" si="10"/>
        <v>274.39999999999998</v>
      </c>
      <c r="M3" s="10">
        <f t="shared" si="10"/>
        <v>384.15999999999997</v>
      </c>
      <c r="N3" s="10">
        <f t="shared" si="10"/>
        <v>537.82399999999996</v>
      </c>
      <c r="O3" s="10">
        <f t="shared" si="10"/>
        <v>752.95359999999994</v>
      </c>
      <c r="P3" s="10">
        <f t="shared" si="10"/>
        <v>1054.1350399999999</v>
      </c>
      <c r="Q3" s="10">
        <f t="shared" si="10"/>
        <v>1475.7890559999998</v>
      </c>
      <c r="R3" s="10">
        <f t="shared" si="10"/>
        <v>2066.1046783999996</v>
      </c>
      <c r="S3" s="10">
        <f t="shared" si="10"/>
        <v>2892.5465497599994</v>
      </c>
      <c r="T3" s="10">
        <f t="shared" si="10"/>
        <v>4049.5651696639989</v>
      </c>
      <c r="U3" s="10">
        <f t="shared" si="10"/>
        <v>5669.3912375295977</v>
      </c>
      <c r="V3" s="10">
        <f t="shared" si="10"/>
        <v>7937.1477325414362</v>
      </c>
      <c r="W3" s="10">
        <f t="shared" si="10"/>
        <v>11112.00682555801</v>
      </c>
      <c r="X3" s="10">
        <f t="shared" si="10"/>
        <v>15556.809555781212</v>
      </c>
      <c r="Y3" s="10">
        <f t="shared" si="10"/>
        <v>21779.533378093696</v>
      </c>
      <c r="Z3" s="10">
        <f t="shared" si="10"/>
        <v>30491.346729331173</v>
      </c>
      <c r="AA3" s="10">
        <f t="shared" si="10"/>
        <v>42687.885421063642</v>
      </c>
      <c r="AB3" s="10">
        <f t="shared" si="10"/>
        <v>59763.039589489097</v>
      </c>
      <c r="AC3" s="10">
        <f t="shared" si="10"/>
        <v>83668.255425284733</v>
      </c>
      <c r="AD3" s="10">
        <f t="shared" si="10"/>
        <v>117135.55759539861</v>
      </c>
      <c r="AE3" s="10">
        <f t="shared" si="10"/>
        <v>163989.78063355805</v>
      </c>
      <c r="AF3" s="10">
        <f t="shared" si="10"/>
        <v>229585.69288698127</v>
      </c>
      <c r="AG3" s="10">
        <f t="shared" si="10"/>
        <v>321419.97004177375</v>
      </c>
      <c r="AH3" s="10">
        <f t="shared" si="10"/>
        <v>449987.9580584832</v>
      </c>
      <c r="AI3" s="10">
        <f t="shared" si="10"/>
        <v>629983.14128187648</v>
      </c>
      <c r="AJ3" s="10">
        <f t="shared" si="10"/>
        <v>881976.397794627</v>
      </c>
      <c r="AK3" s="10">
        <f t="shared" si="10"/>
        <v>1234766.9569124777</v>
      </c>
      <c r="AL3" s="10">
        <f t="shared" si="10"/>
        <v>1728673.7396774688</v>
      </c>
      <c r="AM3" s="10">
        <f t="shared" si="10"/>
        <v>2420143.2355484562</v>
      </c>
      <c r="AN3" s="10">
        <f t="shared" si="10"/>
        <v>3388200.5297678383</v>
      </c>
      <c r="AO3" s="10">
        <f t="shared" si="10"/>
        <v>4743480.7416749736</v>
      </c>
      <c r="AP3" s="10">
        <f t="shared" ref="AP3:BH3" si="11">AO3*1.4</f>
        <v>6640873.0383449625</v>
      </c>
      <c r="AQ3" s="10">
        <f t="shared" si="11"/>
        <v>9297222.2536829468</v>
      </c>
      <c r="AR3" s="10">
        <f t="shared" si="11"/>
        <v>13016111.155156124</v>
      </c>
      <c r="AS3" s="10">
        <f t="shared" si="11"/>
        <v>18222555.617218573</v>
      </c>
      <c r="AT3" s="10">
        <f t="shared" si="11"/>
        <v>25511577.864105999</v>
      </c>
      <c r="AU3" s="10">
        <f t="shared" si="11"/>
        <v>35716209.009748399</v>
      </c>
      <c r="AV3" s="10">
        <f t="shared" si="11"/>
        <v>50002692.613647759</v>
      </c>
      <c r="AW3" s="10">
        <f t="shared" si="11"/>
        <v>70003769.659106866</v>
      </c>
      <c r="AX3" s="10">
        <f t="shared" si="11"/>
        <v>98005277.522749603</v>
      </c>
      <c r="AY3" s="10">
        <f t="shared" si="11"/>
        <v>137207388.53184944</v>
      </c>
      <c r="AZ3" s="10">
        <f t="shared" si="11"/>
        <v>192090343.9445892</v>
      </c>
      <c r="BA3" s="10">
        <f t="shared" si="11"/>
        <v>268926481.52242488</v>
      </c>
      <c r="BB3" s="10">
        <f t="shared" si="11"/>
        <v>376497074.1313948</v>
      </c>
      <c r="BC3" s="10">
        <f t="shared" si="11"/>
        <v>527095903.78395271</v>
      </c>
      <c r="BD3" s="10">
        <f t="shared" si="11"/>
        <v>737934265.29753375</v>
      </c>
      <c r="BE3" s="10">
        <f t="shared" si="11"/>
        <v>1033107971.4165472</v>
      </c>
      <c r="BF3" s="10">
        <f t="shared" si="11"/>
        <v>1446351159.983166</v>
      </c>
      <c r="BG3" s="10">
        <f t="shared" si="11"/>
        <v>2024891623.9764323</v>
      </c>
      <c r="BH3" s="10">
        <f t="shared" si="11"/>
        <v>2834848273.5670052</v>
      </c>
    </row>
    <row r="4" spans="1:307" x14ac:dyDescent="0.25">
      <c r="A4" s="9">
        <f t="shared" si="9"/>
        <v>3</v>
      </c>
      <c r="B4" s="9">
        <v>1</v>
      </c>
      <c r="C4" s="9" t="str">
        <f>H4</f>
        <v>30% Daily Increase</v>
      </c>
      <c r="D4" s="6">
        <f t="shared" si="5"/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 t="shared" si="6"/>
        <v>1.3</v>
      </c>
      <c r="H4" s="15" t="s">
        <v>432</v>
      </c>
      <c r="I4" s="9">
        <v>100</v>
      </c>
      <c r="J4" s="10">
        <f t="shared" ref="J4:AO4" si="12">I4*1.3</f>
        <v>130</v>
      </c>
      <c r="K4" s="10">
        <f t="shared" si="12"/>
        <v>169</v>
      </c>
      <c r="L4" s="10">
        <f t="shared" si="12"/>
        <v>219.70000000000002</v>
      </c>
      <c r="M4" s="10">
        <f t="shared" si="12"/>
        <v>285.61</v>
      </c>
      <c r="N4" s="10">
        <f t="shared" si="12"/>
        <v>371.29300000000001</v>
      </c>
      <c r="O4" s="10">
        <f t="shared" si="12"/>
        <v>482.68090000000001</v>
      </c>
      <c r="P4" s="10">
        <f t="shared" si="12"/>
        <v>627.48517000000004</v>
      </c>
      <c r="Q4" s="10">
        <f t="shared" si="12"/>
        <v>815.73072100000013</v>
      </c>
      <c r="R4" s="10">
        <f t="shared" si="12"/>
        <v>1060.4499373000001</v>
      </c>
      <c r="S4" s="10">
        <f t="shared" si="12"/>
        <v>1378.5849184900003</v>
      </c>
      <c r="T4" s="10">
        <f t="shared" si="12"/>
        <v>1792.1603940370005</v>
      </c>
      <c r="U4" s="10">
        <f t="shared" si="12"/>
        <v>2329.8085122481007</v>
      </c>
      <c r="V4" s="10">
        <f t="shared" si="12"/>
        <v>3028.7510659225309</v>
      </c>
      <c r="W4" s="10">
        <f t="shared" si="12"/>
        <v>3937.37638569929</v>
      </c>
      <c r="X4" s="10">
        <f t="shared" si="12"/>
        <v>5118.5893014090771</v>
      </c>
      <c r="Y4" s="10">
        <f t="shared" si="12"/>
        <v>6654.1660918318003</v>
      </c>
      <c r="Z4" s="10">
        <f t="shared" si="12"/>
        <v>8650.4159193813412</v>
      </c>
      <c r="AA4" s="10">
        <f t="shared" si="12"/>
        <v>11245.540695195745</v>
      </c>
      <c r="AB4" s="10">
        <f t="shared" si="12"/>
        <v>14619.202903754469</v>
      </c>
      <c r="AC4" s="10">
        <f t="shared" si="12"/>
        <v>19004.963774880809</v>
      </c>
      <c r="AD4" s="10">
        <f t="shared" si="12"/>
        <v>24706.452907345054</v>
      </c>
      <c r="AE4" s="10">
        <f t="shared" si="12"/>
        <v>32118.388779548572</v>
      </c>
      <c r="AF4" s="10">
        <f t="shared" si="12"/>
        <v>41753.905413413144</v>
      </c>
      <c r="AG4" s="10">
        <f t="shared" si="12"/>
        <v>54280.077037437091</v>
      </c>
      <c r="AH4" s="10">
        <f t="shared" si="12"/>
        <v>70564.100148668222</v>
      </c>
      <c r="AI4" s="10">
        <f t="shared" si="12"/>
        <v>91733.330193268688</v>
      </c>
      <c r="AJ4" s="10">
        <f t="shared" si="12"/>
        <v>119253.32925124929</v>
      </c>
      <c r="AK4" s="10">
        <f t="shared" si="12"/>
        <v>155029.32802662408</v>
      </c>
      <c r="AL4" s="10">
        <f t="shared" si="12"/>
        <v>201538.1264346113</v>
      </c>
      <c r="AM4" s="10">
        <f t="shared" si="12"/>
        <v>261999.5643649947</v>
      </c>
      <c r="AN4" s="10">
        <f t="shared" si="12"/>
        <v>340599.43367449311</v>
      </c>
      <c r="AO4" s="10">
        <f t="shared" si="12"/>
        <v>442779.26377684105</v>
      </c>
      <c r="AP4" s="10">
        <f t="shared" ref="AP4:BH4" si="13">AO4*1.3</f>
        <v>575613.04290989344</v>
      </c>
      <c r="AQ4" s="10">
        <f t="shared" si="13"/>
        <v>748296.95578286145</v>
      </c>
      <c r="AR4" s="10">
        <f t="shared" si="13"/>
        <v>972786.04251771991</v>
      </c>
      <c r="AS4" s="10">
        <f t="shared" si="13"/>
        <v>1264621.8552730358</v>
      </c>
      <c r="AT4" s="10">
        <f t="shared" si="13"/>
        <v>1644008.4118549465</v>
      </c>
      <c r="AU4" s="10">
        <f t="shared" si="13"/>
        <v>2137210.9354114304</v>
      </c>
      <c r="AV4" s="10">
        <f t="shared" si="13"/>
        <v>2778374.2160348599</v>
      </c>
      <c r="AW4" s="10">
        <f t="shared" si="13"/>
        <v>3611886.4808453182</v>
      </c>
      <c r="AX4" s="10">
        <f t="shared" si="13"/>
        <v>4695452.4250989137</v>
      </c>
      <c r="AY4" s="10">
        <f t="shared" si="13"/>
        <v>6104088.1526285885</v>
      </c>
      <c r="AZ4" s="10">
        <f t="shared" si="13"/>
        <v>7935314.5984171657</v>
      </c>
      <c r="BA4" s="10">
        <f t="shared" si="13"/>
        <v>10315908.977942316</v>
      </c>
      <c r="BB4" s="10">
        <f t="shared" si="13"/>
        <v>13410681.671325011</v>
      </c>
      <c r="BC4" s="10">
        <f t="shared" si="13"/>
        <v>17433886.172722515</v>
      </c>
      <c r="BD4" s="10">
        <f t="shared" si="13"/>
        <v>22664052.02453927</v>
      </c>
      <c r="BE4" s="10">
        <f t="shared" si="13"/>
        <v>29463267.631901052</v>
      </c>
      <c r="BF4" s="10">
        <f t="shared" si="13"/>
        <v>38302247.921471372</v>
      </c>
      <c r="BG4" s="10">
        <f t="shared" si="13"/>
        <v>49792922.297912784</v>
      </c>
      <c r="BH4" s="10">
        <f t="shared" si="13"/>
        <v>64730798.98728662</v>
      </c>
    </row>
    <row r="5" spans="1:307" x14ac:dyDescent="0.25">
      <c r="A5" s="9">
        <f t="shared" si="9"/>
        <v>4</v>
      </c>
      <c r="B5" s="9">
        <f t="array" ref="B5">IF(C5="",0,IF(OR(C5=Country_Comparison!$S$10:$S$29),1,0))</f>
        <v>1</v>
      </c>
      <c r="C5" s="9" t="str">
        <f t="shared" ref="C5:C36" si="14">IF(H5="","",H5)</f>
        <v>US</v>
      </c>
      <c r="D5" s="6">
        <f t="shared" si="5"/>
        <v>83836</v>
      </c>
      <c r="E5" s="6">
        <f>IF(COUNTIF(I5:XFD5,"&gt;"&amp;0)=0,,HLOOKUP(COUNTIF(I5:XFD5,"&gt;"&amp;0)-1,I$1:XFD5,A5+1,FALSE))</f>
        <v>83836</v>
      </c>
      <c r="F5" s="7">
        <f>IF(COUNTIF(I5:XFD5,"&gt;"&amp;0)=0,,HLOOKUP(COUNTIF(I5:XFD5,"&gt;"&amp;0)-MIN($F$1+1,COUNTIF(I5:XFD5,"&gt;"&amp;0)),I$1:XFD5,A5+1,FALSE))</f>
        <v>25489</v>
      </c>
      <c r="G5" s="8">
        <f t="shared" si="6"/>
        <v>1.268865386367211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</row>
    <row r="6" spans="1:307" x14ac:dyDescent="0.25">
      <c r="A6" s="9">
        <f t="shared" si="9"/>
        <v>5</v>
      </c>
      <c r="B6" s="9">
        <f t="array" ref="B6">IF(C6="",0,IF(OR(C6=Country_Comparison!$S$10:$S$29),1,0))</f>
        <v>1</v>
      </c>
      <c r="C6" s="9" t="str">
        <f t="shared" si="14"/>
        <v>China</v>
      </c>
      <c r="D6" s="6">
        <f t="shared" si="5"/>
        <v>81782</v>
      </c>
      <c r="E6" s="6">
        <f>IF(COUNTIF(I6:XFD6,"&gt;"&amp;0)=0,,HLOOKUP(COUNTIF(I6:XFD6,"&gt;"&amp;0)-1,I$1:XFD6,A6+1,FALSE))</f>
        <v>81782</v>
      </c>
      <c r="F6" s="7">
        <f>IF(COUNTIF(I6:XFD6,"&gt;"&amp;0)=0,,HLOOKUP(COUNTIF(I6:XFD6,"&gt;"&amp;0)-MIN($F$1+1,COUNTIF(I6:XFD6,"&gt;"&amp;0)),I$1:XFD6,A6+1,FALSE))</f>
        <v>81305</v>
      </c>
      <c r="G6" s="8">
        <f t="shared" si="6"/>
        <v>1.0011706156796794</v>
      </c>
      <c r="H6" s="13" t="s">
        <v>337</v>
      </c>
      <c r="I6" s="9">
        <v>155</v>
      </c>
      <c r="J6" s="9">
        <v>229</v>
      </c>
      <c r="K6" s="9">
        <v>322</v>
      </c>
      <c r="L6" s="9">
        <v>453</v>
      </c>
      <c r="M6" s="9">
        <v>548</v>
      </c>
      <c r="N6" s="9">
        <v>643</v>
      </c>
      <c r="O6" s="9">
        <v>920</v>
      </c>
      <c r="P6" s="9">
        <v>1406</v>
      </c>
      <c r="Q6" s="9">
        <v>2075</v>
      </c>
      <c r="R6" s="9">
        <v>2877</v>
      </c>
      <c r="S6" s="9">
        <v>5509</v>
      </c>
      <c r="T6" s="9">
        <v>6087</v>
      </c>
      <c r="U6" s="9">
        <v>8141</v>
      </c>
      <c r="V6" s="9">
        <v>9802</v>
      </c>
      <c r="W6" s="9">
        <v>11891</v>
      </c>
      <c r="X6" s="9">
        <v>16630</v>
      </c>
      <c r="Y6" s="9">
        <v>19716</v>
      </c>
      <c r="Z6" s="9">
        <v>23707</v>
      </c>
      <c r="AA6" s="9">
        <v>27440</v>
      </c>
      <c r="AB6" s="9">
        <v>30587</v>
      </c>
      <c r="AC6" s="9">
        <v>34110</v>
      </c>
      <c r="AD6" s="9">
        <v>36814</v>
      </c>
      <c r="AE6" s="9">
        <v>39829</v>
      </c>
      <c r="AF6" s="9">
        <v>42354</v>
      </c>
      <c r="AG6" s="9">
        <v>44386</v>
      </c>
      <c r="AH6" s="9">
        <v>44759</v>
      </c>
      <c r="AI6" s="9">
        <v>59895</v>
      </c>
      <c r="AJ6" s="9">
        <v>66358</v>
      </c>
      <c r="AK6" s="9">
        <v>68413</v>
      </c>
      <c r="AL6" s="9">
        <v>70513</v>
      </c>
      <c r="AM6" s="9">
        <v>72434</v>
      </c>
      <c r="AN6" s="9">
        <v>74211</v>
      </c>
      <c r="AO6" s="9">
        <v>74619</v>
      </c>
      <c r="AP6" s="9">
        <v>75077</v>
      </c>
      <c r="AQ6" s="9">
        <v>75550</v>
      </c>
      <c r="AR6" s="9">
        <v>77001</v>
      </c>
      <c r="AS6" s="9">
        <v>77022</v>
      </c>
      <c r="AT6" s="9">
        <v>77241</v>
      </c>
      <c r="AU6" s="9">
        <v>77754</v>
      </c>
      <c r="AV6" s="9">
        <v>78166</v>
      </c>
      <c r="AW6" s="9">
        <v>78600</v>
      </c>
      <c r="AX6" s="9">
        <v>78928</v>
      </c>
      <c r="AY6" s="9">
        <v>79356</v>
      </c>
      <c r="AZ6" s="9">
        <v>79932</v>
      </c>
      <c r="BA6" s="9">
        <v>80136</v>
      </c>
      <c r="BB6" s="9">
        <v>80261</v>
      </c>
      <c r="BC6" s="9">
        <v>80386</v>
      </c>
      <c r="BD6" s="9">
        <v>80537</v>
      </c>
      <c r="BE6" s="9">
        <v>80690</v>
      </c>
      <c r="BF6" s="9">
        <v>80770</v>
      </c>
      <c r="BG6" s="9">
        <v>80823</v>
      </c>
      <c r="BH6" s="9">
        <v>80860</v>
      </c>
      <c r="BI6" s="9">
        <v>80887</v>
      </c>
      <c r="BJ6" s="9">
        <v>80921</v>
      </c>
      <c r="BK6" s="9">
        <v>80932</v>
      </c>
      <c r="BL6" s="9">
        <v>80945</v>
      </c>
      <c r="BM6" s="9">
        <v>80977</v>
      </c>
      <c r="BN6" s="9">
        <v>81003</v>
      </c>
      <c r="BO6" s="9">
        <v>81033</v>
      </c>
      <c r="BP6" s="9">
        <v>81058</v>
      </c>
      <c r="BQ6" s="9">
        <v>81102</v>
      </c>
      <c r="BR6" s="9">
        <v>81156</v>
      </c>
      <c r="BS6" s="9">
        <v>81250</v>
      </c>
      <c r="BT6" s="9">
        <v>81305</v>
      </c>
      <c r="BU6" s="9">
        <v>81435</v>
      </c>
      <c r="BV6" s="9">
        <v>81498</v>
      </c>
      <c r="BW6" s="9">
        <v>81591</v>
      </c>
      <c r="BX6" s="9">
        <v>81661</v>
      </c>
      <c r="BY6" s="9">
        <v>81782</v>
      </c>
    </row>
    <row r="7" spans="1:307" x14ac:dyDescent="0.25">
      <c r="A7" s="9">
        <f t="shared" si="9"/>
        <v>6</v>
      </c>
      <c r="B7" s="9">
        <f t="array" ref="B7">IF(C7="",0,IF(OR(C7=Country_Comparison!$S$10:$S$29),1,0))</f>
        <v>1</v>
      </c>
      <c r="C7" s="9" t="str">
        <f t="shared" si="14"/>
        <v>Italy</v>
      </c>
      <c r="D7" s="6">
        <f t="shared" si="5"/>
        <v>80589</v>
      </c>
      <c r="E7" s="6">
        <f>IF(COUNTIF(I7:XFD7,"&gt;"&amp;0)=0,,HLOOKUP(COUNTIF(I7:XFD7,"&gt;"&amp;0)-1,I$1:XFD7,A7+1,FALSE))</f>
        <v>80589</v>
      </c>
      <c r="F7" s="7">
        <f>IF(COUNTIF(I7:XFD7,"&gt;"&amp;0)=0,,HLOOKUP(COUNTIF(I7:XFD7,"&gt;"&amp;0)-MIN($F$1+1,COUNTIF(I7:XFD7,"&gt;"&amp;0)),I$1:XFD7,A7+1,FALSE))</f>
        <v>53578</v>
      </c>
      <c r="G7" s="8">
        <f t="shared" si="6"/>
        <v>1.0850702436006965</v>
      </c>
      <c r="H7" s="15" t="s">
        <v>58</v>
      </c>
      <c r="I7" s="9">
        <v>155</v>
      </c>
      <c r="J7" s="9">
        <v>229</v>
      </c>
      <c r="K7" s="9">
        <v>322</v>
      </c>
      <c r="L7" s="9">
        <v>453</v>
      </c>
      <c r="M7" s="9">
        <v>655</v>
      </c>
      <c r="N7" s="9">
        <v>888</v>
      </c>
      <c r="O7" s="9">
        <v>1128</v>
      </c>
      <c r="P7" s="9">
        <v>1694</v>
      </c>
      <c r="Q7" s="9">
        <v>2036</v>
      </c>
      <c r="R7" s="9">
        <v>2502</v>
      </c>
      <c r="S7" s="9">
        <v>3089</v>
      </c>
      <c r="T7" s="9">
        <v>3858</v>
      </c>
      <c r="U7" s="9">
        <v>4636</v>
      </c>
      <c r="V7" s="9">
        <v>5883</v>
      </c>
      <c r="W7" s="9">
        <v>7375</v>
      </c>
      <c r="X7" s="9">
        <v>9172</v>
      </c>
      <c r="Y7" s="9">
        <v>10149</v>
      </c>
      <c r="Z7" s="9">
        <v>12462</v>
      </c>
      <c r="AA7" s="9">
        <v>15113</v>
      </c>
      <c r="AB7" s="9">
        <v>17660</v>
      </c>
      <c r="AC7" s="9">
        <v>21157</v>
      </c>
      <c r="AD7" s="9">
        <v>24747</v>
      </c>
      <c r="AE7" s="9">
        <v>27980</v>
      </c>
      <c r="AF7" s="9">
        <v>31506</v>
      </c>
      <c r="AG7" s="9">
        <v>35713</v>
      </c>
      <c r="AH7" s="9">
        <v>41035</v>
      </c>
      <c r="AI7" s="9">
        <v>47021</v>
      </c>
      <c r="AJ7" s="9">
        <v>53578</v>
      </c>
      <c r="AK7" s="9">
        <v>59138</v>
      </c>
      <c r="AL7" s="9">
        <v>63927</v>
      </c>
      <c r="AM7" s="9">
        <v>69176</v>
      </c>
      <c r="AN7" s="9">
        <v>74386</v>
      </c>
      <c r="AO7" s="9">
        <v>80589</v>
      </c>
    </row>
    <row r="8" spans="1:307" x14ac:dyDescent="0.25">
      <c r="A8" s="9">
        <f t="shared" si="9"/>
        <v>7</v>
      </c>
      <c r="B8" s="9">
        <f t="array" ref="B8">IF(C8="",0,IF(OR(C8=Country_Comparison!$S$10:$S$29),1,0))</f>
        <v>1</v>
      </c>
      <c r="C8" s="9" t="str">
        <f t="shared" si="14"/>
        <v>Spain</v>
      </c>
      <c r="D8" s="6">
        <f t="shared" si="5"/>
        <v>57786</v>
      </c>
      <c r="E8" s="6">
        <f>IF(COUNTIF(I8:XFD8,"&gt;"&amp;0)=0,,HLOOKUP(COUNTIF(I8:XFD8,"&gt;"&amp;0)-1,I$1:XFD8,A8+1,FALSE))</f>
        <v>57786</v>
      </c>
      <c r="F8" s="7">
        <f>IF(COUNTIF(I8:XFD8,"&gt;"&amp;0)=0,,HLOOKUP(COUNTIF(I8:XFD8,"&gt;"&amp;0)-MIN($F$1+1,COUNTIF(I8:XFD8,"&gt;"&amp;0)),I$1:XFD8,A8+1,FALSE))</f>
        <v>25374</v>
      </c>
      <c r="G8" s="8">
        <f t="shared" si="6"/>
        <v>1.1789265261399147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</row>
    <row r="9" spans="1:307" x14ac:dyDescent="0.25">
      <c r="A9" s="9">
        <f t="shared" si="9"/>
        <v>8</v>
      </c>
      <c r="B9" s="9">
        <f t="array" ref="B9">IF(C9="",0,IF(OR(C9=Country_Comparison!$S$10:$S$29),1,0))</f>
        <v>1</v>
      </c>
      <c r="C9" s="9" t="str">
        <f t="shared" si="14"/>
        <v>Germany</v>
      </c>
      <c r="D9" s="6">
        <f t="shared" si="5"/>
        <v>43938</v>
      </c>
      <c r="E9" s="6">
        <f>IF(COUNTIF(I9:XFD9,"&gt;"&amp;0)=0,,HLOOKUP(COUNTIF(I9:XFD9,"&gt;"&amp;0)-1,I$1:XFD9,A9+1,FALSE))</f>
        <v>43938</v>
      </c>
      <c r="F9" s="7">
        <f>IF(COUNTIF(I9:XFD9,"&gt;"&amp;0)=0,,HLOOKUP(COUNTIF(I9:XFD9,"&gt;"&amp;0)-MIN($F$1+1,COUNTIF(I9:XFD9,"&gt;"&amp;0)),I$1:XFD9,A9+1,FALSE))</f>
        <v>22213</v>
      </c>
      <c r="G9" s="8">
        <f t="shared" si="6"/>
        <v>1.1461636042700556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</row>
    <row r="10" spans="1:307" x14ac:dyDescent="0.25">
      <c r="A10" s="9">
        <f t="shared" si="9"/>
        <v>9</v>
      </c>
      <c r="B10" s="9">
        <f t="array" ref="B10">IF(C10="",0,IF(OR(C10=Country_Comparison!$S$10:$S$29),1,0))</f>
        <v>1</v>
      </c>
      <c r="C10" s="9" t="str">
        <f t="shared" si="14"/>
        <v>France</v>
      </c>
      <c r="D10" s="6">
        <f t="shared" si="5"/>
        <v>29551</v>
      </c>
      <c r="E10" s="6">
        <f>IF(COUNTIF(I10:XFD10,"&gt;"&amp;0)=0,,HLOOKUP(COUNTIF(I10:XFD10,"&gt;"&amp;0)-1,I$1:XFD10,A10+1,FALSE))</f>
        <v>29551</v>
      </c>
      <c r="F10" s="7">
        <f>IF(COUNTIF(I10:XFD10,"&gt;"&amp;0)=0,,HLOOKUP(COUNTIF(I10:XFD10,"&gt;"&amp;0)-MIN($F$1+1,COUNTIF(I10:XFD10,"&gt;"&amp;0)),I$1:XFD10,A10+1,FALSE))</f>
        <v>14463</v>
      </c>
      <c r="G10" s="8">
        <f t="shared" si="6"/>
        <v>1.1536199533902116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</row>
    <row r="11" spans="1:307" x14ac:dyDescent="0.25">
      <c r="A11" s="9">
        <f t="shared" si="9"/>
        <v>10</v>
      </c>
      <c r="B11" s="9">
        <f t="array" ref="B11">IF(C11="",0,IF(OR(C11=Country_Comparison!$S$10:$S$29),1,0))</f>
        <v>1</v>
      </c>
      <c r="C11" s="9" t="str">
        <f t="shared" si="14"/>
        <v>United Kingdom</v>
      </c>
      <c r="D11" s="6">
        <f t="shared" si="5"/>
        <v>11812</v>
      </c>
      <c r="E11" s="6">
        <f>IF(COUNTIF(I11:XFD11,"&gt;"&amp;0)=0,,HLOOKUP(COUNTIF(I11:XFD11,"&gt;"&amp;0)-1,I$1:XFD11,A11+1,FALSE))</f>
        <v>11812</v>
      </c>
      <c r="F11" s="7">
        <f>IF(COUNTIF(I11:XFD11,"&gt;"&amp;0)=0,,HLOOKUP(COUNTIF(I11:XFD11,"&gt;"&amp;0)-MIN($F$1+1,COUNTIF(I11:XFD11,"&gt;"&amp;0)),I$1:XFD11,A11+1,FALSE))</f>
        <v>5067</v>
      </c>
      <c r="G11" s="8">
        <f t="shared" si="6"/>
        <v>1.1844439304858052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</row>
    <row r="12" spans="1:307" x14ac:dyDescent="0.25">
      <c r="A12" s="9">
        <f t="shared" si="9"/>
        <v>11</v>
      </c>
      <c r="B12" s="9">
        <f t="array" ref="B12">IF(C12="",0,IF(OR(C12=Country_Comparison!$S$10:$S$29),1,0))</f>
        <v>0</v>
      </c>
      <c r="C12" s="9" t="str">
        <f t="shared" si="14"/>
        <v>World</v>
      </c>
      <c r="D12" s="6">
        <f t="shared" si="5"/>
        <v>527572</v>
      </c>
      <c r="E12" s="6">
        <f>IF(COUNTIF(I12:XFD12,"&gt;"&amp;0)=0,,HLOOKUP(COUNTIF(I12:XFD12,"&gt;"&amp;0)-1,I$1:XFD12,A12+1,FALSE))</f>
        <v>527572</v>
      </c>
      <c r="F12" s="7">
        <f>IF(COUNTIF(I12:XFD12,"&gt;"&amp;0)=0,,HLOOKUP(COUNTIF(I12:XFD12,"&gt;"&amp;0)-MIN($F$1+1,COUNTIF(I12:XFD12,"&gt;"&amp;0)),I$1:XFD12,A12+1,FALSE))</f>
        <v>303183</v>
      </c>
      <c r="G12" s="8">
        <f t="shared" si="6"/>
        <v>1.1171600026965167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45046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</row>
    <row r="13" spans="1:307" x14ac:dyDescent="0.25">
      <c r="A13" s="9">
        <f t="shared" si="9"/>
        <v>12</v>
      </c>
      <c r="B13" s="9">
        <f t="array" ref="B13">IF(C13="",0,IF(OR(C13=Country_Comparison!$S$10:$S$29),1,0))</f>
        <v>0</v>
      </c>
      <c r="C13" s="9" t="str">
        <f t="shared" si="14"/>
        <v>Europe</v>
      </c>
      <c r="D13" s="6">
        <f t="shared" si="5"/>
        <v>287075</v>
      </c>
      <c r="E13" s="6">
        <f>IF(COUNTIF(I13:XFD13,"&gt;"&amp;0)=0,,HLOOKUP(COUNTIF(I13:XFD13,"&gt;"&amp;0)-1,I$1:XFD13,A13+1,FALSE))</f>
        <v>287075</v>
      </c>
      <c r="F13" s="7">
        <f>IF(COUNTIF(I13:XFD13,"&gt;"&amp;0)=0,,HLOOKUP(COUNTIF(I13:XFD13,"&gt;"&amp;0)-MIN($F$1+1,COUNTIF(I13:XFD13,"&gt;"&amp;0)),I$1:XFD13,A13+1,FALSE))</f>
        <v>151490</v>
      </c>
      <c r="G13" s="8">
        <f t="shared" si="6"/>
        <v>1.1363765982426959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</row>
    <row r="14" spans="1:307" x14ac:dyDescent="0.25">
      <c r="A14" s="9">
        <f t="shared" si="9"/>
        <v>13</v>
      </c>
      <c r="B14" s="9">
        <f t="array" ref="B14">IF(C14="",0,IF(OR(C14=Country_Comparison!$S$10:$S$29),1,0))</f>
        <v>0</v>
      </c>
      <c r="C14" s="9" t="str">
        <f t="shared" si="14"/>
        <v>Asia</v>
      </c>
      <c r="D14" s="6">
        <f t="shared" si="5"/>
        <v>101468</v>
      </c>
      <c r="E14" s="6">
        <f>IF(COUNTIF(I14:XFD14,"&gt;"&amp;0)=0,,HLOOKUP(COUNTIF(I14:XFD14,"&gt;"&amp;0)-1,I$1:XFD14,A14+1,FALSE))</f>
        <v>101468</v>
      </c>
      <c r="F14" s="7">
        <f>IF(COUNTIF(I14:XFD14,"&gt;"&amp;0)=0,,HLOOKUP(COUNTIF(I14:XFD14,"&gt;"&amp;0)-MIN($F$1+1,COUNTIF(I14:XFD14,"&gt;"&amp;0)),I$1:XFD14,A14+1,FALSE))</f>
        <v>95824</v>
      </c>
      <c r="G14" s="8">
        <f t="shared" si="6"/>
        <v>1.0115118172590858</v>
      </c>
      <c r="H14" s="13" t="s">
        <v>608</v>
      </c>
      <c r="I14" s="9">
        <v>554</v>
      </c>
      <c r="J14" s="9">
        <v>653</v>
      </c>
      <c r="K14" s="9">
        <v>937</v>
      </c>
      <c r="L14" s="9">
        <v>1429</v>
      </c>
      <c r="M14" s="9">
        <v>2105</v>
      </c>
      <c r="N14" s="9">
        <v>2911</v>
      </c>
      <c r="O14" s="9">
        <v>5557</v>
      </c>
      <c r="P14" s="9">
        <v>6138</v>
      </c>
      <c r="Q14" s="9">
        <v>8203</v>
      </c>
      <c r="R14" s="9">
        <v>9886</v>
      </c>
      <c r="S14" s="9">
        <v>11988</v>
      </c>
      <c r="T14" s="9">
        <v>16734</v>
      </c>
      <c r="U14" s="9">
        <v>19823</v>
      </c>
      <c r="V14" s="9">
        <v>23832</v>
      </c>
      <c r="W14" s="9">
        <v>27574</v>
      </c>
      <c r="X14" s="9">
        <v>30732</v>
      </c>
      <c r="Y14" s="9">
        <v>34262</v>
      </c>
      <c r="Z14" s="9">
        <v>36984</v>
      </c>
      <c r="AA14" s="9">
        <v>40009</v>
      </c>
      <c r="AB14" s="9">
        <v>42544</v>
      </c>
      <c r="AC14" s="9">
        <v>44581</v>
      </c>
      <c r="AD14" s="9">
        <v>44959</v>
      </c>
      <c r="AE14" s="9">
        <v>60105</v>
      </c>
      <c r="AF14" s="9">
        <v>66578</v>
      </c>
      <c r="AG14" s="9">
        <v>68655</v>
      </c>
      <c r="AH14" s="9">
        <v>70778</v>
      </c>
      <c r="AI14" s="9">
        <v>72712</v>
      </c>
      <c r="AJ14" s="9">
        <v>74502</v>
      </c>
      <c r="AK14" s="9">
        <v>74924</v>
      </c>
      <c r="AL14" s="9">
        <v>75466</v>
      </c>
      <c r="AM14" s="9">
        <v>76053</v>
      </c>
      <c r="AN14" s="9">
        <v>77750</v>
      </c>
      <c r="AO14" s="9">
        <v>77971</v>
      </c>
      <c r="AP14" s="9">
        <v>78435</v>
      </c>
      <c r="AQ14" s="9">
        <v>79108</v>
      </c>
      <c r="AR14" s="9">
        <v>79831</v>
      </c>
      <c r="AS14" s="9">
        <v>80796</v>
      </c>
      <c r="AT14" s="9">
        <v>81712</v>
      </c>
      <c r="AU14" s="9">
        <v>82985</v>
      </c>
      <c r="AV14" s="9">
        <v>84174</v>
      </c>
      <c r="AW14" s="9">
        <v>85004</v>
      </c>
      <c r="AX14" s="9">
        <v>86010</v>
      </c>
      <c r="AY14" s="9">
        <v>86645</v>
      </c>
      <c r="AZ14" s="9">
        <v>87311</v>
      </c>
      <c r="BA14" s="9">
        <v>88093</v>
      </c>
      <c r="BB14" s="9">
        <v>88691</v>
      </c>
      <c r="BC14" s="9">
        <v>89110</v>
      </c>
      <c r="BD14" s="9">
        <v>89366</v>
      </c>
      <c r="BE14" s="9">
        <v>89578</v>
      </c>
      <c r="BF14" s="9">
        <v>90009</v>
      </c>
      <c r="BG14" s="9">
        <v>90170</v>
      </c>
      <c r="BH14" s="9">
        <v>90559</v>
      </c>
      <c r="BI14" s="9">
        <v>90960</v>
      </c>
      <c r="BJ14" s="9">
        <v>91494</v>
      </c>
      <c r="BK14" s="9">
        <v>91957</v>
      </c>
      <c r="BL14" s="9">
        <v>92557</v>
      </c>
      <c r="BM14" s="9">
        <v>93142</v>
      </c>
      <c r="BN14" s="9">
        <v>93991</v>
      </c>
      <c r="BO14" s="9">
        <v>94711</v>
      </c>
      <c r="BP14" s="9">
        <v>95824</v>
      </c>
      <c r="BQ14" s="9">
        <v>96920</v>
      </c>
      <c r="BR14" s="9">
        <v>97888</v>
      </c>
      <c r="BS14" s="9">
        <v>98851</v>
      </c>
      <c r="BT14" s="9">
        <v>100098</v>
      </c>
      <c r="BU14" s="9">
        <v>101468</v>
      </c>
    </row>
    <row r="15" spans="1:307" x14ac:dyDescent="0.25">
      <c r="A15" s="9">
        <f t="shared" si="9"/>
        <v>14</v>
      </c>
      <c r="B15" s="9">
        <f t="array" ref="B15">IF(C15="",0,IF(OR(C15=Country_Comparison!$S$10:$S$29),1,0))</f>
        <v>0</v>
      </c>
      <c r="C15" s="9" t="str">
        <f t="shared" si="14"/>
        <v>North America</v>
      </c>
      <c r="D15" s="6">
        <f t="shared" si="5"/>
        <v>89242</v>
      </c>
      <c r="E15" s="6">
        <f>IF(COUNTIF(I15:XFD15,"&gt;"&amp;0)=0,,HLOOKUP(COUNTIF(I15:XFD15,"&gt;"&amp;0)-1,I$1:XFD15,A15+1,FALSE))</f>
        <v>89242</v>
      </c>
      <c r="F15" s="7">
        <f>IF(COUNTIF(I15:XFD15,"&gt;"&amp;0)=0,,HLOOKUP(COUNTIF(I15:XFD15,"&gt;"&amp;0)-MIN($F$1+1,COUNTIF(I15:XFD15,"&gt;"&amp;0)),I$1:XFD15,A15+1,FALSE))</f>
        <v>27324</v>
      </c>
      <c r="G15" s="8">
        <f t="shared" si="6"/>
        <v>1.2670828232593172</v>
      </c>
      <c r="H15" s="13" t="s">
        <v>611</v>
      </c>
      <c r="I15" s="9">
        <v>103</v>
      </c>
      <c r="J15" s="9">
        <v>130</v>
      </c>
      <c r="K15" s="9">
        <v>153</v>
      </c>
      <c r="L15" s="9">
        <v>187</v>
      </c>
      <c r="M15" s="9">
        <v>259</v>
      </c>
      <c r="N15" s="9">
        <v>318</v>
      </c>
      <c r="O15" s="9">
        <v>463</v>
      </c>
      <c r="P15" s="9">
        <v>594</v>
      </c>
      <c r="Q15" s="9">
        <v>676</v>
      </c>
      <c r="R15" s="9">
        <v>1055</v>
      </c>
      <c r="S15" s="9">
        <v>1419</v>
      </c>
      <c r="T15" s="9">
        <v>1830</v>
      </c>
      <c r="U15" s="9">
        <v>2447</v>
      </c>
      <c r="V15" s="9">
        <v>3026</v>
      </c>
      <c r="W15" s="9">
        <v>3877</v>
      </c>
      <c r="X15" s="9">
        <v>5205</v>
      </c>
      <c r="Y15" s="9">
        <v>7109</v>
      </c>
      <c r="Z15" s="9">
        <v>8690</v>
      </c>
      <c r="AA15" s="9">
        <v>14800</v>
      </c>
      <c r="AB15" s="9">
        <v>20466</v>
      </c>
      <c r="AC15" s="9">
        <v>27324</v>
      </c>
      <c r="AD15" s="9">
        <v>35498</v>
      </c>
      <c r="AE15" s="9">
        <v>46816</v>
      </c>
      <c r="AF15" s="9">
        <v>57491</v>
      </c>
      <c r="AG15" s="9">
        <v>70164</v>
      </c>
      <c r="AH15" s="9">
        <v>89242</v>
      </c>
    </row>
    <row r="16" spans="1:307" x14ac:dyDescent="0.25">
      <c r="A16" s="9">
        <f t="shared" si="9"/>
        <v>15</v>
      </c>
      <c r="B16" s="9">
        <f t="array" ref="B16">IF(C16="",0,IF(OR(C16=Country_Comparison!$S$10:$S$29),1,0))</f>
        <v>0</v>
      </c>
      <c r="C16" s="9" t="str">
        <f t="shared" si="14"/>
        <v>Middle East</v>
      </c>
      <c r="D16" s="6">
        <f t="shared" si="5"/>
        <v>35824</v>
      </c>
      <c r="E16" s="6">
        <f>IF(COUNTIF(I16:XFD16,"&gt;"&amp;0)=0,,HLOOKUP(COUNTIF(I16:XFD16,"&gt;"&amp;0)-1,I$1:XFD16,A16+1,FALSE))</f>
        <v>35824</v>
      </c>
      <c r="F16" s="7">
        <f>IF(COUNTIF(I16:XFD16,"&gt;"&amp;0)=0,,HLOOKUP(COUNTIF(I16:XFD16,"&gt;"&amp;0)-MIN($F$1+1,COUNTIF(I16:XFD16,"&gt;"&amp;0)),I$1:XFD16,A16+1,FALSE))</f>
        <v>23391</v>
      </c>
      <c r="G16" s="8">
        <f t="shared" si="6"/>
        <v>1.0889929230708364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</row>
    <row r="17" spans="1:44" x14ac:dyDescent="0.25">
      <c r="A17" s="9">
        <f t="shared" si="9"/>
        <v>16</v>
      </c>
      <c r="B17" s="9">
        <f t="array" ref="B17">IF(C17="",0,IF(OR(C17=Country_Comparison!$S$10:$S$29),1,0))</f>
        <v>0</v>
      </c>
      <c r="C17" s="9" t="str">
        <f t="shared" si="14"/>
        <v>Iran</v>
      </c>
      <c r="D17" s="6">
        <f t="shared" si="5"/>
        <v>29406</v>
      </c>
      <c r="E17" s="6">
        <f>IF(COUNTIF(I17:XFD17,"&gt;"&amp;0)=0,,HLOOKUP(COUNTIF(I17:XFD17,"&gt;"&amp;0)-1,I$1:XFD17,A17+1,FALSE))</f>
        <v>29406</v>
      </c>
      <c r="F17" s="7">
        <f>IF(COUNTIF(I17:XFD17,"&gt;"&amp;0)=0,,HLOOKUP(COUNTIF(I17:XFD17,"&gt;"&amp;0)-MIN($F$1+1,COUNTIF(I17:XFD17,"&gt;"&amp;0)),I$1:XFD17,A17+1,FALSE))</f>
        <v>20610</v>
      </c>
      <c r="G17" s="8">
        <f t="shared" si="6"/>
        <v>1.0736719130117174</v>
      </c>
      <c r="H17" s="15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</row>
    <row r="18" spans="1:44" x14ac:dyDescent="0.25">
      <c r="A18" s="9">
        <f t="shared" si="9"/>
        <v>17</v>
      </c>
      <c r="B18" s="9">
        <f t="array" ref="B18">IF(C18="",0,IF(OR(C18=Country_Comparison!$S$10:$S$29),1,0))</f>
        <v>0</v>
      </c>
      <c r="C18" s="9" t="str">
        <f t="shared" si="14"/>
        <v>Switzerland</v>
      </c>
      <c r="D18" s="6">
        <f t="shared" si="5"/>
        <v>11811</v>
      </c>
      <c r="E18" s="6">
        <f>IF(COUNTIF(I18:XFD18,"&gt;"&amp;0)=0,,HLOOKUP(COUNTIF(I18:XFD18,"&gt;"&amp;0)-1,I$1:XFD18,A18+1,FALSE))</f>
        <v>11811</v>
      </c>
      <c r="F18" s="7">
        <f>IF(COUNTIF(I18:XFD18,"&gt;"&amp;0)=0,,HLOOKUP(COUNTIF(I18:XFD18,"&gt;"&amp;0)-MIN($F$1+1,COUNTIF(I18:XFD18,"&gt;"&amp;0)),I$1:XFD18,A18+1,FALSE))</f>
        <v>6575</v>
      </c>
      <c r="G18" s="8">
        <f t="shared" si="6"/>
        <v>1.1242895718730936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</row>
    <row r="19" spans="1:44" x14ac:dyDescent="0.25">
      <c r="A19" s="9">
        <f t="shared" si="9"/>
        <v>18</v>
      </c>
      <c r="B19" s="9">
        <f t="array" ref="B19">IF(C19="",0,IF(OR(C19=Country_Comparison!$S$10:$S$29),1,0))</f>
        <v>0</v>
      </c>
      <c r="C19" s="9" t="str">
        <f t="shared" si="14"/>
        <v>Korea, South</v>
      </c>
      <c r="D19" s="6">
        <f t="shared" si="5"/>
        <v>9241</v>
      </c>
      <c r="E19" s="6">
        <f>IF(COUNTIF(I19:XFD19,"&gt;"&amp;0)=0,,HLOOKUP(COUNTIF(I19:XFD19,"&gt;"&amp;0)-1,I$1:XFD19,A19+1,FALSE))</f>
        <v>9241</v>
      </c>
      <c r="F19" s="7">
        <f>IF(COUNTIF(I19:XFD19,"&gt;"&amp;0)=0,,HLOOKUP(COUNTIF(I19:XFD19,"&gt;"&amp;0)-MIN($F$1+1,COUNTIF(I19:XFD19,"&gt;"&amp;0)),I$1:XFD19,A19+1,FALSE))</f>
        <v>8799</v>
      </c>
      <c r="G19" s="8">
        <f t="shared" si="6"/>
        <v>1.0098506061891386</v>
      </c>
      <c r="H19" s="13" t="s">
        <v>339</v>
      </c>
      <c r="I19" s="9">
        <v>104</v>
      </c>
      <c r="J19" s="9">
        <v>204</v>
      </c>
      <c r="K19" s="9">
        <v>433</v>
      </c>
      <c r="L19" s="9">
        <v>602</v>
      </c>
      <c r="M19" s="9">
        <v>833</v>
      </c>
      <c r="N19" s="9">
        <v>977</v>
      </c>
      <c r="O19" s="9">
        <v>1261</v>
      </c>
      <c r="P19" s="9">
        <v>1766</v>
      </c>
      <c r="Q19" s="9">
        <v>2337</v>
      </c>
      <c r="R19" s="9">
        <v>3150</v>
      </c>
      <c r="S19" s="9">
        <v>3736</v>
      </c>
      <c r="T19" s="9">
        <v>4335</v>
      </c>
      <c r="U19" s="9">
        <v>5186</v>
      </c>
      <c r="V19" s="9">
        <v>5621</v>
      </c>
      <c r="W19" s="9">
        <v>6088</v>
      </c>
      <c r="X19" s="9">
        <v>6593</v>
      </c>
      <c r="Y19" s="9">
        <v>7041</v>
      </c>
      <c r="Z19" s="9">
        <v>7314</v>
      </c>
      <c r="AA19" s="9">
        <v>7478</v>
      </c>
      <c r="AB19" s="9">
        <v>7513</v>
      </c>
      <c r="AC19" s="9">
        <v>7755</v>
      </c>
      <c r="AD19" s="9">
        <v>7869</v>
      </c>
      <c r="AE19" s="9">
        <v>7979</v>
      </c>
      <c r="AF19" s="9">
        <v>8086</v>
      </c>
      <c r="AG19" s="9">
        <v>8162</v>
      </c>
      <c r="AH19" s="9">
        <v>8236</v>
      </c>
      <c r="AI19" s="9">
        <v>8320</v>
      </c>
      <c r="AJ19" s="9">
        <v>8413</v>
      </c>
      <c r="AK19" s="9">
        <v>8565</v>
      </c>
      <c r="AL19" s="9">
        <v>8652</v>
      </c>
      <c r="AM19" s="9">
        <v>8799</v>
      </c>
      <c r="AN19" s="9">
        <v>8961</v>
      </c>
      <c r="AO19" s="9">
        <v>8961</v>
      </c>
      <c r="AP19" s="9">
        <v>9037</v>
      </c>
      <c r="AQ19" s="9">
        <v>9137</v>
      </c>
      <c r="AR19" s="9">
        <v>9241</v>
      </c>
    </row>
    <row r="20" spans="1:44" x14ac:dyDescent="0.25">
      <c r="A20" s="9">
        <f t="shared" si="9"/>
        <v>19</v>
      </c>
      <c r="B20" s="9">
        <f t="array" ref="B20">IF(C20="",0,IF(OR(C20=Country_Comparison!$S$10:$S$29),1,0))</f>
        <v>0</v>
      </c>
      <c r="C20" s="9" t="str">
        <f t="shared" si="14"/>
        <v>South America</v>
      </c>
      <c r="D20" s="6">
        <f t="shared" si="5"/>
        <v>7992</v>
      </c>
      <c r="E20" s="6">
        <f>IF(COUNTIF(I20:XFD20,"&gt;"&amp;0)=0,,HLOOKUP(COUNTIF(I20:XFD20,"&gt;"&amp;0)-1,I$1:XFD20,A20+1,FALSE))</f>
        <v>7992</v>
      </c>
      <c r="F20" s="7">
        <f>IF(COUNTIF(I20:XFD20,"&gt;"&amp;0)=0,,HLOOKUP(COUNTIF(I20:XFD20,"&gt;"&amp;0)-MIN($F$1+1,COUNTIF(I20:XFD20,"&gt;"&amp;0)),I$1:XFD20,A20+1,FALSE))</f>
        <v>2969</v>
      </c>
      <c r="G20" s="8">
        <f t="shared" si="6"/>
        <v>1.2190150164827027</v>
      </c>
      <c r="H20" s="13" t="s">
        <v>612</v>
      </c>
      <c r="I20" s="9">
        <v>134</v>
      </c>
      <c r="J20" s="9">
        <v>153</v>
      </c>
      <c r="K20" s="9">
        <v>305</v>
      </c>
      <c r="L20" s="9">
        <v>371</v>
      </c>
      <c r="M20" s="9">
        <v>427</v>
      </c>
      <c r="N20" s="9">
        <v>635</v>
      </c>
      <c r="O20" s="9">
        <v>919</v>
      </c>
      <c r="P20" s="9">
        <v>1133</v>
      </c>
      <c r="Q20" s="9">
        <v>1604</v>
      </c>
      <c r="R20" s="9">
        <v>2266</v>
      </c>
      <c r="S20" s="9">
        <v>2969</v>
      </c>
      <c r="T20" s="9">
        <v>4204</v>
      </c>
      <c r="U20" s="9">
        <v>5055</v>
      </c>
      <c r="V20" s="9">
        <v>5926</v>
      </c>
      <c r="W20" s="9">
        <v>6804</v>
      </c>
      <c r="X20" s="9">
        <v>7992</v>
      </c>
    </row>
    <row r="21" spans="1:44" x14ac:dyDescent="0.25">
      <c r="A21" s="9">
        <f t="shared" si="9"/>
        <v>20</v>
      </c>
      <c r="B21" s="9">
        <f t="array" ref="B21">IF(C21="",0,IF(OR(C21=Country_Comparison!$S$10:$S$29),1,0))</f>
        <v>0</v>
      </c>
      <c r="C21" s="9" t="str">
        <f t="shared" si="14"/>
        <v>Netherlands</v>
      </c>
      <c r="D21" s="6">
        <f t="shared" si="5"/>
        <v>7468</v>
      </c>
      <c r="E21" s="6">
        <f>IF(COUNTIF(I21:XFD21,"&gt;"&amp;0)=0,,HLOOKUP(COUNTIF(I21:XFD21,"&gt;"&amp;0)-1,I$1:XFD21,A21+1,FALSE))</f>
        <v>7468</v>
      </c>
      <c r="F21" s="7">
        <f>IF(COUNTIF(I21:XFD21,"&gt;"&amp;0)=0,,HLOOKUP(COUNTIF(I21:XFD21,"&gt;"&amp;0)-MIN($F$1+1,COUNTIF(I21:XFD21,"&gt;"&amp;0)),I$1:XFD21,A21+1,FALSE))</f>
        <v>3640</v>
      </c>
      <c r="G21" s="8">
        <f t="shared" si="6"/>
        <v>1.1545708411316351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</row>
    <row r="22" spans="1:44" x14ac:dyDescent="0.25">
      <c r="A22" s="9">
        <f t="shared" si="9"/>
        <v>21</v>
      </c>
      <c r="B22" s="9">
        <f t="array" ref="B22">IF(C22="",0,IF(OR(C22=Country_Comparison!$S$10:$S$29),1,0))</f>
        <v>0</v>
      </c>
      <c r="C22" s="9" t="str">
        <f t="shared" si="14"/>
        <v>Austria</v>
      </c>
      <c r="D22" s="6">
        <f t="shared" si="5"/>
        <v>6909</v>
      </c>
      <c r="E22" s="6">
        <f>IF(COUNTIF(I22:XFD22,"&gt;"&amp;0)=0,,HLOOKUP(COUNTIF(I22:XFD22,"&gt;"&amp;0)-1,I$1:XFD22,A22+1,FALSE))</f>
        <v>6909</v>
      </c>
      <c r="F22" s="7">
        <f>IF(COUNTIF(I22:XFD22,"&gt;"&amp;0)=0,,HLOOKUP(COUNTIF(I22:XFD22,"&gt;"&amp;0)-MIN($F$1+1,COUNTIF(I22:XFD22,"&gt;"&amp;0)),I$1:XFD22,A22+1,FALSE))</f>
        <v>2814</v>
      </c>
      <c r="G22" s="8">
        <f t="shared" si="6"/>
        <v>1.196790739107451</v>
      </c>
      <c r="H22" s="13" t="s">
        <v>78</v>
      </c>
      <c r="I22" s="9">
        <v>104</v>
      </c>
      <c r="J22" s="9">
        <v>131</v>
      </c>
      <c r="K22" s="9">
        <v>182</v>
      </c>
      <c r="L22" s="9">
        <v>246</v>
      </c>
      <c r="M22" s="9">
        <v>302</v>
      </c>
      <c r="N22" s="9">
        <v>504</v>
      </c>
      <c r="O22" s="9">
        <v>655</v>
      </c>
      <c r="P22" s="9">
        <v>860</v>
      </c>
      <c r="Q22" s="9">
        <v>1018</v>
      </c>
      <c r="R22" s="9">
        <v>1332</v>
      </c>
      <c r="S22" s="9">
        <v>1646</v>
      </c>
      <c r="T22" s="9">
        <v>2013</v>
      </c>
      <c r="U22" s="9">
        <v>2388</v>
      </c>
      <c r="V22" s="9">
        <v>2814</v>
      </c>
      <c r="W22" s="9">
        <v>3582</v>
      </c>
      <c r="X22" s="9">
        <v>4474</v>
      </c>
      <c r="Y22" s="9">
        <v>5283</v>
      </c>
      <c r="Z22" s="9">
        <v>5588</v>
      </c>
      <c r="AA22" s="9">
        <v>6909</v>
      </c>
    </row>
    <row r="23" spans="1:44" x14ac:dyDescent="0.25">
      <c r="A23" s="9">
        <f t="shared" si="9"/>
        <v>22</v>
      </c>
      <c r="B23" s="9">
        <f t="array" ref="B23">IF(C23="",0,IF(OR(C23=Country_Comparison!$S$10:$S$29),1,0))</f>
        <v>0</v>
      </c>
      <c r="C23" s="9" t="str">
        <f t="shared" si="14"/>
        <v>Belgium</v>
      </c>
      <c r="D23" s="6">
        <f t="shared" si="5"/>
        <v>6235</v>
      </c>
      <c r="E23" s="6">
        <f>IF(COUNTIF(I23:XFD23,"&gt;"&amp;0)=0,,HLOOKUP(COUNTIF(I23:XFD23,"&gt;"&amp;0)-1,I$1:XFD23,A23+1,FALSE))</f>
        <v>6235</v>
      </c>
      <c r="F23" s="7">
        <f>IF(COUNTIF(I23:XFD23,"&gt;"&amp;0)=0,,HLOOKUP(COUNTIF(I23:XFD23,"&gt;"&amp;0)-MIN($F$1+1,COUNTIF(I23:XFD23,"&gt;"&amp;0)),I$1:XFD23,A23+1,FALSE))</f>
        <v>2815</v>
      </c>
      <c r="G23" s="8">
        <f t="shared" si="6"/>
        <v>1.1723886672301003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</row>
    <row r="24" spans="1:44" x14ac:dyDescent="0.25">
      <c r="A24" s="9">
        <f t="shared" si="9"/>
        <v>23</v>
      </c>
      <c r="B24" s="9">
        <f t="array" ref="B24">IF(C24="",0,IF(OR(C24=Country_Comparison!$S$10:$S$29),1,0))</f>
        <v>0</v>
      </c>
      <c r="C24" s="9" t="str">
        <f t="shared" si="14"/>
        <v>Canada</v>
      </c>
      <c r="D24" s="6">
        <f t="shared" si="5"/>
        <v>4042</v>
      </c>
      <c r="E24" s="6">
        <f>IF(COUNTIF(I24:XFD24,"&gt;"&amp;0)=0,,HLOOKUP(COUNTIF(I24:XFD24,"&gt;"&amp;0)-1,I$1:XFD24,A24+1,FALSE))</f>
        <v>4042</v>
      </c>
      <c r="F24" s="7">
        <f>IF(COUNTIF(I24:XFD24,"&gt;"&amp;0)=0,,HLOOKUP(COUNTIF(I24:XFD24,"&gt;"&amp;0)-MIN($F$1+1,COUNTIF(I24:XFD24,"&gt;"&amp;0)),I$1:XFD24,A24+1,FALSE))</f>
        <v>1277</v>
      </c>
      <c r="G24" s="8">
        <f t="shared" si="6"/>
        <v>1.2591604739611628</v>
      </c>
      <c r="H24" s="13" t="s">
        <v>45</v>
      </c>
      <c r="I24" s="9">
        <v>108</v>
      </c>
      <c r="J24" s="9">
        <v>117</v>
      </c>
      <c r="K24" s="9">
        <v>193</v>
      </c>
      <c r="L24" s="9">
        <v>198</v>
      </c>
      <c r="M24" s="9">
        <v>252</v>
      </c>
      <c r="N24" s="9">
        <v>415</v>
      </c>
      <c r="O24" s="9">
        <v>478</v>
      </c>
      <c r="P24" s="9">
        <v>657</v>
      </c>
      <c r="Q24" s="9">
        <v>800</v>
      </c>
      <c r="R24" s="9">
        <v>943</v>
      </c>
      <c r="S24" s="9">
        <v>1277</v>
      </c>
      <c r="T24" s="9">
        <v>1469</v>
      </c>
      <c r="U24" s="9">
        <v>2088</v>
      </c>
      <c r="V24" s="9">
        <v>2790</v>
      </c>
      <c r="W24" s="9">
        <v>3251</v>
      </c>
      <c r="X24" s="9">
        <v>4042</v>
      </c>
    </row>
    <row r="25" spans="1:44" x14ac:dyDescent="0.25">
      <c r="A25" s="9">
        <f t="shared" si="9"/>
        <v>24</v>
      </c>
      <c r="B25" s="9">
        <f t="array" ref="B25">IF(C25="",0,IF(OR(C25=Country_Comparison!$S$10:$S$29),1,0))</f>
        <v>0</v>
      </c>
      <c r="C25" s="9" t="str">
        <f t="shared" si="14"/>
        <v>Turkey</v>
      </c>
      <c r="D25" s="6">
        <f t="shared" si="5"/>
        <v>3629</v>
      </c>
      <c r="E25" s="6">
        <f>IF(COUNTIF(I25:XFD25,"&gt;"&amp;0)=0,,HLOOKUP(COUNTIF(I25:XFD25,"&gt;"&amp;0)-1,I$1:XFD25,A25+1,FALSE))</f>
        <v>3629</v>
      </c>
      <c r="F25" s="7">
        <f>IF(COUNTIF(I25:XFD25,"&gt;"&amp;0)=0,,HLOOKUP(COUNTIF(I25:XFD25,"&gt;"&amp;0)-MIN($F$1+1,COUNTIF(I25:XFD25,"&gt;"&amp;0)),I$1:XFD25,A25+1,FALSE))</f>
        <v>670</v>
      </c>
      <c r="G25" s="8">
        <f t="shared" si="6"/>
        <v>1.4019819849109492</v>
      </c>
      <c r="H25" s="13" t="s">
        <v>355</v>
      </c>
      <c r="I25" s="9">
        <v>192</v>
      </c>
      <c r="J25" s="9">
        <v>359</v>
      </c>
      <c r="K25" s="9">
        <v>670</v>
      </c>
      <c r="L25" s="9">
        <v>1236</v>
      </c>
      <c r="M25" s="9">
        <v>1529</v>
      </c>
      <c r="N25" s="9">
        <v>1872</v>
      </c>
      <c r="O25" s="9">
        <v>2433</v>
      </c>
      <c r="P25" s="9">
        <v>3629</v>
      </c>
    </row>
    <row r="26" spans="1:44" x14ac:dyDescent="0.25">
      <c r="A26" s="9">
        <f t="shared" si="9"/>
        <v>25</v>
      </c>
      <c r="B26" s="9">
        <f t="array" ref="B26">IF(C26="",0,IF(OR(C26=Country_Comparison!$S$10:$S$29),1,0))</f>
        <v>0</v>
      </c>
      <c r="C26" s="9" t="str">
        <f t="shared" si="14"/>
        <v>Portugal</v>
      </c>
      <c r="D26" s="6">
        <f t="shared" si="5"/>
        <v>3544</v>
      </c>
      <c r="E26" s="6">
        <f>IF(COUNTIF(I26:XFD26,"&gt;"&amp;0)=0,,HLOOKUP(COUNTIF(I26:XFD26,"&gt;"&amp;0)-1,I$1:XFD26,A26+1,FALSE))</f>
        <v>3544</v>
      </c>
      <c r="F26" s="7">
        <f>IF(COUNTIF(I26:XFD26,"&gt;"&amp;0)=0,,HLOOKUP(COUNTIF(I26:XFD26,"&gt;"&amp;0)-MIN($F$1+1,COUNTIF(I26:XFD26,"&gt;"&amp;0)),I$1:XFD26,A26+1,FALSE))</f>
        <v>1280</v>
      </c>
      <c r="G26" s="8">
        <f t="shared" si="6"/>
        <v>1.2259048090232181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</row>
    <row r="27" spans="1:44" x14ac:dyDescent="0.25">
      <c r="A27" s="9">
        <f t="shared" si="9"/>
        <v>26</v>
      </c>
      <c r="B27" s="9">
        <f t="array" ref="B27">IF(C27="",0,IF(OR(C27=Country_Comparison!$S$10:$S$29),1,0))</f>
        <v>0</v>
      </c>
      <c r="C27" s="9" t="str">
        <f t="shared" si="14"/>
        <v>Norway</v>
      </c>
      <c r="D27" s="6">
        <f t="shared" si="5"/>
        <v>3369</v>
      </c>
      <c r="E27" s="6">
        <f>IF(COUNTIF(I27:XFD27,"&gt;"&amp;0)=0,,HLOOKUP(COUNTIF(I27:XFD27,"&gt;"&amp;0)-1,I$1:XFD27,A27+1,FALSE))</f>
        <v>3369</v>
      </c>
      <c r="F27" s="7">
        <f>IF(COUNTIF(I27:XFD27,"&gt;"&amp;0)=0,,HLOOKUP(COUNTIF(I27:XFD27,"&gt;"&amp;0)-MIN($F$1+1,COUNTIF(I27:XFD27,"&gt;"&amp;0)),I$1:XFD27,A27+1,FALSE))</f>
        <v>2118</v>
      </c>
      <c r="G27" s="8">
        <f t="shared" si="6"/>
        <v>1.0972738038491923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</row>
    <row r="28" spans="1:44" x14ac:dyDescent="0.25">
      <c r="A28" s="9">
        <f t="shared" si="9"/>
        <v>27</v>
      </c>
      <c r="B28" s="9">
        <f t="array" ref="B28">IF(C28="",0,IF(OR(C28=Country_Comparison!$S$10:$S$29),1,0))</f>
        <v>0</v>
      </c>
      <c r="C28" s="9" t="str">
        <f t="shared" si="14"/>
        <v>Brazil</v>
      </c>
      <c r="D28" s="6">
        <f t="shared" si="5"/>
        <v>2985</v>
      </c>
      <c r="E28" s="6">
        <f>IF(COUNTIF(I28:XFD28,"&gt;"&amp;0)=0,,HLOOKUP(COUNTIF(I28:XFD28,"&gt;"&amp;0)-1,I$1:XFD28,A28+1,FALSE))</f>
        <v>2985</v>
      </c>
      <c r="F28" s="7">
        <f>IF(COUNTIF(I28:XFD28,"&gt;"&amp;0)=0,,HLOOKUP(COUNTIF(I28:XFD28,"&gt;"&amp;0)-MIN($F$1+1,COUNTIF(I28:XFD28,"&gt;"&amp;0)),I$1:XFD28,A28+1,FALSE))</f>
        <v>1021</v>
      </c>
      <c r="G28" s="8">
        <f t="shared" si="6"/>
        <v>1.2393207428875881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</row>
    <row r="29" spans="1:44" x14ac:dyDescent="0.25">
      <c r="A29" s="9">
        <f t="shared" si="9"/>
        <v>28</v>
      </c>
      <c r="B29" s="9">
        <f t="array" ref="B29">IF(C29="",0,IF(OR(C29=Country_Comparison!$S$10:$S$29),1,0))</f>
        <v>0</v>
      </c>
      <c r="C29" s="9" t="str">
        <f t="shared" si="14"/>
        <v>Africa</v>
      </c>
      <c r="D29" s="6">
        <f t="shared" si="5"/>
        <v>2878</v>
      </c>
      <c r="E29" s="6">
        <f>IF(COUNTIF(I29:XFD29,"&gt;"&amp;0)=0,,HLOOKUP(COUNTIF(I29:XFD29,"&gt;"&amp;0)-1,I$1:XFD29,A29+1,FALSE))</f>
        <v>2878</v>
      </c>
      <c r="F29" s="7">
        <f>IF(COUNTIF(I29:XFD29,"&gt;"&amp;0)=0,,HLOOKUP(COUNTIF(I29:XFD29,"&gt;"&amp;0)-MIN($F$1+1,COUNTIF(I29:XFD29,"&gt;"&amp;0)),I$1:XFD29,A29+1,FALSE))</f>
        <v>1062</v>
      </c>
      <c r="G29" s="8">
        <f t="shared" si="6"/>
        <v>1.2206558998785968</v>
      </c>
      <c r="H29" s="13" t="s">
        <v>613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</row>
    <row r="30" spans="1:44" x14ac:dyDescent="0.25">
      <c r="A30" s="9">
        <f t="shared" si="9"/>
        <v>29</v>
      </c>
      <c r="B30" s="9">
        <f t="array" ref="B30">IF(C30="",0,IF(OR(C30=Country_Comparison!$S$10:$S$29),1,0))</f>
        <v>0</v>
      </c>
      <c r="C30" s="9" t="str">
        <f t="shared" si="14"/>
        <v>Sweden</v>
      </c>
      <c r="D30" s="6">
        <f t="shared" si="5"/>
        <v>2840</v>
      </c>
      <c r="E30" s="6">
        <f>IF(COUNTIF(I30:XFD30,"&gt;"&amp;0)=0,,HLOOKUP(COUNTIF(I30:XFD30,"&gt;"&amp;0)-1,I$1:XFD30,A30+1,FALSE))</f>
        <v>2840</v>
      </c>
      <c r="F30" s="7">
        <f>IF(COUNTIF(I30:XFD30,"&gt;"&amp;0)=0,,HLOOKUP(COUNTIF(I30:XFD30,"&gt;"&amp;0)-MIN($F$1+1,COUNTIF(I30:XFD30,"&gt;"&amp;0)),I$1:XFD30,A30+1,FALSE))</f>
        <v>1763</v>
      </c>
      <c r="G30" s="8">
        <f t="shared" si="6"/>
        <v>1.1000519761697927</v>
      </c>
      <c r="H30" s="13" t="s">
        <v>59</v>
      </c>
      <c r="I30" s="9">
        <v>101</v>
      </c>
      <c r="J30" s="9">
        <v>161</v>
      </c>
      <c r="K30" s="9">
        <v>203</v>
      </c>
      <c r="L30" s="9">
        <v>248</v>
      </c>
      <c r="M30" s="9">
        <v>355</v>
      </c>
      <c r="N30" s="9">
        <v>500</v>
      </c>
      <c r="O30" s="9">
        <v>599</v>
      </c>
      <c r="P30" s="9">
        <v>814</v>
      </c>
      <c r="Q30" s="9">
        <v>961</v>
      </c>
      <c r="R30" s="9">
        <v>1022</v>
      </c>
      <c r="S30" s="9">
        <v>1103</v>
      </c>
      <c r="T30" s="9">
        <v>1190</v>
      </c>
      <c r="U30" s="9">
        <v>1279</v>
      </c>
      <c r="V30" s="9">
        <v>1439</v>
      </c>
      <c r="W30" s="9">
        <v>1639</v>
      </c>
      <c r="X30" s="9">
        <v>1763</v>
      </c>
      <c r="Y30" s="9">
        <v>1934</v>
      </c>
      <c r="Z30" s="9">
        <v>2046</v>
      </c>
      <c r="AA30" s="9">
        <v>2286</v>
      </c>
      <c r="AB30" s="9">
        <v>2526</v>
      </c>
      <c r="AC30" s="9">
        <v>2840</v>
      </c>
    </row>
    <row r="31" spans="1:44" x14ac:dyDescent="0.25">
      <c r="A31" s="9">
        <f t="shared" si="9"/>
        <v>30</v>
      </c>
      <c r="B31" s="9">
        <f t="array" ref="B31">IF(C31="",0,IF(OR(C31=Country_Comparison!$S$10:$S$29),1,0))</f>
        <v>0</v>
      </c>
      <c r="C31" s="9" t="str">
        <f t="shared" si="14"/>
        <v>Australia</v>
      </c>
      <c r="D31" s="6">
        <f t="shared" si="5"/>
        <v>2810</v>
      </c>
      <c r="E31" s="6">
        <f>IF(COUNTIF(I31:XFD31,"&gt;"&amp;0)=0,,HLOOKUP(COUNTIF(I31:XFD31,"&gt;"&amp;0)-1,I$1:XFD31,A31+1,FALSE))</f>
        <v>2810</v>
      </c>
      <c r="F31" s="7">
        <f>IF(COUNTIF(I31:XFD31,"&gt;"&amp;0)=0,,HLOOKUP(COUNTIF(I31:XFD31,"&gt;"&amp;0)-MIN($F$1+1,COUNTIF(I31:XFD31,"&gt;"&amp;0)),I$1:XFD31,A31+1,FALSE))</f>
        <v>1071</v>
      </c>
      <c r="G31" s="8">
        <f t="shared" si="6"/>
        <v>1.212783751584507</v>
      </c>
      <c r="H31" s="13" t="s">
        <v>48</v>
      </c>
      <c r="I31" s="9">
        <v>107</v>
      </c>
      <c r="J31" s="9">
        <v>128</v>
      </c>
      <c r="K31" s="9">
        <v>128</v>
      </c>
      <c r="L31" s="9">
        <v>200</v>
      </c>
      <c r="M31" s="9">
        <v>250</v>
      </c>
      <c r="N31" s="9">
        <v>297</v>
      </c>
      <c r="O31" s="9">
        <v>377</v>
      </c>
      <c r="P31" s="9">
        <v>452</v>
      </c>
      <c r="Q31" s="9">
        <v>568</v>
      </c>
      <c r="R31" s="9">
        <v>681</v>
      </c>
      <c r="S31" s="9">
        <v>791</v>
      </c>
      <c r="T31" s="9">
        <v>1071</v>
      </c>
      <c r="U31" s="9">
        <v>1549</v>
      </c>
      <c r="V31" s="9">
        <v>1682</v>
      </c>
      <c r="W31" s="9">
        <v>2044</v>
      </c>
      <c r="X31" s="9">
        <v>2364</v>
      </c>
      <c r="Y31" s="9">
        <v>2810</v>
      </c>
    </row>
    <row r="32" spans="1:44" x14ac:dyDescent="0.25">
      <c r="A32" s="9">
        <f t="shared" si="9"/>
        <v>31</v>
      </c>
      <c r="B32" s="9">
        <f t="array" ref="B32">IF(C32="",0,IF(OR(C32=Country_Comparison!$S$10:$S$29),1,0))</f>
        <v>0</v>
      </c>
      <c r="C32" s="9" t="str">
        <f t="shared" si="14"/>
        <v>Israel</v>
      </c>
      <c r="D32" s="6">
        <f t="shared" si="5"/>
        <v>2693</v>
      </c>
      <c r="E32" s="6">
        <f>IF(COUNTIF(I32:XFD32,"&gt;"&amp;0)=0,,HLOOKUP(COUNTIF(I32:XFD32,"&gt;"&amp;0)-1,I$1:XFD32,A32+1,FALSE))</f>
        <v>2693</v>
      </c>
      <c r="F32" s="7">
        <f>IF(COUNTIF(I32:XFD32,"&gt;"&amp;0)=0,,HLOOKUP(COUNTIF(I32:XFD32,"&gt;"&amp;0)-MIN($F$1+1,COUNTIF(I32:XFD32,"&gt;"&amp;0)),I$1:XFD32,A32+1,FALSE))</f>
        <v>712</v>
      </c>
      <c r="G32" s="8">
        <f t="shared" si="6"/>
        <v>1.304822004274359</v>
      </c>
      <c r="H32" s="13" t="s">
        <v>79</v>
      </c>
      <c r="I32" s="9">
        <v>100</v>
      </c>
      <c r="J32" s="9">
        <v>126</v>
      </c>
      <c r="K32" s="9">
        <v>155</v>
      </c>
      <c r="L32" s="9">
        <v>213</v>
      </c>
      <c r="M32" s="9">
        <v>218</v>
      </c>
      <c r="N32" s="9">
        <v>250</v>
      </c>
      <c r="O32" s="9">
        <v>304</v>
      </c>
      <c r="P32" s="9">
        <v>427</v>
      </c>
      <c r="Q32" s="9">
        <v>529</v>
      </c>
      <c r="R32" s="9">
        <v>712</v>
      </c>
      <c r="S32" s="9">
        <v>883</v>
      </c>
      <c r="T32" s="9">
        <v>1071</v>
      </c>
      <c r="U32" s="9">
        <v>1238</v>
      </c>
      <c r="V32" s="9">
        <v>2369</v>
      </c>
      <c r="W32" s="9">
        <v>2693</v>
      </c>
    </row>
    <row r="33" spans="1:43" x14ac:dyDescent="0.25">
      <c r="A33" s="9">
        <f t="shared" si="9"/>
        <v>32</v>
      </c>
      <c r="B33" s="9">
        <f t="array" ref="B33">IF(C33="",0,IF(OR(C33=Country_Comparison!$S$10:$S$29),1,0))</f>
        <v>0</v>
      </c>
      <c r="C33" s="9" t="str">
        <f t="shared" si="14"/>
        <v>Malaysia</v>
      </c>
      <c r="D33" s="6">
        <f t="shared" si="5"/>
        <v>2031</v>
      </c>
      <c r="E33" s="6">
        <f>IF(COUNTIF(I33:XFD33,"&gt;"&amp;0)=0,,HLOOKUP(COUNTIF(I33:XFD33,"&gt;"&amp;0)-1,I$1:XFD33,A33+1,FALSE))</f>
        <v>2031</v>
      </c>
      <c r="F33" s="7">
        <f>IF(COUNTIF(I33:XFD33,"&gt;"&amp;0)=0,,HLOOKUP(COUNTIF(I33:XFD33,"&gt;"&amp;0)-MIN($F$1+1,COUNTIF(I33:XFD33,"&gt;"&amp;0)),I$1:XFD33,A33+1,FALSE))</f>
        <v>1183</v>
      </c>
      <c r="G33" s="8">
        <f t="shared" si="6"/>
        <v>1.1141535175660173</v>
      </c>
      <c r="H33" s="13" t="s">
        <v>43</v>
      </c>
      <c r="I33" s="9">
        <v>117</v>
      </c>
      <c r="J33" s="9">
        <v>129</v>
      </c>
      <c r="K33" s="9">
        <v>149</v>
      </c>
      <c r="L33" s="9">
        <v>149</v>
      </c>
      <c r="M33" s="9">
        <v>197</v>
      </c>
      <c r="N33" s="9">
        <v>238</v>
      </c>
      <c r="O33" s="9">
        <v>428</v>
      </c>
      <c r="P33" s="9">
        <v>566</v>
      </c>
      <c r="Q33" s="9">
        <v>673</v>
      </c>
      <c r="R33" s="9">
        <v>790</v>
      </c>
      <c r="S33" s="9">
        <v>900</v>
      </c>
      <c r="T33" s="9">
        <v>1030</v>
      </c>
      <c r="U33" s="9">
        <v>1183</v>
      </c>
      <c r="V33" s="9">
        <v>1306</v>
      </c>
      <c r="W33" s="9">
        <v>1518</v>
      </c>
      <c r="X33" s="9">
        <v>1624</v>
      </c>
      <c r="Y33" s="9">
        <v>1796</v>
      </c>
      <c r="Z33" s="9">
        <v>2031</v>
      </c>
    </row>
    <row r="34" spans="1:43" x14ac:dyDescent="0.25">
      <c r="A34" s="9">
        <f t="shared" si="9"/>
        <v>33</v>
      </c>
      <c r="B34" s="9">
        <f t="array" ref="B34">IF(C34="",0,IF(OR(C34=Country_Comparison!$S$10:$S$29),1,0))</f>
        <v>0</v>
      </c>
      <c r="C34" s="9" t="str">
        <f t="shared" si="14"/>
        <v>Denmark</v>
      </c>
      <c r="D34" s="6">
        <f t="shared" ref="D34:D65" si="15">MAX(I34:KU34)</f>
        <v>2023</v>
      </c>
      <c r="E34" s="6">
        <f>IF(COUNTIF(I34:XFD34,"&gt;"&amp;0)=0,,HLOOKUP(COUNTIF(I34:XFD34,"&gt;"&amp;0)-1,I$1:XFD34,A34+1,FALSE))</f>
        <v>2023</v>
      </c>
      <c r="F34" s="7">
        <f>IF(COUNTIF(I34:XFD34,"&gt;"&amp;0)=0,,HLOOKUP(COUNTIF(I34:XFD34,"&gt;"&amp;0)-MIN($F$1+1,COUNTIF(I34:XFD34,"&gt;"&amp;0)),I$1:XFD34,A34+1,FALSE))</f>
        <v>1420</v>
      </c>
      <c r="G34" s="8">
        <f t="shared" ref="G34:G65" si="16">IF(COUNTIF(I34:XFD34,"&gt;"&amp;0)=0,,(E34/F34)^(1/MIN(COUNTIF(I34:XFD34,"&gt;"&amp;0)-1,$F$1)))</f>
        <v>1.0733503634326442</v>
      </c>
      <c r="H34" s="13" t="s">
        <v>87</v>
      </c>
      <c r="I34" s="9">
        <v>264</v>
      </c>
      <c r="J34" s="9">
        <v>444</v>
      </c>
      <c r="K34" s="9">
        <v>617</v>
      </c>
      <c r="L34" s="9">
        <v>804</v>
      </c>
      <c r="M34" s="9">
        <v>836</v>
      </c>
      <c r="N34" s="9">
        <v>875</v>
      </c>
      <c r="O34" s="9">
        <v>933</v>
      </c>
      <c r="P34" s="9">
        <v>1025</v>
      </c>
      <c r="Q34" s="9">
        <v>1116</v>
      </c>
      <c r="R34" s="9">
        <v>1225</v>
      </c>
      <c r="S34" s="9">
        <v>1337</v>
      </c>
      <c r="T34" s="9">
        <v>1420</v>
      </c>
      <c r="U34" s="9">
        <v>1514</v>
      </c>
      <c r="V34" s="9">
        <v>1572</v>
      </c>
      <c r="W34" s="9">
        <v>1718</v>
      </c>
      <c r="X34" s="9">
        <v>1862</v>
      </c>
      <c r="Y34" s="9">
        <v>2023</v>
      </c>
    </row>
    <row r="35" spans="1:43" x14ac:dyDescent="0.25">
      <c r="A35" s="9">
        <f t="shared" si="9"/>
        <v>34</v>
      </c>
      <c r="B35" s="9">
        <f t="array" ref="B35">IF(C35="",0,IF(OR(C35=Country_Comparison!$S$10:$S$29),1,0))</f>
        <v>0</v>
      </c>
      <c r="C35" s="9" t="str">
        <f t="shared" si="14"/>
        <v>Czechia</v>
      </c>
      <c r="D35" s="6">
        <f t="shared" si="15"/>
        <v>1925</v>
      </c>
      <c r="E35" s="6">
        <f>IF(COUNTIF(I35:XFD35,"&gt;"&amp;0)=0,,HLOOKUP(COUNTIF(I35:XFD35,"&gt;"&amp;0)-1,I$1:XFD35,A35+1,FALSE))</f>
        <v>1925</v>
      </c>
      <c r="F35" s="7">
        <f>IF(COUNTIF(I35:XFD35,"&gt;"&amp;0)=0,,HLOOKUP(COUNTIF(I35:XFD35,"&gt;"&amp;0)-MIN($F$1+1,COUNTIF(I35:XFD35,"&gt;"&amp;0)),I$1:XFD35,A35+1,FALSE))</f>
        <v>995</v>
      </c>
      <c r="G35" s="8">
        <f t="shared" si="16"/>
        <v>1.1410942859037505</v>
      </c>
      <c r="H35" s="13" t="s">
        <v>341</v>
      </c>
      <c r="I35" s="9">
        <v>141</v>
      </c>
      <c r="J35" s="9">
        <v>189</v>
      </c>
      <c r="K35" s="9">
        <v>253</v>
      </c>
      <c r="L35" s="9">
        <v>298</v>
      </c>
      <c r="M35" s="9">
        <v>396</v>
      </c>
      <c r="N35" s="9">
        <v>464</v>
      </c>
      <c r="O35" s="9">
        <v>694</v>
      </c>
      <c r="P35" s="9">
        <v>833</v>
      </c>
      <c r="Q35" s="9">
        <v>995</v>
      </c>
      <c r="R35" s="9">
        <v>1120</v>
      </c>
      <c r="S35" s="9">
        <v>1236</v>
      </c>
      <c r="T35" s="9">
        <v>1394</v>
      </c>
      <c r="U35" s="9">
        <v>1654</v>
      </c>
      <c r="V35" s="9">
        <v>1925</v>
      </c>
    </row>
    <row r="36" spans="1:43" x14ac:dyDescent="0.25">
      <c r="A36" s="9">
        <f t="shared" si="9"/>
        <v>35</v>
      </c>
      <c r="B36" s="9">
        <f t="array" ref="B36">IF(C36="",0,IF(OR(C36=Country_Comparison!$S$10:$S$29),1,0))</f>
        <v>0</v>
      </c>
      <c r="C36" s="9" t="str">
        <f t="shared" si="14"/>
        <v>Ireland</v>
      </c>
      <c r="D36" s="6">
        <f t="shared" si="15"/>
        <v>1819</v>
      </c>
      <c r="E36" s="6">
        <f>IF(COUNTIF(I36:XFD36,"&gt;"&amp;0)=0,,HLOOKUP(COUNTIF(I36:XFD36,"&gt;"&amp;0)-1,I$1:XFD36,A36+1,FALSE))</f>
        <v>1819</v>
      </c>
      <c r="F36" s="7">
        <f>IF(COUNTIF(I36:XFD36,"&gt;"&amp;0)=0,,HLOOKUP(COUNTIF(I36:XFD36,"&gt;"&amp;0)-MIN($F$1+1,COUNTIF(I36:XFD36,"&gt;"&amp;0)),I$1:XFD36,A36+1,FALSE))</f>
        <v>785</v>
      </c>
      <c r="G36" s="8">
        <f t="shared" si="16"/>
        <v>1.1830214209534422</v>
      </c>
      <c r="H36" s="13" t="s">
        <v>98</v>
      </c>
      <c r="I36" s="9">
        <v>129</v>
      </c>
      <c r="J36" s="9">
        <v>129</v>
      </c>
      <c r="K36" s="9">
        <v>169</v>
      </c>
      <c r="L36" s="9">
        <v>223</v>
      </c>
      <c r="M36" s="9">
        <v>292</v>
      </c>
      <c r="N36" s="9">
        <v>557</v>
      </c>
      <c r="O36" s="9">
        <v>683</v>
      </c>
      <c r="P36" s="9">
        <v>785</v>
      </c>
      <c r="Q36" s="9">
        <v>906</v>
      </c>
      <c r="R36" s="9">
        <v>1125</v>
      </c>
      <c r="S36" s="9">
        <v>1329</v>
      </c>
      <c r="T36" s="9">
        <v>1564</v>
      </c>
      <c r="U36" s="9">
        <v>1819</v>
      </c>
    </row>
    <row r="37" spans="1:43" x14ac:dyDescent="0.25">
      <c r="A37" s="9">
        <f t="shared" si="9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Luxembourg</v>
      </c>
      <c r="D37" s="6">
        <f t="shared" si="15"/>
        <v>1453</v>
      </c>
      <c r="E37" s="6">
        <f>IF(COUNTIF(I37:XFD37,"&gt;"&amp;0)=0,,HLOOKUP(COUNTIF(I37:XFD37,"&gt;"&amp;0)-1,I$1:XFD37,A37+1,FALSE))</f>
        <v>1453</v>
      </c>
      <c r="F37" s="7">
        <f>IF(COUNTIF(I37:XFD37,"&gt;"&amp;0)=0,,HLOOKUP(COUNTIF(I37:XFD37,"&gt;"&amp;0)-MIN($F$1+1,COUNTIF(I37:XFD37,"&gt;"&amp;0)),I$1:XFD37,A37+1,FALSE))</f>
        <v>670</v>
      </c>
      <c r="G37" s="8">
        <f t="shared" si="16"/>
        <v>1.1674496581072793</v>
      </c>
      <c r="H37" s="13" t="s">
        <v>99</v>
      </c>
      <c r="I37" s="9">
        <v>140</v>
      </c>
      <c r="J37" s="9">
        <v>203</v>
      </c>
      <c r="K37" s="9">
        <v>335</v>
      </c>
      <c r="L37" s="9">
        <v>484</v>
      </c>
      <c r="M37" s="9">
        <v>670</v>
      </c>
      <c r="N37" s="9">
        <v>798</v>
      </c>
      <c r="O37" s="9">
        <v>875</v>
      </c>
      <c r="P37" s="9">
        <v>1099</v>
      </c>
      <c r="Q37" s="9">
        <v>1333</v>
      </c>
      <c r="R37" s="9">
        <v>1453</v>
      </c>
    </row>
    <row r="38" spans="1:43" x14ac:dyDescent="0.25">
      <c r="A38" s="9">
        <f t="shared" si="9"/>
        <v>37</v>
      </c>
      <c r="B38" s="9">
        <f t="array" ref="B38">IF(C38="",0,IF(OR(C38=Country_Comparison!$S$10:$S$29),1,0))</f>
        <v>0</v>
      </c>
      <c r="C38" s="9" t="str">
        <f t="shared" si="17"/>
        <v>Ecuador</v>
      </c>
      <c r="D38" s="6">
        <f t="shared" si="15"/>
        <v>1403</v>
      </c>
      <c r="E38" s="6">
        <f>IF(COUNTIF(I38:XFD38,"&gt;"&amp;0)=0,,HLOOKUP(COUNTIF(I38:XFD38,"&gt;"&amp;0)-1,I$1:XFD38,A38+1,FALSE))</f>
        <v>1403</v>
      </c>
      <c r="F38" s="7">
        <f>IF(COUNTIF(I38:XFD38,"&gt;"&amp;0)=0,,HLOOKUP(COUNTIF(I38:XFD38,"&gt;"&amp;0)-MIN($F$1+1,COUNTIF(I38:XFD38,"&gt;"&amp;0)),I$1:XFD38,A38+1,FALSE))</f>
        <v>506</v>
      </c>
      <c r="G38" s="8">
        <f t="shared" si="16"/>
        <v>1.2262568060320347</v>
      </c>
      <c r="H38" s="13" t="s">
        <v>103</v>
      </c>
      <c r="I38" s="9">
        <v>111</v>
      </c>
      <c r="J38" s="9">
        <v>199</v>
      </c>
      <c r="K38" s="9">
        <v>367</v>
      </c>
      <c r="L38" s="9">
        <v>506</v>
      </c>
      <c r="M38" s="9">
        <v>789</v>
      </c>
      <c r="N38" s="9">
        <v>981</v>
      </c>
      <c r="O38" s="9">
        <v>1082</v>
      </c>
      <c r="P38" s="9">
        <v>1173</v>
      </c>
      <c r="Q38" s="9">
        <v>1403</v>
      </c>
    </row>
    <row r="39" spans="1:43" x14ac:dyDescent="0.25">
      <c r="A39" s="9">
        <f t="shared" si="9"/>
        <v>38</v>
      </c>
      <c r="B39" s="9">
        <f t="array" ref="B39">IF(C39="",0,IF(OR(C39=Country_Comparison!$S$10:$S$29),1,0))</f>
        <v>0</v>
      </c>
      <c r="C39" s="9" t="str">
        <f t="shared" si="17"/>
        <v>Japan</v>
      </c>
      <c r="D39" s="6">
        <f t="shared" si="15"/>
        <v>1387</v>
      </c>
      <c r="E39" s="6">
        <f>IF(COUNTIF(I39:XFD39,"&gt;"&amp;0)=0,,HLOOKUP(COUNTIF(I39:XFD39,"&gt;"&amp;0)-1,I$1:XFD39,A39+1,FALSE))</f>
        <v>1387</v>
      </c>
      <c r="F39" s="7">
        <f>IF(COUNTIF(I39:XFD39,"&gt;"&amp;0)=0,,HLOOKUP(COUNTIF(I39:XFD39,"&gt;"&amp;0)-MIN($F$1+1,COUNTIF(I39:XFD39,"&gt;"&amp;0)),I$1:XFD39,A39+1,FALSE))</f>
        <v>1007</v>
      </c>
      <c r="G39" s="8">
        <f t="shared" si="16"/>
        <v>1.0661281193393133</v>
      </c>
      <c r="H39" s="13" t="s">
        <v>36</v>
      </c>
      <c r="I39" s="9">
        <v>105</v>
      </c>
      <c r="J39" s="9">
        <v>122</v>
      </c>
      <c r="K39" s="9">
        <v>147</v>
      </c>
      <c r="L39" s="9">
        <v>159</v>
      </c>
      <c r="M39" s="9">
        <v>170</v>
      </c>
      <c r="N39" s="9">
        <v>189</v>
      </c>
      <c r="O39" s="9">
        <v>214</v>
      </c>
      <c r="P39" s="9">
        <v>228</v>
      </c>
      <c r="Q39" s="9">
        <v>241</v>
      </c>
      <c r="R39" s="9">
        <v>256</v>
      </c>
      <c r="S39" s="9">
        <v>274</v>
      </c>
      <c r="T39" s="9">
        <v>293</v>
      </c>
      <c r="U39" s="9">
        <v>331</v>
      </c>
      <c r="V39" s="9">
        <v>360</v>
      </c>
      <c r="W39" s="9">
        <v>420</v>
      </c>
      <c r="X39" s="9">
        <v>461</v>
      </c>
      <c r="Y39" s="9">
        <v>502</v>
      </c>
      <c r="Z39" s="9">
        <v>511</v>
      </c>
      <c r="AA39" s="9">
        <v>581</v>
      </c>
      <c r="AB39" s="9">
        <v>639</v>
      </c>
      <c r="AC39" s="9">
        <v>639</v>
      </c>
      <c r="AD39" s="9">
        <v>701</v>
      </c>
      <c r="AE39" s="9">
        <v>773</v>
      </c>
      <c r="AF39" s="9">
        <v>839</v>
      </c>
      <c r="AG39" s="9">
        <v>839</v>
      </c>
      <c r="AH39" s="9">
        <v>878</v>
      </c>
      <c r="AI39" s="9">
        <v>889</v>
      </c>
      <c r="AJ39" s="9">
        <v>924</v>
      </c>
      <c r="AK39" s="9">
        <v>963</v>
      </c>
      <c r="AL39" s="9">
        <v>1007</v>
      </c>
      <c r="AM39" s="9">
        <v>1101</v>
      </c>
      <c r="AN39" s="9">
        <v>1128</v>
      </c>
      <c r="AO39" s="9">
        <v>1193</v>
      </c>
      <c r="AP39" s="9">
        <v>1307</v>
      </c>
      <c r="AQ39" s="9">
        <v>1387</v>
      </c>
    </row>
    <row r="40" spans="1:43" x14ac:dyDescent="0.25">
      <c r="A40" s="9">
        <f t="shared" si="9"/>
        <v>39</v>
      </c>
      <c r="B40" s="9">
        <f t="array" ref="B40">IF(C40="",0,IF(OR(C40=Country_Comparison!$S$10:$S$29),1,0))</f>
        <v>0</v>
      </c>
      <c r="C40" s="9" t="str">
        <f t="shared" si="17"/>
        <v>Chile</v>
      </c>
      <c r="D40" s="6">
        <f t="shared" si="15"/>
        <v>1306</v>
      </c>
      <c r="E40" s="6">
        <f>IF(COUNTIF(I40:XFD40,"&gt;"&amp;0)=0,,HLOOKUP(COUNTIF(I40:XFD40,"&gt;"&amp;0)-1,I$1:XFD40,A40+1,FALSE))</f>
        <v>1306</v>
      </c>
      <c r="F40" s="7">
        <f>IF(COUNTIF(I40:XFD40,"&gt;"&amp;0)=0,,HLOOKUP(COUNTIF(I40:XFD40,"&gt;"&amp;0)-MIN($F$1+1,COUNTIF(I40:XFD40,"&gt;"&amp;0)),I$1:XFD40,A40+1,FALSE))</f>
        <v>537</v>
      </c>
      <c r="G40" s="8">
        <f t="shared" si="16"/>
        <v>1.1945209699681467</v>
      </c>
      <c r="H40" s="13" t="s">
        <v>124</v>
      </c>
      <c r="I40" s="9">
        <v>155</v>
      </c>
      <c r="J40" s="9">
        <v>201</v>
      </c>
      <c r="K40" s="9">
        <v>238</v>
      </c>
      <c r="L40" s="9">
        <v>238</v>
      </c>
      <c r="M40" s="9">
        <v>434</v>
      </c>
      <c r="N40" s="9">
        <v>537</v>
      </c>
      <c r="O40" s="9">
        <v>632</v>
      </c>
      <c r="P40" s="9">
        <v>746</v>
      </c>
      <c r="Q40" s="9">
        <v>922</v>
      </c>
      <c r="R40" s="9">
        <v>1142</v>
      </c>
      <c r="S40" s="9">
        <v>1306</v>
      </c>
    </row>
    <row r="41" spans="1:43" x14ac:dyDescent="0.25">
      <c r="A41" s="9">
        <f t="shared" si="9"/>
        <v>40</v>
      </c>
      <c r="B41" s="9">
        <f t="array" ref="B41">IF(C41="",0,IF(OR(C41=Country_Comparison!$S$10:$S$29),1,0))</f>
        <v>0</v>
      </c>
      <c r="C41" s="9" t="str">
        <f t="shared" si="17"/>
        <v>Poland</v>
      </c>
      <c r="D41" s="6">
        <f t="shared" si="15"/>
        <v>1221</v>
      </c>
      <c r="E41" s="6">
        <f>IF(COUNTIF(I41:XFD41,"&gt;"&amp;0)=0,,HLOOKUP(COUNTIF(I41:XFD41,"&gt;"&amp;0)-1,I$1:XFD41,A41+1,FALSE))</f>
        <v>1221</v>
      </c>
      <c r="F41" s="7">
        <f>IF(COUNTIF(I41:XFD41,"&gt;"&amp;0)=0,,HLOOKUP(COUNTIF(I41:XFD41,"&gt;"&amp;0)-MIN($F$1+1,COUNTIF(I41:XFD41,"&gt;"&amp;0)),I$1:XFD41,A41+1,FALSE))</f>
        <v>536</v>
      </c>
      <c r="G41" s="8">
        <f t="shared" si="16"/>
        <v>1.1789901448423779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</row>
    <row r="42" spans="1:43" x14ac:dyDescent="0.25">
      <c r="A42" s="9">
        <f t="shared" si="9"/>
        <v>41</v>
      </c>
      <c r="B42" s="9">
        <f t="array" ref="B42">IF(C42="",0,IF(OR(C42=Country_Comparison!$S$10:$S$29),1,0))</f>
        <v>0</v>
      </c>
      <c r="C42" s="9" t="str">
        <f t="shared" si="17"/>
        <v>Pakistan</v>
      </c>
      <c r="D42" s="6">
        <f t="shared" si="15"/>
        <v>1201</v>
      </c>
      <c r="E42" s="6">
        <f>IF(COUNTIF(I42:XFD42,"&gt;"&amp;0)=0,,HLOOKUP(COUNTIF(I42:XFD42,"&gt;"&amp;0)-1,I$1:XFD42,A42+1,FALSE))</f>
        <v>1201</v>
      </c>
      <c r="F42" s="7">
        <f>IF(COUNTIF(I42:XFD42,"&gt;"&amp;0)=0,,HLOOKUP(COUNTIF(I42:XFD42,"&gt;"&amp;0)-MIN($F$1+1,COUNTIF(I42:XFD42,"&gt;"&amp;0)),I$1:XFD42,A42+1,FALSE))</f>
        <v>730</v>
      </c>
      <c r="G42" s="8">
        <f t="shared" si="16"/>
        <v>1.1046991744485168</v>
      </c>
      <c r="H42" s="13" t="s">
        <v>80</v>
      </c>
      <c r="I42" s="9">
        <v>136</v>
      </c>
      <c r="J42" s="9">
        <v>236</v>
      </c>
      <c r="K42" s="9">
        <v>299</v>
      </c>
      <c r="L42" s="9">
        <v>454</v>
      </c>
      <c r="M42" s="9">
        <v>501</v>
      </c>
      <c r="N42" s="9">
        <v>730</v>
      </c>
      <c r="O42" s="9">
        <v>776</v>
      </c>
      <c r="P42" s="9">
        <v>875</v>
      </c>
      <c r="Q42" s="9">
        <v>972</v>
      </c>
      <c r="R42" s="9">
        <v>1063</v>
      </c>
      <c r="S42" s="9">
        <v>1201</v>
      </c>
    </row>
    <row r="43" spans="1:43" x14ac:dyDescent="0.25">
      <c r="A43" s="9">
        <f t="shared" si="9"/>
        <v>42</v>
      </c>
      <c r="B43" s="9">
        <f t="array" ref="B43">IF(C43="",0,IF(OR(C43=Country_Comparison!$S$10:$S$29),1,0))</f>
        <v>0</v>
      </c>
      <c r="C43" s="9" t="str">
        <f t="shared" si="17"/>
        <v>Thailand</v>
      </c>
      <c r="D43" s="6">
        <f t="shared" si="15"/>
        <v>1045</v>
      </c>
      <c r="E43" s="6">
        <f>IF(COUNTIF(I43:XFD43,"&gt;"&amp;0)=0,,HLOOKUP(COUNTIF(I43:XFD43,"&gt;"&amp;0)-1,I$1:XFD43,A43+1,FALSE))</f>
        <v>1045</v>
      </c>
      <c r="F43" s="7">
        <f>IF(COUNTIF(I43:XFD43,"&gt;"&amp;0)=0,,HLOOKUP(COUNTIF(I43:XFD43,"&gt;"&amp;0)-MIN($F$1+1,COUNTIF(I43:XFD43,"&gt;"&amp;0)),I$1:XFD43,A43+1,FALSE))</f>
        <v>411</v>
      </c>
      <c r="G43" s="8">
        <f t="shared" si="16"/>
        <v>1.2051882634658524</v>
      </c>
      <c r="H43" s="13" t="s">
        <v>35</v>
      </c>
      <c r="I43" s="9">
        <v>114</v>
      </c>
      <c r="J43" s="9">
        <v>147</v>
      </c>
      <c r="K43" s="9">
        <v>177</v>
      </c>
      <c r="L43" s="9">
        <v>212</v>
      </c>
      <c r="M43" s="9">
        <v>272</v>
      </c>
      <c r="N43" s="9">
        <v>322</v>
      </c>
      <c r="O43" s="9">
        <v>411</v>
      </c>
      <c r="P43" s="9">
        <v>599</v>
      </c>
      <c r="Q43" s="9">
        <v>721</v>
      </c>
      <c r="R43" s="9">
        <v>827</v>
      </c>
      <c r="S43" s="9">
        <v>934</v>
      </c>
      <c r="T43" s="9">
        <v>1045</v>
      </c>
    </row>
    <row r="44" spans="1:43" x14ac:dyDescent="0.25">
      <c r="A44" s="9">
        <f t="shared" si="9"/>
        <v>43</v>
      </c>
      <c r="B44" s="9">
        <f t="array" ref="B44">IF(C44="",0,IF(OR(C44=Country_Comparison!$S$10:$S$29),1,0))</f>
        <v>0</v>
      </c>
      <c r="C44" s="9" t="str">
        <f t="shared" si="17"/>
        <v>Romania</v>
      </c>
      <c r="D44" s="6">
        <f t="shared" si="15"/>
        <v>1029</v>
      </c>
      <c r="E44" s="6">
        <f>IF(COUNTIF(I44:XFD44,"&gt;"&amp;0)=0,,HLOOKUP(COUNTIF(I44:XFD44,"&gt;"&amp;0)-1,I$1:XFD44,A44+1,FALSE))</f>
        <v>1029</v>
      </c>
      <c r="F44" s="7">
        <f>IF(COUNTIF(I44:XFD44,"&gt;"&amp;0)=0,,HLOOKUP(COUNTIF(I44:XFD44,"&gt;"&amp;0)-MIN($F$1+1,COUNTIF(I44:XFD44,"&gt;"&amp;0)),I$1:XFD44,A44+1,FALSE))</f>
        <v>367</v>
      </c>
      <c r="G44" s="8">
        <f t="shared" si="16"/>
        <v>1.2289942814418899</v>
      </c>
      <c r="H44" s="13" t="s">
        <v>86</v>
      </c>
      <c r="I44" s="9">
        <v>123</v>
      </c>
      <c r="J44" s="9">
        <v>131</v>
      </c>
      <c r="K44" s="9">
        <v>158</v>
      </c>
      <c r="L44" s="9">
        <v>184</v>
      </c>
      <c r="M44" s="9">
        <v>260</v>
      </c>
      <c r="N44" s="9">
        <v>277</v>
      </c>
      <c r="O44" s="9">
        <v>308</v>
      </c>
      <c r="P44" s="9">
        <v>367</v>
      </c>
      <c r="Q44" s="9">
        <v>433</v>
      </c>
      <c r="R44" s="9">
        <v>576</v>
      </c>
      <c r="S44" s="9">
        <v>794</v>
      </c>
      <c r="T44" s="9">
        <v>906</v>
      </c>
      <c r="U44" s="9">
        <v>1029</v>
      </c>
    </row>
    <row r="45" spans="1:43" x14ac:dyDescent="0.25">
      <c r="A45" s="9">
        <f t="shared" si="9"/>
        <v>44</v>
      </c>
      <c r="B45" s="9">
        <f t="array" ref="B45">IF(C45="",0,IF(OR(C45=Country_Comparison!$S$10:$S$29),1,0))</f>
        <v>0</v>
      </c>
      <c r="C45" s="9" t="str">
        <f t="shared" si="17"/>
        <v>Saudi Arabia</v>
      </c>
      <c r="D45" s="6">
        <f t="shared" si="15"/>
        <v>1012</v>
      </c>
      <c r="E45" s="6">
        <f>IF(COUNTIF(I45:XFD45,"&gt;"&amp;0)=0,,HLOOKUP(COUNTIF(I45:XFD45,"&gt;"&amp;0)-1,I$1:XFD45,A45+1,FALSE))</f>
        <v>1012</v>
      </c>
      <c r="F45" s="7">
        <f>IF(COUNTIF(I45:XFD45,"&gt;"&amp;0)=0,,HLOOKUP(COUNTIF(I45:XFD45,"&gt;"&amp;0)-MIN($F$1+1,COUNTIF(I45:XFD45,"&gt;"&amp;0)),I$1:XFD45,A45+1,FALSE))</f>
        <v>392</v>
      </c>
      <c r="G45" s="8">
        <f t="shared" si="16"/>
        <v>1.2088680211320622</v>
      </c>
      <c r="H45" s="13" t="s">
        <v>113</v>
      </c>
      <c r="I45" s="9">
        <v>103</v>
      </c>
      <c r="J45" s="9">
        <v>103</v>
      </c>
      <c r="K45" s="9">
        <v>118</v>
      </c>
      <c r="L45" s="9">
        <v>171</v>
      </c>
      <c r="M45" s="9">
        <v>171</v>
      </c>
      <c r="N45" s="9">
        <v>274</v>
      </c>
      <c r="O45" s="9">
        <v>344</v>
      </c>
      <c r="P45" s="9">
        <v>392</v>
      </c>
      <c r="Q45" s="9">
        <v>511</v>
      </c>
      <c r="R45" s="9">
        <v>562</v>
      </c>
      <c r="S45" s="9">
        <v>767</v>
      </c>
      <c r="T45" s="9">
        <v>900</v>
      </c>
      <c r="U45" s="9">
        <v>1012</v>
      </c>
    </row>
    <row r="46" spans="1:43" x14ac:dyDescent="0.25">
      <c r="A46" s="9">
        <f t="shared" si="9"/>
        <v>45</v>
      </c>
      <c r="B46" s="9">
        <f t="array" ref="B46">IF(C46="",0,IF(OR(C46=Country_Comparison!$S$10:$S$29),1,0))</f>
        <v>0</v>
      </c>
      <c r="C46" s="9" t="str">
        <f t="shared" si="17"/>
        <v>Finland</v>
      </c>
      <c r="D46" s="6">
        <f t="shared" si="15"/>
        <v>958</v>
      </c>
      <c r="E46" s="6">
        <f>IF(COUNTIF(I46:XFD46,"&gt;"&amp;0)=0,,HLOOKUP(COUNTIF(I46:XFD46,"&gt;"&amp;0)-1,I$1:XFD46,A46+1,FALSE))</f>
        <v>958</v>
      </c>
      <c r="F46" s="7">
        <f>IF(COUNTIF(I46:XFD46,"&gt;"&amp;0)=0,,HLOOKUP(COUNTIF(I46:XFD46,"&gt;"&amp;0)-MIN($F$1+1,COUNTIF(I46:XFD46,"&gt;"&amp;0)),I$1:XFD46,A46+1,FALSE))</f>
        <v>523</v>
      </c>
      <c r="G46" s="8">
        <f t="shared" si="16"/>
        <v>1.128685027670034</v>
      </c>
      <c r="H46" s="13" t="s">
        <v>54</v>
      </c>
      <c r="I46" s="9">
        <v>155</v>
      </c>
      <c r="J46" s="9">
        <v>225</v>
      </c>
      <c r="K46" s="9">
        <v>244</v>
      </c>
      <c r="L46" s="9">
        <v>277</v>
      </c>
      <c r="M46" s="9">
        <v>321</v>
      </c>
      <c r="N46" s="9">
        <v>336</v>
      </c>
      <c r="O46" s="9">
        <v>400</v>
      </c>
      <c r="P46" s="9">
        <v>450</v>
      </c>
      <c r="Q46" s="9">
        <v>523</v>
      </c>
      <c r="R46" s="9">
        <v>626</v>
      </c>
      <c r="S46" s="9">
        <v>700</v>
      </c>
      <c r="T46" s="9">
        <v>792</v>
      </c>
      <c r="U46" s="9">
        <v>880</v>
      </c>
      <c r="V46" s="9">
        <v>958</v>
      </c>
    </row>
    <row r="47" spans="1:43" x14ac:dyDescent="0.25">
      <c r="A47" s="9">
        <f t="shared" si="9"/>
        <v>46</v>
      </c>
      <c r="B47" s="9">
        <f t="array" ref="B47">IF(C47="",0,IF(OR(C47=Country_Comparison!$S$10:$S$29),1,0))</f>
        <v>0</v>
      </c>
      <c r="C47" s="9" t="str">
        <f t="shared" si="17"/>
        <v>South Africa</v>
      </c>
      <c r="D47" s="6">
        <f t="shared" si="15"/>
        <v>927</v>
      </c>
      <c r="E47" s="6">
        <f>IF(COUNTIF(I47:XFD47,"&gt;"&amp;0)=0,,HLOOKUP(COUNTIF(I47:XFD47,"&gt;"&amp;0)-1,I$1:XFD47,A47+1,FALSE))</f>
        <v>927</v>
      </c>
      <c r="F47" s="7">
        <f>IF(COUNTIF(I47:XFD47,"&gt;"&amp;0)=0,,HLOOKUP(COUNTIF(I47:XFD47,"&gt;"&amp;0)-MIN($F$1+1,COUNTIF(I47:XFD47,"&gt;"&amp;0)),I$1:XFD47,A47+1,FALSE))</f>
        <v>240</v>
      </c>
      <c r="G47" s="8">
        <f t="shared" si="16"/>
        <v>1.3103089229327716</v>
      </c>
      <c r="H47" s="13" t="s">
        <v>145</v>
      </c>
      <c r="I47" s="9">
        <v>116</v>
      </c>
      <c r="J47" s="9">
        <v>150</v>
      </c>
      <c r="K47" s="9">
        <v>202</v>
      </c>
      <c r="L47" s="9">
        <v>240</v>
      </c>
      <c r="M47" s="9">
        <v>274</v>
      </c>
      <c r="N47" s="9">
        <v>402</v>
      </c>
      <c r="O47" s="9">
        <v>554</v>
      </c>
      <c r="P47" s="9">
        <v>709</v>
      </c>
      <c r="Q47" s="9">
        <v>927</v>
      </c>
    </row>
    <row r="48" spans="1:43" x14ac:dyDescent="0.25">
      <c r="A48" s="9">
        <f t="shared" si="9"/>
        <v>47</v>
      </c>
      <c r="B48" s="9">
        <f t="array" ref="B48">IF(C48="",0,IF(OR(C48=Country_Comparison!$S$10:$S$29),1,0))</f>
        <v>0</v>
      </c>
      <c r="C48" s="9" t="str">
        <f t="shared" si="17"/>
        <v>Indonesia</v>
      </c>
      <c r="D48" s="6">
        <f t="shared" si="15"/>
        <v>893</v>
      </c>
      <c r="E48" s="6">
        <f>IF(COUNTIF(I48:XFD48,"&gt;"&amp;0)=0,,HLOOKUP(COUNTIF(I48:XFD48,"&gt;"&amp;0)-1,I$1:XFD48,A48+1,FALSE))</f>
        <v>893</v>
      </c>
      <c r="F48" s="7">
        <f>IF(COUNTIF(I48:XFD48,"&gt;"&amp;0)=0,,HLOOKUP(COUNTIF(I48:XFD48,"&gt;"&amp;0)-MIN($F$1+1,COUNTIF(I48:XFD48,"&gt;"&amp;0)),I$1:XFD48,A48+1,FALSE))</f>
        <v>450</v>
      </c>
      <c r="G48" s="8">
        <f t="shared" si="16"/>
        <v>1.1469059056717792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</row>
    <row r="49" spans="1:35" x14ac:dyDescent="0.25">
      <c r="A49" s="9">
        <f t="shared" si="9"/>
        <v>48</v>
      </c>
      <c r="B49" s="9">
        <f t="array" ref="B49">IF(C49="",0,IF(OR(C49=Country_Comparison!$S$10:$S$29),1,0))</f>
        <v>0</v>
      </c>
      <c r="C49" s="9" t="str">
        <f t="shared" si="17"/>
        <v>Greece</v>
      </c>
      <c r="D49" s="6">
        <f t="shared" si="15"/>
        <v>892</v>
      </c>
      <c r="E49" s="6">
        <f>IF(COUNTIF(I49:XFD49,"&gt;"&amp;0)=0,,HLOOKUP(COUNTIF(I49:XFD49,"&gt;"&amp;0)-1,I$1:XFD49,A49+1,FALSE))</f>
        <v>892</v>
      </c>
      <c r="F49" s="7">
        <f>IF(COUNTIF(I49:XFD49,"&gt;"&amp;0)=0,,HLOOKUP(COUNTIF(I49:XFD49,"&gt;"&amp;0)-MIN($F$1+1,COUNTIF(I49:XFD49,"&gt;"&amp;0)),I$1:XFD49,A49+1,FALSE))</f>
        <v>530</v>
      </c>
      <c r="G49" s="8">
        <f t="shared" si="16"/>
        <v>1.109731201521085</v>
      </c>
      <c r="H49" s="13" t="s">
        <v>83</v>
      </c>
      <c r="I49" s="9">
        <v>190</v>
      </c>
      <c r="J49" s="9">
        <v>228</v>
      </c>
      <c r="K49" s="9">
        <v>331</v>
      </c>
      <c r="L49" s="9">
        <v>331</v>
      </c>
      <c r="M49" s="9">
        <v>387</v>
      </c>
      <c r="N49" s="9">
        <v>418</v>
      </c>
      <c r="O49" s="9">
        <v>418</v>
      </c>
      <c r="P49" s="9">
        <v>495</v>
      </c>
      <c r="Q49" s="9">
        <v>530</v>
      </c>
      <c r="R49" s="9">
        <v>624</v>
      </c>
      <c r="S49" s="9">
        <v>695</v>
      </c>
      <c r="T49" s="9">
        <v>743</v>
      </c>
      <c r="U49" s="9">
        <v>821</v>
      </c>
      <c r="V49" s="9">
        <v>892</v>
      </c>
    </row>
    <row r="50" spans="1:35" x14ac:dyDescent="0.25">
      <c r="A50" s="9">
        <f t="shared" si="9"/>
        <v>49</v>
      </c>
      <c r="B50" s="9">
        <f t="array" ref="B50">IF(C50="",0,IF(OR(C50=Country_Comparison!$S$10:$S$29),1,0))</f>
        <v>0</v>
      </c>
      <c r="C50" s="9" t="str">
        <f t="shared" si="17"/>
        <v>Russia</v>
      </c>
      <c r="D50" s="6">
        <f t="shared" si="15"/>
        <v>840</v>
      </c>
      <c r="E50" s="6">
        <f>IF(COUNTIF(I50:XFD50,"&gt;"&amp;0)=0,,HLOOKUP(COUNTIF(I50:XFD50,"&gt;"&amp;0)-1,I$1:XFD50,A50+1,FALSE))</f>
        <v>840</v>
      </c>
      <c r="F50" s="7">
        <f>IF(COUNTIF(I50:XFD50,"&gt;"&amp;0)=0,,HLOOKUP(COUNTIF(I50:XFD50,"&gt;"&amp;0)-MIN($F$1+1,COUNTIF(I50:XFD50,"&gt;"&amp;0)),I$1:XFD50,A50+1,FALSE))</f>
        <v>306</v>
      </c>
      <c r="G50" s="8">
        <f t="shared" si="16"/>
        <v>1.2238031646660734</v>
      </c>
      <c r="H50" s="13" t="s">
        <v>344</v>
      </c>
      <c r="I50" s="9">
        <v>114</v>
      </c>
      <c r="J50" s="9">
        <v>147</v>
      </c>
      <c r="K50" s="9">
        <v>199</v>
      </c>
      <c r="L50" s="9">
        <v>253</v>
      </c>
      <c r="M50" s="9">
        <v>306</v>
      </c>
      <c r="N50" s="9">
        <v>367</v>
      </c>
      <c r="O50" s="9">
        <v>438</v>
      </c>
      <c r="P50" s="9">
        <v>495</v>
      </c>
      <c r="Q50" s="9">
        <v>658</v>
      </c>
      <c r="R50" s="9">
        <v>840</v>
      </c>
    </row>
    <row r="51" spans="1:35" x14ac:dyDescent="0.25">
      <c r="A51" s="9">
        <f t="shared" si="9"/>
        <v>50</v>
      </c>
      <c r="B51" s="9">
        <f t="array" ref="B51">IF(C51="",0,IF(OR(C51=Country_Comparison!$S$10:$S$29),1,0))</f>
        <v>0</v>
      </c>
      <c r="C51" s="9" t="str">
        <f t="shared" si="17"/>
        <v>Iceland</v>
      </c>
      <c r="D51" s="6">
        <f t="shared" si="15"/>
        <v>802</v>
      </c>
      <c r="E51" s="6">
        <f>IF(COUNTIF(I51:XFD51,"&gt;"&amp;0)=0,,HLOOKUP(COUNTIF(I51:XFD51,"&gt;"&amp;0)-1,I$1:XFD51,A51+1,FALSE))</f>
        <v>802</v>
      </c>
      <c r="F51" s="7">
        <f>IF(COUNTIF(I51:XFD51,"&gt;"&amp;0)=0,,HLOOKUP(COUNTIF(I51:XFD51,"&gt;"&amp;0)-MIN($F$1+1,COUNTIF(I51:XFD51,"&gt;"&amp;0)),I$1:XFD51,A51+1,FALSE))</f>
        <v>473</v>
      </c>
      <c r="G51" s="8">
        <f t="shared" si="16"/>
        <v>1.111380175036103</v>
      </c>
      <c r="H51" s="13" t="s">
        <v>92</v>
      </c>
      <c r="I51" s="9">
        <v>103</v>
      </c>
      <c r="J51" s="9">
        <v>134</v>
      </c>
      <c r="K51" s="9">
        <v>156</v>
      </c>
      <c r="L51" s="9">
        <v>171</v>
      </c>
      <c r="M51" s="9">
        <v>180</v>
      </c>
      <c r="N51" s="9">
        <v>220</v>
      </c>
      <c r="O51" s="9">
        <v>250</v>
      </c>
      <c r="P51" s="9">
        <v>330</v>
      </c>
      <c r="Q51" s="9">
        <v>409</v>
      </c>
      <c r="R51" s="9">
        <v>473</v>
      </c>
      <c r="S51" s="9">
        <v>568</v>
      </c>
      <c r="T51" s="9">
        <v>588</v>
      </c>
      <c r="U51" s="9">
        <v>648</v>
      </c>
      <c r="V51" s="9">
        <v>737</v>
      </c>
      <c r="W51" s="9">
        <v>802</v>
      </c>
    </row>
    <row r="52" spans="1:35" x14ac:dyDescent="0.25">
      <c r="A52" s="9">
        <f t="shared" si="9"/>
        <v>51</v>
      </c>
      <c r="B52" s="9">
        <f t="array" ref="B52">IF(C52="",0,IF(OR(C52=Country_Comparison!$S$10:$S$29),1,0))</f>
        <v>0</v>
      </c>
      <c r="C52" s="9" t="str">
        <f t="shared" si="17"/>
        <v>India</v>
      </c>
      <c r="D52" s="6">
        <f t="shared" si="15"/>
        <v>727</v>
      </c>
      <c r="E52" s="6">
        <f>IF(COUNTIF(I52:XFD52,"&gt;"&amp;0)=0,,HLOOKUP(COUNTIF(I52:XFD52,"&gt;"&amp;0)-1,I$1:XFD52,A52+1,FALSE))</f>
        <v>727</v>
      </c>
      <c r="F52" s="7">
        <f>IF(COUNTIF(I52:XFD52,"&gt;"&amp;0)=0,,HLOOKUP(COUNTIF(I52:XFD52,"&gt;"&amp;0)-MIN($F$1+1,COUNTIF(I52:XFD52,"&gt;"&amp;0)),I$1:XFD52,A52+1,FALSE))</f>
        <v>330</v>
      </c>
      <c r="G52" s="8">
        <f t="shared" si="16"/>
        <v>1.1711272711946419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</row>
    <row r="53" spans="1:35" x14ac:dyDescent="0.25">
      <c r="A53" s="9">
        <f t="shared" si="9"/>
        <v>52</v>
      </c>
      <c r="B53" s="9">
        <f t="array" ref="B53">IF(C53="",0,IF(OR(C53=Country_Comparison!$S$10:$S$29),1,0))</f>
        <v>0</v>
      </c>
      <c r="C53" s="9" t="str">
        <f t="shared" si="17"/>
        <v>Philippines</v>
      </c>
      <c r="D53" s="6">
        <f t="shared" si="15"/>
        <v>707</v>
      </c>
      <c r="E53" s="6">
        <f>IF(COUNTIF(I53:XFD53,"&gt;"&amp;0)=0,,HLOOKUP(COUNTIF(I53:XFD53,"&gt;"&amp;0)-1,I$1:XFD53,A53+1,FALSE))</f>
        <v>707</v>
      </c>
      <c r="F53" s="7">
        <f>IF(COUNTIF(I53:XFD53,"&gt;"&amp;0)=0,,HLOOKUP(COUNTIF(I53:XFD53,"&gt;"&amp;0)-MIN($F$1+1,COUNTIF(I53:XFD53,"&gt;"&amp;0)),I$1:XFD53,A53+1,FALSE))</f>
        <v>307</v>
      </c>
      <c r="G53" s="8">
        <f t="shared" si="16"/>
        <v>1.1815611631322165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  <c r="P53" s="9">
        <v>307</v>
      </c>
      <c r="Q53" s="9">
        <v>380</v>
      </c>
      <c r="R53" s="9">
        <v>462</v>
      </c>
      <c r="S53" s="9">
        <v>552</v>
      </c>
      <c r="T53" s="9">
        <v>636</v>
      </c>
      <c r="U53" s="9">
        <v>707</v>
      </c>
    </row>
    <row r="54" spans="1:35" x14ac:dyDescent="0.25">
      <c r="A54" s="9">
        <f t="shared" si="9"/>
        <v>53</v>
      </c>
      <c r="B54" s="9">
        <f t="array" ref="B54">IF(C54="",0,IF(OR(C54=Country_Comparison!$S$10:$S$29),1,0))</f>
        <v>0</v>
      </c>
      <c r="C54" s="9" t="str">
        <f t="shared" si="17"/>
        <v>Singapore</v>
      </c>
      <c r="D54" s="6">
        <f t="shared" si="15"/>
        <v>683</v>
      </c>
      <c r="E54" s="6">
        <f>IF(COUNTIF(I54:XFD54,"&gt;"&amp;0)=0,,HLOOKUP(COUNTIF(I54:XFD54,"&gt;"&amp;0)-1,I$1:XFD54,A54+1,FALSE))</f>
        <v>683</v>
      </c>
      <c r="F54" s="7">
        <f>IF(COUNTIF(I54:XFD54,"&gt;"&amp;0)=0,,HLOOKUP(COUNTIF(I54:XFD54,"&gt;"&amp;0)-MIN($F$1+1,COUNTIF(I54:XFD54,"&gt;"&amp;0)),I$1:XFD54,A54+1,FALSE))</f>
        <v>432</v>
      </c>
      <c r="G54" s="8">
        <f t="shared" si="16"/>
        <v>1.0959415472092875</v>
      </c>
      <c r="H54" s="13" t="s">
        <v>40</v>
      </c>
      <c r="I54" s="9">
        <v>102</v>
      </c>
      <c r="J54" s="9">
        <v>106</v>
      </c>
      <c r="K54" s="9">
        <v>108</v>
      </c>
      <c r="L54" s="9">
        <v>110</v>
      </c>
      <c r="M54" s="9">
        <v>110</v>
      </c>
      <c r="N54" s="9">
        <v>117</v>
      </c>
      <c r="O54" s="9">
        <v>130</v>
      </c>
      <c r="P54" s="9">
        <v>138</v>
      </c>
      <c r="Q54" s="9">
        <v>150</v>
      </c>
      <c r="R54" s="9">
        <v>150</v>
      </c>
      <c r="S54" s="9">
        <v>160</v>
      </c>
      <c r="T54" s="9">
        <v>178</v>
      </c>
      <c r="U54" s="9">
        <v>178</v>
      </c>
      <c r="V54" s="9">
        <v>200</v>
      </c>
      <c r="W54" s="9">
        <v>212</v>
      </c>
      <c r="X54" s="9">
        <v>226</v>
      </c>
      <c r="Y54" s="9">
        <v>243</v>
      </c>
      <c r="Z54" s="9">
        <v>266</v>
      </c>
      <c r="AA54" s="9">
        <v>313</v>
      </c>
      <c r="AB54" s="9">
        <v>345</v>
      </c>
      <c r="AC54" s="9">
        <v>385</v>
      </c>
      <c r="AD54" s="9">
        <v>432</v>
      </c>
      <c r="AE54" s="9">
        <v>455</v>
      </c>
      <c r="AF54" s="9">
        <v>509</v>
      </c>
      <c r="AG54" s="9">
        <v>558</v>
      </c>
      <c r="AH54" s="9">
        <v>631</v>
      </c>
      <c r="AI54" s="9">
        <v>683</v>
      </c>
    </row>
    <row r="55" spans="1:35" x14ac:dyDescent="0.25">
      <c r="A55" s="9">
        <f t="shared" si="9"/>
        <v>54</v>
      </c>
      <c r="B55" s="9">
        <f t="array" ref="B55">IF(C55="",0,IF(OR(C55=Country_Comparison!$S$10:$S$29),1,0))</f>
        <v>0</v>
      </c>
      <c r="C55" s="9" t="str">
        <f t="shared" si="17"/>
        <v>Peru</v>
      </c>
      <c r="D55" s="6">
        <f t="shared" si="15"/>
        <v>580</v>
      </c>
      <c r="E55" s="6">
        <f>IF(COUNTIF(I55:XFD55,"&gt;"&amp;0)=0,,HLOOKUP(COUNTIF(I55:XFD55,"&gt;"&amp;0)-1,I$1:XFD55,A55+1,FALSE))</f>
        <v>580</v>
      </c>
      <c r="F55" s="7">
        <f>IF(COUNTIF(I55:XFD55,"&gt;"&amp;0)=0,,HLOOKUP(COUNTIF(I55:XFD55,"&gt;"&amp;0)-MIN($F$1+1,COUNTIF(I55:XFD55,"&gt;"&amp;0)),I$1:XFD55,A55+1,FALSE))</f>
        <v>318</v>
      </c>
      <c r="G55" s="8">
        <f t="shared" si="16"/>
        <v>1.1277171230094625</v>
      </c>
      <c r="H55" s="13" t="s">
        <v>160</v>
      </c>
      <c r="I55" s="9">
        <v>117</v>
      </c>
      <c r="J55" s="9">
        <v>145</v>
      </c>
      <c r="K55" s="9">
        <v>234</v>
      </c>
      <c r="L55" s="9">
        <v>234</v>
      </c>
      <c r="M55" s="9">
        <v>318</v>
      </c>
      <c r="N55" s="9">
        <v>363</v>
      </c>
      <c r="O55" s="9">
        <v>395</v>
      </c>
      <c r="P55" s="9">
        <v>416</v>
      </c>
      <c r="Q55" s="9">
        <v>480</v>
      </c>
      <c r="R55" s="9">
        <v>580</v>
      </c>
    </row>
    <row r="56" spans="1:35" x14ac:dyDescent="0.25">
      <c r="A56" s="9">
        <f t="shared" si="9"/>
        <v>55</v>
      </c>
      <c r="B56" s="9">
        <f t="array" ref="B56">IF(C56="",0,IF(OR(C56=Country_Comparison!$S$10:$S$29),1,0))</f>
        <v>0</v>
      </c>
      <c r="C56" s="9" t="str">
        <f t="shared" si="17"/>
        <v>Slovenia</v>
      </c>
      <c r="D56" s="6">
        <f t="shared" si="15"/>
        <v>562</v>
      </c>
      <c r="E56" s="6">
        <f>IF(COUNTIF(I56:XFD56,"&gt;"&amp;0)=0,,HLOOKUP(COUNTIF(I56:XFD56,"&gt;"&amp;0)-1,I$1:XFD56,A56+1,FALSE))</f>
        <v>562</v>
      </c>
      <c r="F56" s="7">
        <f>IF(COUNTIF(I56:XFD56,"&gt;"&amp;0)=0,,HLOOKUP(COUNTIF(I56:XFD56,"&gt;"&amp;0)-MIN($F$1+1,COUNTIF(I56:XFD56,"&gt;"&amp;0)),I$1:XFD56,A56+1,FALSE))</f>
        <v>383</v>
      </c>
      <c r="G56" s="8">
        <f t="shared" si="16"/>
        <v>1.07971095617276</v>
      </c>
      <c r="H56" s="13" t="s">
        <v>141</v>
      </c>
      <c r="I56" s="9">
        <v>141</v>
      </c>
      <c r="J56" s="9">
        <v>181</v>
      </c>
      <c r="K56" s="9">
        <v>219</v>
      </c>
      <c r="L56" s="9">
        <v>253</v>
      </c>
      <c r="M56" s="9">
        <v>275</v>
      </c>
      <c r="N56" s="9">
        <v>275</v>
      </c>
      <c r="O56" s="9">
        <v>286</v>
      </c>
      <c r="P56" s="9">
        <v>341</v>
      </c>
      <c r="Q56" s="9">
        <v>383</v>
      </c>
      <c r="R56" s="9">
        <v>414</v>
      </c>
      <c r="S56" s="9">
        <v>442</v>
      </c>
      <c r="T56" s="9">
        <v>480</v>
      </c>
      <c r="U56" s="9">
        <v>528</v>
      </c>
      <c r="V56" s="9">
        <v>562</v>
      </c>
    </row>
    <row r="57" spans="1:35" x14ac:dyDescent="0.25">
      <c r="A57" s="9">
        <f t="shared" si="9"/>
        <v>56</v>
      </c>
      <c r="B57" s="9">
        <f t="array" ref="B57">IF(C57="",0,IF(OR(C57=Country_Comparison!$S$10:$S$29),1,0))</f>
        <v>0</v>
      </c>
      <c r="C57" s="9" t="str">
        <f t="shared" si="17"/>
        <v>Panama</v>
      </c>
      <c r="D57" s="6">
        <f t="shared" si="15"/>
        <v>558</v>
      </c>
      <c r="E57" s="6">
        <f>IF(COUNTIF(I57:XFD57,"&gt;"&amp;0)=0,,HLOOKUP(COUNTIF(I57:XFD57,"&gt;"&amp;0)-1,I$1:XFD57,A57+1,FALSE))</f>
        <v>558</v>
      </c>
      <c r="F57" s="7">
        <f>IF(COUNTIF(I57:XFD57,"&gt;"&amp;0)=0,,HLOOKUP(COUNTIF(I57:XFD57,"&gt;"&amp;0)-MIN($F$1+1,COUNTIF(I57:XFD57,"&gt;"&amp;0)),I$1:XFD57,A57+1,FALSE))</f>
        <v>200</v>
      </c>
      <c r="G57" s="8">
        <f t="shared" si="16"/>
        <v>1.2277808085989845</v>
      </c>
      <c r="H57" s="13" t="s">
        <v>283</v>
      </c>
      <c r="I57" s="9">
        <v>109</v>
      </c>
      <c r="J57" s="9">
        <v>137</v>
      </c>
      <c r="K57" s="9">
        <v>200</v>
      </c>
      <c r="L57" s="9">
        <v>313</v>
      </c>
      <c r="M57" s="9">
        <v>345</v>
      </c>
      <c r="N57" s="9">
        <v>345</v>
      </c>
      <c r="O57" s="9">
        <v>443</v>
      </c>
      <c r="P57" s="9">
        <v>558</v>
      </c>
    </row>
    <row r="58" spans="1:35" x14ac:dyDescent="0.25">
      <c r="A58" s="9">
        <f t="shared" si="9"/>
        <v>57</v>
      </c>
      <c r="B58" s="9">
        <f t="array" ref="B58">IF(C58="",0,IF(OR(C58=Country_Comparison!$S$10:$S$29),1,0))</f>
        <v>0</v>
      </c>
      <c r="C58" s="9" t="str">
        <f t="shared" si="17"/>
        <v>Qatar</v>
      </c>
      <c r="D58" s="6">
        <f t="shared" si="15"/>
        <v>549</v>
      </c>
      <c r="E58" s="6">
        <f>IF(COUNTIF(I58:XFD58,"&gt;"&amp;0)=0,,HLOOKUP(COUNTIF(I58:XFD58,"&gt;"&amp;0)-1,I$1:XFD58,A58+1,FALSE))</f>
        <v>549</v>
      </c>
      <c r="F58" s="7">
        <f>IF(COUNTIF(I58:XFD58,"&gt;"&amp;0)=0,,HLOOKUP(COUNTIF(I58:XFD58,"&gt;"&amp;0)-MIN($F$1+1,COUNTIF(I58:XFD58,"&gt;"&amp;0)),I$1:XFD58,A58+1,FALSE))</f>
        <v>481</v>
      </c>
      <c r="G58" s="8">
        <f t="shared" si="16"/>
        <v>1.0267990391886814</v>
      </c>
      <c r="H58" s="13" t="s">
        <v>101</v>
      </c>
      <c r="I58" s="9">
        <v>262</v>
      </c>
      <c r="J58" s="9">
        <v>262</v>
      </c>
      <c r="K58" s="9">
        <v>320</v>
      </c>
      <c r="L58" s="9">
        <v>337</v>
      </c>
      <c r="M58" s="9">
        <v>401</v>
      </c>
      <c r="N58" s="9">
        <v>439</v>
      </c>
      <c r="O58" s="9">
        <v>439</v>
      </c>
      <c r="P58" s="9">
        <v>452</v>
      </c>
      <c r="Q58" s="9">
        <v>460</v>
      </c>
      <c r="R58" s="9">
        <v>470</v>
      </c>
      <c r="S58" s="9">
        <v>481</v>
      </c>
      <c r="T58" s="9">
        <v>494</v>
      </c>
      <c r="U58" s="9">
        <v>501</v>
      </c>
      <c r="V58" s="9">
        <v>526</v>
      </c>
      <c r="W58" s="9">
        <v>537</v>
      </c>
      <c r="X58" s="9">
        <v>549</v>
      </c>
    </row>
    <row r="59" spans="1:35" x14ac:dyDescent="0.25">
      <c r="A59" s="9">
        <f t="shared" si="9"/>
        <v>58</v>
      </c>
      <c r="B59" s="9">
        <f t="array" ref="B59">IF(C59="",0,IF(OR(C59=Country_Comparison!$S$10:$S$29),1,0))</f>
        <v>0</v>
      </c>
      <c r="C59" s="9" t="str">
        <f t="shared" si="17"/>
        <v>Estonia</v>
      </c>
      <c r="D59" s="6">
        <f t="shared" si="15"/>
        <v>538</v>
      </c>
      <c r="E59" s="6">
        <f>IF(COUNTIF(I59:XFD59,"&gt;"&amp;0)=0,,HLOOKUP(COUNTIF(I59:XFD59,"&gt;"&amp;0)-1,I$1:XFD59,A59+1,FALSE))</f>
        <v>538</v>
      </c>
      <c r="F59" s="7">
        <f>IF(COUNTIF(I59:XFD59,"&gt;"&amp;0)=0,,HLOOKUP(COUNTIF(I59:XFD59,"&gt;"&amp;0)-MIN($F$1+1,COUNTIF(I59:XFD59,"&gt;"&amp;0)),I$1:XFD59,A59+1,FALSE))</f>
        <v>306</v>
      </c>
      <c r="G59" s="8">
        <f t="shared" si="16"/>
        <v>1.1194692528903836</v>
      </c>
      <c r="H59" s="13" t="s">
        <v>88</v>
      </c>
      <c r="I59" s="9">
        <v>115</v>
      </c>
      <c r="J59" s="9">
        <v>171</v>
      </c>
      <c r="K59" s="9">
        <v>205</v>
      </c>
      <c r="L59" s="9">
        <v>225</v>
      </c>
      <c r="M59" s="9">
        <v>258</v>
      </c>
      <c r="N59" s="9">
        <v>267</v>
      </c>
      <c r="O59" s="9">
        <v>283</v>
      </c>
      <c r="P59" s="9">
        <v>306</v>
      </c>
      <c r="Q59" s="9">
        <v>326</v>
      </c>
      <c r="R59" s="9">
        <v>352</v>
      </c>
      <c r="S59" s="9">
        <v>369</v>
      </c>
      <c r="T59" s="9">
        <v>404</v>
      </c>
      <c r="U59" s="9">
        <v>538</v>
      </c>
    </row>
    <row r="60" spans="1:35" x14ac:dyDescent="0.25">
      <c r="A60" s="9">
        <f t="shared" si="9"/>
        <v>59</v>
      </c>
      <c r="B60" s="9">
        <f t="array" ref="B60">IF(C60="",0,IF(OR(C60=Country_Comparison!$S$10:$S$29),1,0))</f>
        <v>0</v>
      </c>
      <c r="C60" s="9" t="str">
        <f t="shared" si="17"/>
        <v>Argentina</v>
      </c>
      <c r="D60" s="6">
        <f t="shared" si="15"/>
        <v>502</v>
      </c>
      <c r="E60" s="6">
        <f>IF(COUNTIF(I60:XFD60,"&gt;"&amp;0)=0,,HLOOKUP(COUNTIF(I60:XFD60,"&gt;"&amp;0)-1,I$1:XFD60,A60+1,FALSE))</f>
        <v>502</v>
      </c>
      <c r="F60" s="7">
        <f>IF(COUNTIF(I60:XFD60,"&gt;"&amp;0)=0,,HLOOKUP(COUNTIF(I60:XFD60,"&gt;"&amp;0)-MIN($F$1+1,COUNTIF(I60:XFD60,"&gt;"&amp;0)),I$1:XFD60,A60+1,FALSE))</f>
        <v>158</v>
      </c>
      <c r="G60" s="8">
        <f t="shared" si="16"/>
        <v>1.2601125184493227</v>
      </c>
      <c r="H60" s="13" t="s">
        <v>123</v>
      </c>
      <c r="I60" s="9">
        <v>128</v>
      </c>
      <c r="J60" s="9">
        <v>158</v>
      </c>
      <c r="K60" s="9">
        <v>266</v>
      </c>
      <c r="L60" s="9">
        <v>301</v>
      </c>
      <c r="M60" s="9">
        <v>387</v>
      </c>
      <c r="N60" s="9">
        <v>387</v>
      </c>
      <c r="O60" s="9">
        <v>502</v>
      </c>
    </row>
    <row r="61" spans="1:35" x14ac:dyDescent="0.25">
      <c r="A61" s="9">
        <f t="shared" si="9"/>
        <v>60</v>
      </c>
      <c r="B61" s="9">
        <f t="array" ref="B61">IF(C61="",0,IF(OR(C61=Country_Comparison!$S$10:$S$29),1,0))</f>
        <v>0</v>
      </c>
      <c r="C61" s="9" t="str">
        <f t="shared" si="17"/>
        <v>Egypt</v>
      </c>
      <c r="D61" s="6">
        <f t="shared" si="15"/>
        <v>495</v>
      </c>
      <c r="E61" s="6">
        <f>IF(COUNTIF(I61:XFD61,"&gt;"&amp;0)=0,,HLOOKUP(COUNTIF(I61:XFD61,"&gt;"&amp;0)-1,I$1:XFD61,A61+1,FALSE))</f>
        <v>495</v>
      </c>
      <c r="F61" s="7">
        <f>IF(COUNTIF(I61:XFD61,"&gt;"&amp;0)=0,,HLOOKUP(COUNTIF(I61:XFD61,"&gt;"&amp;0)-MIN($F$1+1,COUNTIF(I61:XFD61,"&gt;"&amp;0)),I$1:XFD61,A61+1,FALSE))</f>
        <v>294</v>
      </c>
      <c r="G61" s="8">
        <f t="shared" si="16"/>
        <v>1.1098175129334857</v>
      </c>
      <c r="H61" s="13" t="s">
        <v>65</v>
      </c>
      <c r="I61" s="9">
        <v>109</v>
      </c>
      <c r="J61" s="9">
        <v>110</v>
      </c>
      <c r="K61" s="9">
        <v>150</v>
      </c>
      <c r="L61" s="9">
        <v>196</v>
      </c>
      <c r="M61" s="9">
        <v>196</v>
      </c>
      <c r="N61" s="9">
        <v>256</v>
      </c>
      <c r="O61" s="9">
        <v>285</v>
      </c>
      <c r="P61" s="9">
        <v>294</v>
      </c>
      <c r="Q61" s="9">
        <v>327</v>
      </c>
      <c r="R61" s="9">
        <v>366</v>
      </c>
      <c r="S61" s="9">
        <v>402</v>
      </c>
      <c r="T61" s="9">
        <v>456</v>
      </c>
      <c r="U61" s="9">
        <v>495</v>
      </c>
    </row>
    <row r="62" spans="1:35" x14ac:dyDescent="0.25">
      <c r="A62" s="9">
        <f t="shared" si="9"/>
        <v>61</v>
      </c>
      <c r="B62" s="9">
        <f t="array" ref="B62">IF(C62="",0,IF(OR(C62=Country_Comparison!$S$10:$S$29),1,0))</f>
        <v>0</v>
      </c>
      <c r="C62" s="9" t="str">
        <f t="shared" si="17"/>
        <v>Croatia</v>
      </c>
      <c r="D62" s="6">
        <f t="shared" si="15"/>
        <v>495</v>
      </c>
      <c r="E62" s="6">
        <f>IF(COUNTIF(I62:XFD62,"&gt;"&amp;0)=0,,HLOOKUP(COUNTIF(I62:XFD62,"&gt;"&amp;0)-1,I$1:XFD62,A62+1,FALSE))</f>
        <v>495</v>
      </c>
      <c r="F62" s="7">
        <f>IF(COUNTIF(I62:XFD62,"&gt;"&amp;0)=0,,HLOOKUP(COUNTIF(I62:XFD62,"&gt;"&amp;0)-MIN($F$1+1,COUNTIF(I62:XFD62,"&gt;"&amp;0)),I$1:XFD62,A62+1,FALSE))</f>
        <v>206</v>
      </c>
      <c r="G62" s="8">
        <f t="shared" si="16"/>
        <v>1.1916469224364719</v>
      </c>
      <c r="H62" s="13" t="s">
        <v>76</v>
      </c>
      <c r="I62" s="9">
        <v>105</v>
      </c>
      <c r="J62" s="9">
        <v>128</v>
      </c>
      <c r="K62" s="9">
        <v>206</v>
      </c>
      <c r="L62" s="9">
        <v>254</v>
      </c>
      <c r="M62" s="9">
        <v>315</v>
      </c>
      <c r="N62" s="9">
        <v>382</v>
      </c>
      <c r="O62" s="9">
        <v>442</v>
      </c>
      <c r="P62" s="9">
        <v>495</v>
      </c>
    </row>
    <row r="63" spans="1:35" x14ac:dyDescent="0.25">
      <c r="A63" s="9">
        <f t="shared" si="9"/>
        <v>62</v>
      </c>
      <c r="B63" s="9">
        <f t="array" ref="B63">IF(C63="",0,IF(OR(C63=Country_Comparison!$S$10:$S$29),1,0))</f>
        <v>0</v>
      </c>
      <c r="C63" s="9" t="str">
        <f t="shared" si="17"/>
        <v>Colombia</v>
      </c>
      <c r="D63" s="6">
        <f t="shared" si="15"/>
        <v>491</v>
      </c>
      <c r="E63" s="6">
        <f>IF(COUNTIF(I63:XFD63,"&gt;"&amp;0)=0,,HLOOKUP(COUNTIF(I63:XFD63,"&gt;"&amp;0)-1,I$1:XFD63,A63+1,FALSE))</f>
        <v>491</v>
      </c>
      <c r="F63" s="7">
        <f>IF(COUNTIF(I63:XFD63,"&gt;"&amp;0)=0,,HLOOKUP(COUNTIF(I63:XFD63,"&gt;"&amp;0)-MIN($F$1+1,COUNTIF(I63:XFD63,"&gt;"&amp;0)),I$1:XFD63,A63+1,FALSE))</f>
        <v>196</v>
      </c>
      <c r="G63" s="8">
        <f t="shared" si="16"/>
        <v>1.2016142891337378</v>
      </c>
      <c r="H63" s="13" t="s">
        <v>158</v>
      </c>
      <c r="I63" s="9">
        <v>102</v>
      </c>
      <c r="J63" s="9">
        <v>128</v>
      </c>
      <c r="K63" s="9">
        <v>196</v>
      </c>
      <c r="L63" s="9">
        <v>231</v>
      </c>
      <c r="M63" s="9">
        <v>277</v>
      </c>
      <c r="N63" s="9">
        <v>378</v>
      </c>
      <c r="O63" s="9">
        <v>470</v>
      </c>
      <c r="P63" s="9">
        <v>491</v>
      </c>
    </row>
    <row r="64" spans="1:35" x14ac:dyDescent="0.25">
      <c r="A64" s="9">
        <f t="shared" si="9"/>
        <v>63</v>
      </c>
      <c r="B64" s="9">
        <f t="array" ref="B64">IF(C64="",0,IF(OR(C64=Country_Comparison!$S$10:$S$29),1,0))</f>
        <v>0</v>
      </c>
      <c r="C64" s="9" t="str">
        <f t="shared" si="17"/>
        <v>Dominican Republic</v>
      </c>
      <c r="D64" s="6">
        <f t="shared" si="15"/>
        <v>488</v>
      </c>
      <c r="E64" s="6">
        <f>IF(COUNTIF(I64:XFD64,"&gt;"&amp;0)=0,,HLOOKUP(COUNTIF(I64:XFD64,"&gt;"&amp;0)-1,I$1:XFD64,A64+1,FALSE))</f>
        <v>488</v>
      </c>
      <c r="F64" s="7">
        <f>IF(COUNTIF(I64:XFD64,"&gt;"&amp;0)=0,,HLOOKUP(COUNTIF(I64:XFD64,"&gt;"&amp;0)-MIN($F$1+1,COUNTIF(I64:XFD64,"&gt;"&amp;0)),I$1:XFD64,A64+1,FALSE))</f>
        <v>112</v>
      </c>
      <c r="G64" s="8">
        <f t="shared" si="16"/>
        <v>1.3422714715960977</v>
      </c>
      <c r="H64" s="13" t="s">
        <v>106</v>
      </c>
      <c r="I64" s="9">
        <v>112</v>
      </c>
      <c r="J64" s="9">
        <v>202</v>
      </c>
      <c r="K64" s="9">
        <v>245</v>
      </c>
      <c r="L64" s="9">
        <v>312</v>
      </c>
      <c r="M64" s="9">
        <v>392</v>
      </c>
      <c r="N64" s="9">
        <v>488</v>
      </c>
    </row>
    <row r="65" spans="1:25" x14ac:dyDescent="0.25">
      <c r="A65" s="9">
        <f t="shared" si="9"/>
        <v>64</v>
      </c>
      <c r="B65" s="9">
        <f t="array" ref="B65">IF(C65="",0,IF(OR(C65=Country_Comparison!$S$10:$S$29),1,0))</f>
        <v>0</v>
      </c>
      <c r="C65" s="9" t="str">
        <f t="shared" si="17"/>
        <v>Mexico</v>
      </c>
      <c r="D65" s="6">
        <f t="shared" si="15"/>
        <v>475</v>
      </c>
      <c r="E65" s="6">
        <f>IF(COUNTIF(I65:XFD65,"&gt;"&amp;0)=0,,HLOOKUP(COUNTIF(I65:XFD65,"&gt;"&amp;0)-1,I$1:XFD65,A65+1,FALSE))</f>
        <v>475</v>
      </c>
      <c r="F65" s="7">
        <f>IF(COUNTIF(I65:XFD65,"&gt;"&amp;0)=0,,HLOOKUP(COUNTIF(I65:XFD65,"&gt;"&amp;0)-MIN($F$1+1,COUNTIF(I65:XFD65,"&gt;"&amp;0)),I$1:XFD65,A65+1,FALSE))</f>
        <v>203</v>
      </c>
      <c r="G65" s="8">
        <f t="shared" si="16"/>
        <v>1.1853306497595109</v>
      </c>
      <c r="H65" s="13" t="s">
        <v>94</v>
      </c>
      <c r="I65" s="9">
        <v>118</v>
      </c>
      <c r="J65" s="9">
        <v>164</v>
      </c>
      <c r="K65" s="9">
        <v>203</v>
      </c>
      <c r="L65" s="9">
        <v>251</v>
      </c>
      <c r="M65" s="9">
        <v>316</v>
      </c>
      <c r="N65" s="9">
        <v>367</v>
      </c>
      <c r="O65" s="9">
        <v>405</v>
      </c>
      <c r="P65" s="9">
        <v>475</v>
      </c>
    </row>
    <row r="66" spans="1:25" x14ac:dyDescent="0.25">
      <c r="A66" s="9">
        <f t="shared" si="9"/>
        <v>65</v>
      </c>
      <c r="B66" s="9">
        <f t="array" ref="B66">IF(C66="",0,IF(OR(C66=Country_Comparison!$S$10:$S$29),1,0))</f>
        <v>0</v>
      </c>
      <c r="C66" s="9" t="str">
        <f t="shared" si="17"/>
        <v>Bahrain</v>
      </c>
      <c r="D66" s="6">
        <f t="shared" ref="D66:D97" si="18">MAX(I66:KU66)</f>
        <v>458</v>
      </c>
      <c r="E66" s="6">
        <f>IF(COUNTIF(I66:XFD66,"&gt;"&amp;0)=0,,HLOOKUP(COUNTIF(I66:XFD66,"&gt;"&amp;0)-1,I$1:XFD66,A66+1,FALSE))</f>
        <v>458</v>
      </c>
      <c r="F66" s="7">
        <f>IF(COUNTIF(I66:XFD66,"&gt;"&amp;0)=0,,HLOOKUP(COUNTIF(I66:XFD66,"&gt;"&amp;0)-MIN($F$1+1,COUNTIF(I66:XFD66,"&gt;"&amp;0)),I$1:XFD66,A66+1,FALSE))</f>
        <v>305</v>
      </c>
      <c r="G66" s="8">
        <f t="shared" ref="G66:G97" si="19">IF(COUNTIF(I66:XFD66,"&gt;"&amp;0)=0,,(E66/F66)^(1/MIN(COUNTIF(I66:XFD66,"&gt;"&amp;0)-1,$F$1)))</f>
        <v>1.0847087106503359</v>
      </c>
      <c r="H66" s="13" t="s">
        <v>73</v>
      </c>
      <c r="I66" s="9">
        <v>110</v>
      </c>
      <c r="J66" s="9">
        <v>195</v>
      </c>
      <c r="K66" s="9">
        <v>195</v>
      </c>
      <c r="L66" s="9">
        <v>195</v>
      </c>
      <c r="M66" s="9">
        <v>210</v>
      </c>
      <c r="N66" s="9">
        <v>214</v>
      </c>
      <c r="O66" s="9">
        <v>214</v>
      </c>
      <c r="P66" s="9">
        <v>228</v>
      </c>
      <c r="Q66" s="9">
        <v>256</v>
      </c>
      <c r="R66" s="9">
        <v>278</v>
      </c>
      <c r="S66" s="9">
        <v>285</v>
      </c>
      <c r="T66" s="9">
        <v>305</v>
      </c>
      <c r="U66" s="9">
        <v>334</v>
      </c>
      <c r="V66" s="9">
        <v>377</v>
      </c>
      <c r="W66" s="9">
        <v>392</v>
      </c>
      <c r="X66" s="9">
        <v>419</v>
      </c>
      <c r="Y66" s="9">
        <v>458</v>
      </c>
    </row>
    <row r="67" spans="1:25" x14ac:dyDescent="0.25">
      <c r="A67" s="9">
        <f t="shared" si="9"/>
        <v>66</v>
      </c>
      <c r="B67" s="9">
        <f t="array" ref="B67">IF(C67="",0,IF(OR(C67=Country_Comparison!$S$10:$S$29),1,0))</f>
        <v>0</v>
      </c>
      <c r="C67" s="9" t="str">
        <f t="shared" si="17"/>
        <v>Serbia</v>
      </c>
      <c r="D67" s="6">
        <f t="shared" si="18"/>
        <v>384</v>
      </c>
      <c r="E67" s="6">
        <f>IF(COUNTIF(I67:XFD67,"&gt;"&amp;0)=0,,HLOOKUP(COUNTIF(I67:XFD67,"&gt;"&amp;0)-1,I$1:XFD67,A67+1,FALSE))</f>
        <v>384</v>
      </c>
      <c r="F67" s="7">
        <f>IF(COUNTIF(I67:XFD67,"&gt;"&amp;0)=0,,HLOOKUP(COUNTIF(I67:XFD67,"&gt;"&amp;0)-MIN($F$1+1,COUNTIF(I67:XFD67,"&gt;"&amp;0)),I$1:XFD67,A67+1,FALSE))</f>
        <v>171</v>
      </c>
      <c r="G67" s="8">
        <f t="shared" si="19"/>
        <v>1.175620154252857</v>
      </c>
      <c r="H67" s="13" t="s">
        <v>161</v>
      </c>
      <c r="I67" s="9">
        <v>103</v>
      </c>
      <c r="J67" s="9">
        <v>135</v>
      </c>
      <c r="K67" s="9">
        <v>171</v>
      </c>
      <c r="L67" s="9">
        <v>222</v>
      </c>
      <c r="M67" s="9">
        <v>249</v>
      </c>
      <c r="N67" s="9">
        <v>303</v>
      </c>
      <c r="O67" s="9">
        <v>384</v>
      </c>
      <c r="P67" s="9">
        <v>384</v>
      </c>
    </row>
    <row r="68" spans="1:25" x14ac:dyDescent="0.25">
      <c r="A68" s="9">
        <f t="shared" si="9"/>
        <v>67</v>
      </c>
      <c r="B68" s="9">
        <f t="array" ref="B68">IF(C68="",0,IF(OR(C68=Country_Comparison!$S$10:$S$29),1,0))</f>
        <v>0</v>
      </c>
      <c r="C68" s="9" t="str">
        <f t="shared" si="17"/>
        <v>Iraq</v>
      </c>
      <c r="D68" s="6">
        <f t="shared" si="18"/>
        <v>382</v>
      </c>
      <c r="E68" s="6">
        <f>IF(COUNTIF(I68:XFD68,"&gt;"&amp;0)=0,,HLOOKUP(COUNTIF(I68:XFD68,"&gt;"&amp;0)-1,I$1:XFD68,A68+1,FALSE))</f>
        <v>382</v>
      </c>
      <c r="F68" s="7">
        <f>IF(COUNTIF(I68:XFD68,"&gt;"&amp;0)=0,,HLOOKUP(COUNTIF(I68:XFD68,"&gt;"&amp;0)-MIN($F$1+1,COUNTIF(I68:XFD68,"&gt;"&amp;0)),I$1:XFD68,A68+1,FALSE))</f>
        <v>214</v>
      </c>
      <c r="G68" s="8">
        <f t="shared" si="19"/>
        <v>1.1228711352390077</v>
      </c>
      <c r="H68" s="13" t="s">
        <v>70</v>
      </c>
      <c r="I68" s="9">
        <v>101</v>
      </c>
      <c r="J68" s="9">
        <v>110</v>
      </c>
      <c r="K68" s="9">
        <v>116</v>
      </c>
      <c r="L68" s="9">
        <v>124</v>
      </c>
      <c r="M68" s="9">
        <v>154</v>
      </c>
      <c r="N68" s="9">
        <v>164</v>
      </c>
      <c r="O68" s="9">
        <v>192</v>
      </c>
      <c r="P68" s="9">
        <v>208</v>
      </c>
      <c r="Q68" s="9">
        <v>214</v>
      </c>
      <c r="R68" s="9">
        <v>233</v>
      </c>
      <c r="S68" s="9">
        <v>266</v>
      </c>
      <c r="T68" s="9">
        <v>316</v>
      </c>
      <c r="U68" s="9">
        <v>346</v>
      </c>
      <c r="V68" s="9">
        <v>382</v>
      </c>
    </row>
    <row r="69" spans="1:25" x14ac:dyDescent="0.25">
      <c r="A69" s="9">
        <f t="shared" si="9"/>
        <v>68</v>
      </c>
      <c r="B69" s="9">
        <f t="array" ref="B69">IF(C69="",0,IF(OR(C69=Country_Comparison!$S$10:$S$29),1,0))</f>
        <v>0</v>
      </c>
      <c r="C69" s="9" t="str">
        <f t="shared" ref="C69:C100" si="20">IF(H69="","",H69)</f>
        <v>Lebanon</v>
      </c>
      <c r="D69" s="6">
        <f t="shared" si="18"/>
        <v>368</v>
      </c>
      <c r="E69" s="6">
        <f>IF(COUNTIF(I69:XFD69,"&gt;"&amp;0)=0,,HLOOKUP(COUNTIF(I69:XFD69,"&gt;"&amp;0)-1,I$1:XFD69,A69+1,FALSE))</f>
        <v>368</v>
      </c>
      <c r="F69" s="7">
        <f>IF(COUNTIF(I69:XFD69,"&gt;"&amp;0)=0,,HLOOKUP(COUNTIF(I69:XFD69,"&gt;"&amp;0)-MIN($F$1+1,COUNTIF(I69:XFD69,"&gt;"&amp;0)),I$1:XFD69,A69+1,FALSE))</f>
        <v>187</v>
      </c>
      <c r="G69" s="8">
        <f t="shared" si="19"/>
        <v>1.1449888102635597</v>
      </c>
      <c r="H69" s="13" t="s">
        <v>67</v>
      </c>
      <c r="I69" s="9">
        <v>110</v>
      </c>
      <c r="J69" s="9">
        <v>110</v>
      </c>
      <c r="K69" s="9">
        <v>120</v>
      </c>
      <c r="L69" s="9">
        <v>133</v>
      </c>
      <c r="M69" s="9">
        <v>157</v>
      </c>
      <c r="N69" s="9">
        <v>163</v>
      </c>
      <c r="O69" s="9">
        <v>187</v>
      </c>
      <c r="P69" s="9">
        <v>248</v>
      </c>
      <c r="Q69" s="9">
        <v>267</v>
      </c>
      <c r="R69" s="9">
        <v>318</v>
      </c>
      <c r="S69" s="9">
        <v>333</v>
      </c>
      <c r="T69" s="9">
        <v>368</v>
      </c>
    </row>
    <row r="70" spans="1:25" x14ac:dyDescent="0.25">
      <c r="A70" s="9">
        <f t="shared" si="9"/>
        <v>69</v>
      </c>
      <c r="B70" s="9">
        <f t="array" ref="B70">IF(C70="",0,IF(OR(C70=Country_Comparison!$S$10:$S$29),1,0))</f>
        <v>0</v>
      </c>
      <c r="C70" s="9" t="str">
        <f t="shared" si="20"/>
        <v>Algeria</v>
      </c>
      <c r="D70" s="6">
        <f t="shared" si="18"/>
        <v>367</v>
      </c>
      <c r="E70" s="6">
        <f>IF(COUNTIF(I70:XFD70,"&gt;"&amp;0)=0,,HLOOKUP(COUNTIF(I70:XFD70,"&gt;"&amp;0)-1,I$1:XFD70,A70+1,FALSE))</f>
        <v>367</v>
      </c>
      <c r="F70" s="7">
        <f>IF(COUNTIF(I70:XFD70,"&gt;"&amp;0)=0,,HLOOKUP(COUNTIF(I70:XFD70,"&gt;"&amp;0)-MIN($F$1+1,COUNTIF(I70:XFD70,"&gt;"&amp;0)),I$1:XFD70,A70+1,FALSE))</f>
        <v>139</v>
      </c>
      <c r="G70" s="8">
        <f t="shared" si="19"/>
        <v>1.2143119049427968</v>
      </c>
      <c r="H70" s="13" t="s">
        <v>75</v>
      </c>
      <c r="I70" s="9">
        <v>139</v>
      </c>
      <c r="J70" s="9">
        <v>201</v>
      </c>
      <c r="K70" s="9">
        <v>230</v>
      </c>
      <c r="L70" s="9">
        <v>264</v>
      </c>
      <c r="M70" s="9">
        <v>302</v>
      </c>
      <c r="N70" s="9">
        <v>367</v>
      </c>
    </row>
    <row r="71" spans="1:25" x14ac:dyDescent="0.25">
      <c r="A71" s="9">
        <f t="shared" si="9"/>
        <v>70</v>
      </c>
      <c r="B71" s="9">
        <f t="array" ref="B71">IF(C71="",0,IF(OR(C71=Country_Comparison!$S$10:$S$29),1,0))</f>
        <v>0</v>
      </c>
      <c r="C71" s="9" t="str">
        <f t="shared" si="20"/>
        <v>United Arab Emirates</v>
      </c>
      <c r="D71" s="6">
        <f t="shared" si="18"/>
        <v>333</v>
      </c>
      <c r="E71" s="6">
        <f>IF(COUNTIF(I71:XFD71,"&gt;"&amp;0)=0,,HLOOKUP(COUNTIF(I71:XFD71,"&gt;"&amp;0)-1,I$1:XFD71,A71+1,FALSE))</f>
        <v>333</v>
      </c>
      <c r="F71" s="7">
        <f>IF(COUNTIF(I71:XFD71,"&gt;"&amp;0)=0,,HLOOKUP(COUNTIF(I71:XFD71,"&gt;"&amp;0)-MIN($F$1+1,COUNTIF(I71:XFD71,"&gt;"&amp;0)),I$1:XFD71,A71+1,FALSE))</f>
        <v>153</v>
      </c>
      <c r="G71" s="8">
        <f t="shared" si="19"/>
        <v>1.168289734165707</v>
      </c>
      <c r="H71" s="13" t="s">
        <v>55</v>
      </c>
      <c r="I71" s="9">
        <v>113</v>
      </c>
      <c r="J71" s="9">
        <v>140</v>
      </c>
      <c r="K71" s="9">
        <v>140</v>
      </c>
      <c r="L71" s="9">
        <v>153</v>
      </c>
      <c r="M71" s="9">
        <v>153</v>
      </c>
      <c r="N71" s="9">
        <v>198</v>
      </c>
      <c r="O71" s="9">
        <v>248</v>
      </c>
      <c r="P71" s="9">
        <v>333</v>
      </c>
      <c r="Q71" s="9">
        <v>333</v>
      </c>
    </row>
    <row r="72" spans="1:25" x14ac:dyDescent="0.25">
      <c r="A72" s="9">
        <f t="shared" si="9"/>
        <v>71</v>
      </c>
      <c r="B72" s="9">
        <f t="array" ref="B72">IF(C72="",0,IF(OR(C72=Country_Comparison!$S$10:$S$29),1,0))</f>
        <v>0</v>
      </c>
      <c r="C72" s="9" t="str">
        <f t="shared" si="20"/>
        <v>Lithuania</v>
      </c>
      <c r="D72" s="6">
        <f t="shared" si="18"/>
        <v>299</v>
      </c>
      <c r="E72" s="6">
        <f>IF(COUNTIF(I72:XFD72,"&gt;"&amp;0)=0,,HLOOKUP(COUNTIF(I72:XFD72,"&gt;"&amp;0)-1,I$1:XFD72,A72+1,FALSE))</f>
        <v>299</v>
      </c>
      <c r="F72" s="7">
        <f>IF(COUNTIF(I72:XFD72,"&gt;"&amp;0)=0,,HLOOKUP(COUNTIF(I72:XFD72,"&gt;"&amp;0)-MIN($F$1+1,COUNTIF(I72:XFD72,"&gt;"&amp;0)),I$1:XFD72,A72+1,FALSE))</f>
        <v>143</v>
      </c>
      <c r="G72" s="8">
        <f t="shared" si="19"/>
        <v>1.2024964078792262</v>
      </c>
      <c r="H72" s="13" t="s">
        <v>93</v>
      </c>
      <c r="I72" s="9">
        <v>143</v>
      </c>
      <c r="J72" s="9">
        <v>179</v>
      </c>
      <c r="K72" s="9">
        <v>209</v>
      </c>
      <c r="L72" s="9">
        <v>274</v>
      </c>
      <c r="M72" s="9">
        <v>299</v>
      </c>
    </row>
    <row r="73" spans="1:25" x14ac:dyDescent="0.25">
      <c r="A73" s="9">
        <f t="shared" si="9"/>
        <v>72</v>
      </c>
      <c r="B73" s="9">
        <f t="array" ref="B73">IF(C73="",0,IF(OR(C73=Country_Comparison!$S$10:$S$29),1,0))</f>
        <v>0</v>
      </c>
      <c r="C73" s="9" t="str">
        <f t="shared" si="20"/>
        <v>Armenia</v>
      </c>
      <c r="D73" s="6">
        <f t="shared" si="18"/>
        <v>290</v>
      </c>
      <c r="E73" s="6">
        <f>IF(COUNTIF(I73:XFD73,"&gt;"&amp;0)=0,,HLOOKUP(COUNTIF(I73:XFD73,"&gt;"&amp;0)-1,I$1:XFD73,A73+1,FALSE))</f>
        <v>290</v>
      </c>
      <c r="F73" s="7">
        <f>IF(COUNTIF(I73:XFD73,"&gt;"&amp;0)=0,,HLOOKUP(COUNTIF(I73:XFD73,"&gt;"&amp;0)-MIN($F$1+1,COUNTIF(I73:XFD73,"&gt;"&amp;0)),I$1:XFD73,A73+1,FALSE))</f>
        <v>160</v>
      </c>
      <c r="G73" s="8">
        <f t="shared" si="19"/>
        <v>1.1263039392161627</v>
      </c>
      <c r="H73" s="13" t="s">
        <v>105</v>
      </c>
      <c r="I73" s="9">
        <v>115</v>
      </c>
      <c r="J73" s="9">
        <v>136</v>
      </c>
      <c r="K73" s="9">
        <v>160</v>
      </c>
      <c r="L73" s="9">
        <v>194</v>
      </c>
      <c r="M73" s="9">
        <v>235</v>
      </c>
      <c r="N73" s="9">
        <v>249</v>
      </c>
      <c r="O73" s="9">
        <v>265</v>
      </c>
      <c r="P73" s="9">
        <v>290</v>
      </c>
    </row>
    <row r="74" spans="1:25" x14ac:dyDescent="0.25">
      <c r="A74" s="9">
        <f t="shared" si="9"/>
        <v>73</v>
      </c>
      <c r="B74" s="9">
        <f t="array" ref="B74">IF(C74="",0,IF(OR(C74=Country_Comparison!$S$10:$S$29),1,0))</f>
        <v>0</v>
      </c>
      <c r="C74" s="9" t="str">
        <f t="shared" si="20"/>
        <v>New Zealand</v>
      </c>
      <c r="D74" s="6">
        <f t="shared" si="18"/>
        <v>283</v>
      </c>
      <c r="E74" s="6">
        <f>IF(COUNTIF(I74:XFD74,"&gt;"&amp;0)=0,,HLOOKUP(COUNTIF(I74:XFD74,"&gt;"&amp;0)-1,I$1:XFD74,A74+1,FALSE))</f>
        <v>283</v>
      </c>
      <c r="F74" s="7">
        <f>IF(COUNTIF(I74:XFD74,"&gt;"&amp;0)=0,,HLOOKUP(COUNTIF(I74:XFD74,"&gt;"&amp;0)-MIN($F$1+1,COUNTIF(I74:XFD74,"&gt;"&amp;0)),I$1:XFD74,A74+1,FALSE))</f>
        <v>102</v>
      </c>
      <c r="G74" s="8">
        <f t="shared" si="19"/>
        <v>1.2906145768545414</v>
      </c>
      <c r="H74" s="13" t="s">
        <v>95</v>
      </c>
      <c r="I74" s="9">
        <v>102</v>
      </c>
      <c r="J74" s="9">
        <v>102</v>
      </c>
      <c r="K74" s="9">
        <v>155</v>
      </c>
      <c r="L74" s="9">
        <v>205</v>
      </c>
      <c r="M74" s="9">
        <v>283</v>
      </c>
    </row>
    <row r="75" spans="1:25" x14ac:dyDescent="0.25">
      <c r="A75" s="9">
        <f t="shared" si="9"/>
        <v>74</v>
      </c>
      <c r="B75" s="9">
        <f t="array" ref="B75">IF(C75="",0,IF(OR(C75=Country_Comparison!$S$10:$S$29),1,0))</f>
        <v>0</v>
      </c>
      <c r="C75" s="9" t="str">
        <f t="shared" si="20"/>
        <v>Morocco</v>
      </c>
      <c r="D75" s="6">
        <f t="shared" si="18"/>
        <v>275</v>
      </c>
      <c r="E75" s="6">
        <f>IF(COUNTIF(I75:XFD75,"&gt;"&amp;0)=0,,HLOOKUP(COUNTIF(I75:XFD75,"&gt;"&amp;0)-1,I$1:XFD75,A75+1,FALSE))</f>
        <v>275</v>
      </c>
      <c r="F75" s="7">
        <f>IF(COUNTIF(I75:XFD75,"&gt;"&amp;0)=0,,HLOOKUP(COUNTIF(I75:XFD75,"&gt;"&amp;0)-MIN($F$1+1,COUNTIF(I75:XFD75,"&gt;"&amp;0)),I$1:XFD75,A75+1,FALSE))</f>
        <v>115</v>
      </c>
      <c r="G75" s="8">
        <f t="shared" si="19"/>
        <v>1.2435370047038072</v>
      </c>
      <c r="H75" s="13" t="s">
        <v>112</v>
      </c>
      <c r="I75" s="9">
        <v>115</v>
      </c>
      <c r="J75" s="9">
        <v>143</v>
      </c>
      <c r="K75" s="9">
        <v>170</v>
      </c>
      <c r="L75" s="9">
        <v>225</v>
      </c>
      <c r="M75" s="9">
        <v>275</v>
      </c>
    </row>
    <row r="76" spans="1:25" x14ac:dyDescent="0.25">
      <c r="A76" s="9">
        <f t="shared" si="9"/>
        <v>75</v>
      </c>
      <c r="B76" s="9">
        <f t="array" ref="B76">IF(C76="",0,IF(OR(C76=Country_Comparison!$S$10:$S$29),1,0))</f>
        <v>0</v>
      </c>
      <c r="C76" s="9" t="str">
        <f t="shared" si="20"/>
        <v>Bulgaria</v>
      </c>
      <c r="D76" s="6">
        <f t="shared" si="18"/>
        <v>264</v>
      </c>
      <c r="E76" s="6">
        <f>IF(COUNTIF(I76:XFD76,"&gt;"&amp;0)=0,,HLOOKUP(COUNTIF(I76:XFD76,"&gt;"&amp;0)-1,I$1:XFD76,A76+1,FALSE))</f>
        <v>264</v>
      </c>
      <c r="F76" s="7">
        <f>IF(COUNTIF(I76:XFD76,"&gt;"&amp;0)=0,,HLOOKUP(COUNTIF(I76:XFD76,"&gt;"&amp;0)-MIN($F$1+1,COUNTIF(I76:XFD76,"&gt;"&amp;0)),I$1:XFD76,A76+1,FALSE))</f>
        <v>163</v>
      </c>
      <c r="G76" s="8">
        <f t="shared" si="19"/>
        <v>1.1012432627929825</v>
      </c>
      <c r="H76" s="13" t="s">
        <v>199</v>
      </c>
      <c r="I76" s="9">
        <v>127</v>
      </c>
      <c r="J76" s="9">
        <v>163</v>
      </c>
      <c r="K76" s="9">
        <v>187</v>
      </c>
      <c r="L76" s="9">
        <v>201</v>
      </c>
      <c r="M76" s="9">
        <v>218</v>
      </c>
      <c r="N76" s="9">
        <v>242</v>
      </c>
      <c r="O76" s="9">
        <v>264</v>
      </c>
    </row>
    <row r="77" spans="1:25" x14ac:dyDescent="0.25">
      <c r="A77" s="9">
        <f t="shared" si="9"/>
        <v>76</v>
      </c>
      <c r="B77" s="9">
        <f t="array" ref="B77">IF(C77="",0,IF(OR(C77=Country_Comparison!$S$10:$S$29),1,0))</f>
        <v>0</v>
      </c>
      <c r="C77" s="9" t="str">
        <f t="shared" si="20"/>
        <v>Hungary</v>
      </c>
      <c r="D77" s="6">
        <f t="shared" si="18"/>
        <v>261</v>
      </c>
      <c r="E77" s="6">
        <f>IF(COUNTIF(I77:XFD77,"&gt;"&amp;0)=0,,HLOOKUP(COUNTIF(I77:XFD77,"&gt;"&amp;0)-1,I$1:XFD77,A77+1,FALSE))</f>
        <v>261</v>
      </c>
      <c r="F77" s="7">
        <f>IF(COUNTIF(I77:XFD77,"&gt;"&amp;0)=0,,HLOOKUP(COUNTIF(I77:XFD77,"&gt;"&amp;0)-MIN($F$1+1,COUNTIF(I77:XFD77,"&gt;"&amp;0)),I$1:XFD77,A77+1,FALSE))</f>
        <v>103</v>
      </c>
      <c r="G77" s="8">
        <f t="shared" si="19"/>
        <v>1.2043720175281247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</row>
    <row r="78" spans="1:25" x14ac:dyDescent="0.25">
      <c r="A78" s="9">
        <f t="shared" si="9"/>
        <v>77</v>
      </c>
      <c r="B78" s="9">
        <f t="array" ref="B78">IF(C78="",0,IF(OR(C78=Country_Comparison!$S$10:$S$29),1,0))</f>
        <v>0</v>
      </c>
      <c r="C78" s="9" t="str">
        <f t="shared" si="20"/>
        <v>Taiwan*</v>
      </c>
      <c r="D78" s="6">
        <f t="shared" si="18"/>
        <v>252</v>
      </c>
      <c r="E78" s="6">
        <f>IF(COUNTIF(I78:XFD78,"&gt;"&amp;0)=0,,HLOOKUP(COUNTIF(I78:XFD78,"&gt;"&amp;0)-1,I$1:XFD78,A78+1,FALSE))</f>
        <v>252</v>
      </c>
      <c r="F78" s="7">
        <f>IF(COUNTIF(I78:XFD78,"&gt;"&amp;0)=0,,HLOOKUP(COUNTIF(I78:XFD78,"&gt;"&amp;0)-MIN($F$1+1,COUNTIF(I78:XFD78,"&gt;"&amp;0)),I$1:XFD78,A78+1,FALSE))</f>
        <v>153</v>
      </c>
      <c r="G78" s="8">
        <f t="shared" si="19"/>
        <v>1.104947953796503</v>
      </c>
      <c r="H78" s="13" t="s">
        <v>342</v>
      </c>
      <c r="I78" s="9">
        <v>100</v>
      </c>
      <c r="J78" s="9">
        <v>108</v>
      </c>
      <c r="K78" s="9">
        <v>135</v>
      </c>
      <c r="L78" s="9">
        <v>153</v>
      </c>
      <c r="M78" s="9">
        <v>169</v>
      </c>
      <c r="N78" s="9">
        <v>195</v>
      </c>
      <c r="O78" s="9">
        <v>215</v>
      </c>
      <c r="P78" s="9">
        <v>235</v>
      </c>
      <c r="Q78" s="9">
        <v>252</v>
      </c>
    </row>
    <row r="79" spans="1:25" x14ac:dyDescent="0.25">
      <c r="A79" s="9">
        <f t="shared" si="9"/>
        <v>78</v>
      </c>
      <c r="B79" s="9">
        <f t="array" ref="B79">IF(C79="",0,IF(OR(C79=Country_Comparison!$S$10:$S$29),1,0))</f>
        <v>0</v>
      </c>
      <c r="C79" s="9" t="str">
        <f t="shared" si="20"/>
        <v>Latvia</v>
      </c>
      <c r="D79" s="6">
        <f t="shared" si="18"/>
        <v>244</v>
      </c>
      <c r="E79" s="6">
        <f>IF(COUNTIF(I79:XFD79,"&gt;"&amp;0)=0,,HLOOKUP(COUNTIF(I79:XFD79,"&gt;"&amp;0)-1,I$1:XFD79,A79+1,FALSE))</f>
        <v>244</v>
      </c>
      <c r="F79" s="7">
        <f>IF(COUNTIF(I79:XFD79,"&gt;"&amp;0)=0,,HLOOKUP(COUNTIF(I79:XFD79,"&gt;"&amp;0)-MIN($F$1+1,COUNTIF(I79:XFD79,"&gt;"&amp;0)),I$1:XFD79,A79+1,FALSE))</f>
        <v>124</v>
      </c>
      <c r="G79" s="8">
        <f t="shared" si="19"/>
        <v>1.1449687361233205</v>
      </c>
      <c r="H79" s="13" t="s">
        <v>111</v>
      </c>
      <c r="I79" s="9">
        <v>111</v>
      </c>
      <c r="J79" s="9">
        <v>124</v>
      </c>
      <c r="K79" s="9">
        <v>139</v>
      </c>
      <c r="L79" s="9">
        <v>180</v>
      </c>
      <c r="M79" s="9">
        <v>197</v>
      </c>
      <c r="N79" s="9">
        <v>221</v>
      </c>
      <c r="O79" s="9">
        <v>244</v>
      </c>
    </row>
    <row r="80" spans="1:25" x14ac:dyDescent="0.25">
      <c r="A80" s="9">
        <f t="shared" si="9"/>
        <v>79</v>
      </c>
      <c r="B80" s="9">
        <f t="array" ref="B80">IF(C80="",0,IF(OR(C80=Country_Comparison!$S$10:$S$29),1,0))</f>
        <v>0</v>
      </c>
      <c r="C80" s="9" t="str">
        <f t="shared" si="20"/>
        <v>Costa Rica</v>
      </c>
      <c r="D80" s="6">
        <f t="shared" si="18"/>
        <v>231</v>
      </c>
      <c r="E80" s="6">
        <f>IF(COUNTIF(I80:XFD80,"&gt;"&amp;0)=0,,HLOOKUP(COUNTIF(I80:XFD80,"&gt;"&amp;0)-1,I$1:XFD80,A80+1,FALSE))</f>
        <v>231</v>
      </c>
      <c r="F80" s="7">
        <f>IF(COUNTIF(I80:XFD80,"&gt;"&amp;0)=0,,HLOOKUP(COUNTIF(I80:XFD80,"&gt;"&amp;0)-MIN($F$1+1,COUNTIF(I80:XFD80,"&gt;"&amp;0)),I$1:XFD80,A80+1,FALSE))</f>
        <v>117</v>
      </c>
      <c r="G80" s="8">
        <f t="shared" si="19"/>
        <v>1.1457377528431891</v>
      </c>
      <c r="H80" s="13" t="s">
        <v>159</v>
      </c>
      <c r="I80" s="9">
        <v>117</v>
      </c>
      <c r="J80" s="9">
        <v>134</v>
      </c>
      <c r="K80" s="9">
        <v>158</v>
      </c>
      <c r="L80" s="9">
        <v>177</v>
      </c>
      <c r="M80" s="9">
        <v>201</v>
      </c>
      <c r="N80" s="9">
        <v>231</v>
      </c>
    </row>
    <row r="81" spans="1:21" x14ac:dyDescent="0.25">
      <c r="A81" s="9">
        <f t="shared" si="9"/>
        <v>80</v>
      </c>
      <c r="B81" s="9">
        <f t="array" ref="B81">IF(C81="",0,IF(OR(C81=Country_Comparison!$S$10:$S$29),1,0))</f>
        <v>0</v>
      </c>
      <c r="C81" s="9" t="str">
        <f t="shared" si="20"/>
        <v>Slovakia</v>
      </c>
      <c r="D81" s="6">
        <f t="shared" si="18"/>
        <v>226</v>
      </c>
      <c r="E81" s="6">
        <f>IF(COUNTIF(I81:XFD81,"&gt;"&amp;0)=0,,HLOOKUP(COUNTIF(I81:XFD81,"&gt;"&amp;0)-1,I$1:XFD81,A81+1,FALSE))</f>
        <v>226</v>
      </c>
      <c r="F81" s="7">
        <f>IF(COUNTIF(I81:XFD81,"&gt;"&amp;0)=0,,HLOOKUP(COUNTIF(I81:XFD81,"&gt;"&amp;0)-MIN($F$1+1,COUNTIF(I81:XFD81,"&gt;"&amp;0)),I$1:XFD81,A81+1,FALSE))</f>
        <v>178</v>
      </c>
      <c r="G81" s="8">
        <f t="shared" si="19"/>
        <v>1.0489086994140338</v>
      </c>
      <c r="H81" s="13" t="s">
        <v>162</v>
      </c>
      <c r="I81" s="9">
        <v>105</v>
      </c>
      <c r="J81" s="9">
        <v>123</v>
      </c>
      <c r="K81" s="9">
        <v>137</v>
      </c>
      <c r="L81" s="9">
        <v>178</v>
      </c>
      <c r="M81" s="9">
        <v>185</v>
      </c>
      <c r="N81" s="9">
        <v>186</v>
      </c>
      <c r="O81" s="9">
        <v>204</v>
      </c>
      <c r="P81" s="9">
        <v>216</v>
      </c>
      <c r="Q81" s="9">
        <v>226</v>
      </c>
    </row>
    <row r="82" spans="1:21" x14ac:dyDescent="0.25">
      <c r="A82" s="9">
        <f t="shared" si="9"/>
        <v>81</v>
      </c>
      <c r="B82" s="9">
        <f t="array" ref="B82">IF(C82="",0,IF(OR(C82=Country_Comparison!$S$10:$S$29),1,0))</f>
        <v>0</v>
      </c>
      <c r="C82" s="9" t="str">
        <f t="shared" si="20"/>
        <v>Andorra</v>
      </c>
      <c r="D82" s="6">
        <f t="shared" si="18"/>
        <v>224</v>
      </c>
      <c r="E82" s="6">
        <f>IF(COUNTIF(I82:XFD82,"&gt;"&amp;0)=0,,HLOOKUP(COUNTIF(I82:XFD82,"&gt;"&amp;0)-1,I$1:XFD82,A82+1,FALSE))</f>
        <v>224</v>
      </c>
      <c r="F82" s="7">
        <f>IF(COUNTIF(I82:XFD82,"&gt;"&amp;0)=0,,HLOOKUP(COUNTIF(I82:XFD82,"&gt;"&amp;0)-MIN($F$1+1,COUNTIF(I82:XFD82,"&gt;"&amp;0)),I$1:XFD82,A82+1,FALSE))</f>
        <v>113</v>
      </c>
      <c r="G82" s="8">
        <f t="shared" si="19"/>
        <v>1.1865673493030024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</row>
    <row r="83" spans="1:21" x14ac:dyDescent="0.25">
      <c r="A83" s="9">
        <f t="shared" si="9"/>
        <v>82</v>
      </c>
      <c r="B83" s="9">
        <f t="array" ref="B83">IF(C83="",0,IF(OR(C83=Country_Comparison!$S$10:$S$29),1,0))</f>
        <v>0</v>
      </c>
      <c r="C83" s="9" t="str">
        <f t="shared" si="20"/>
        <v>Jordan</v>
      </c>
      <c r="D83" s="6">
        <f t="shared" si="18"/>
        <v>212</v>
      </c>
      <c r="E83" s="6">
        <f>IF(COUNTIF(I83:XFD83,"&gt;"&amp;0)=0,,HLOOKUP(COUNTIF(I83:XFD83,"&gt;"&amp;0)-1,I$1:XFD83,A83+1,FALSE))</f>
        <v>212</v>
      </c>
      <c r="F83" s="7">
        <f>IF(COUNTIF(I83:XFD83,"&gt;"&amp;0)=0,,HLOOKUP(COUNTIF(I83:XFD83,"&gt;"&amp;0)-MIN($F$1+1,COUNTIF(I83:XFD83,"&gt;"&amp;0)),I$1:XFD83,A83+1,FALSE))</f>
        <v>112</v>
      </c>
      <c r="G83" s="8">
        <f t="shared" si="19"/>
        <v>1.1729498918860888</v>
      </c>
      <c r="H83" s="13" t="s">
        <v>125</v>
      </c>
      <c r="I83" s="9">
        <v>112</v>
      </c>
      <c r="J83" s="9">
        <v>127</v>
      </c>
      <c r="K83" s="9">
        <v>154</v>
      </c>
      <c r="L83" s="9">
        <v>172</v>
      </c>
      <c r="M83" s="9">
        <v>212</v>
      </c>
    </row>
    <row r="84" spans="1:21" x14ac:dyDescent="0.25">
      <c r="A84" s="9">
        <f t="shared" si="9"/>
        <v>83</v>
      </c>
      <c r="B84" s="9">
        <f t="array" ref="B84">IF(C84="",0,IF(OR(C84=Country_Comparison!$S$10:$S$29),1,0))</f>
        <v>0</v>
      </c>
      <c r="C84" s="9" t="str">
        <f t="shared" si="20"/>
        <v>Kuwait</v>
      </c>
      <c r="D84" s="6">
        <f t="shared" si="18"/>
        <v>208</v>
      </c>
      <c r="E84" s="6">
        <f>IF(COUNTIF(I84:XFD84,"&gt;"&amp;0)=0,,HLOOKUP(COUNTIF(I84:XFD84,"&gt;"&amp;0)-1,I$1:XFD84,A84+1,FALSE))</f>
        <v>208</v>
      </c>
      <c r="F84" s="7">
        <f>IF(COUNTIF(I84:XFD84,"&gt;"&amp;0)=0,,HLOOKUP(COUNTIF(I84:XFD84,"&gt;"&amp;0)-MIN($F$1+1,COUNTIF(I84:XFD84,"&gt;"&amp;0)),I$1:XFD84,A84+1,FALSE))</f>
        <v>176</v>
      </c>
      <c r="G84" s="8">
        <f t="shared" si="19"/>
        <v>1.0339752265319502</v>
      </c>
      <c r="H84" s="13" t="s">
        <v>74</v>
      </c>
      <c r="I84" s="9">
        <v>104</v>
      </c>
      <c r="J84" s="9">
        <v>112</v>
      </c>
      <c r="K84" s="9">
        <v>123</v>
      </c>
      <c r="L84" s="9">
        <v>130</v>
      </c>
      <c r="M84" s="9">
        <v>142</v>
      </c>
      <c r="N84" s="9">
        <v>148</v>
      </c>
      <c r="O84" s="9">
        <v>159</v>
      </c>
      <c r="P84" s="9">
        <v>176</v>
      </c>
      <c r="Q84" s="9">
        <v>188</v>
      </c>
      <c r="R84" s="9">
        <v>189</v>
      </c>
      <c r="S84" s="9">
        <v>191</v>
      </c>
      <c r="T84" s="9">
        <v>195</v>
      </c>
      <c r="U84" s="9">
        <v>208</v>
      </c>
    </row>
    <row r="85" spans="1:21" x14ac:dyDescent="0.25">
      <c r="A85" s="9">
        <f t="shared" si="9"/>
        <v>84</v>
      </c>
      <c r="B85" s="9">
        <f t="array" ref="B85">IF(C85="",0,IF(OR(C85=Country_Comparison!$S$10:$S$29),1,0))</f>
        <v>0</v>
      </c>
      <c r="C85" s="9" t="str">
        <f t="shared" si="20"/>
        <v>San Marino</v>
      </c>
      <c r="D85" s="6">
        <f t="shared" si="18"/>
        <v>208</v>
      </c>
      <c r="E85" s="6">
        <f>IF(COUNTIF(I85:XFD85,"&gt;"&amp;0)=0,,HLOOKUP(COUNTIF(I85:XFD85,"&gt;"&amp;0)-1,I$1:XFD85,A85+1,FALSE))</f>
        <v>208</v>
      </c>
      <c r="F85" s="7">
        <f>IF(COUNTIF(I85:XFD85,"&gt;"&amp;0)=0,,HLOOKUP(COUNTIF(I85:XFD85,"&gt;"&amp;0)-MIN($F$1+1,COUNTIF(I85:XFD85,"&gt;"&amp;0)),I$1:XFD85,A85+1,FALSE))</f>
        <v>144</v>
      </c>
      <c r="G85" s="8">
        <f t="shared" si="19"/>
        <v>1.0763169225148108</v>
      </c>
      <c r="H85" s="13" t="s">
        <v>90</v>
      </c>
      <c r="I85" s="9">
        <v>101</v>
      </c>
      <c r="J85" s="9">
        <v>109</v>
      </c>
      <c r="K85" s="9">
        <v>109</v>
      </c>
      <c r="L85" s="9">
        <v>119</v>
      </c>
      <c r="M85" s="9">
        <v>119</v>
      </c>
      <c r="N85" s="9">
        <v>144</v>
      </c>
      <c r="O85" s="9">
        <v>144</v>
      </c>
      <c r="P85" s="9">
        <v>175</v>
      </c>
      <c r="Q85" s="9">
        <v>187</v>
      </c>
      <c r="R85" s="9">
        <v>187</v>
      </c>
      <c r="S85" s="9">
        <v>208</v>
      </c>
      <c r="T85" s="9">
        <v>208</v>
      </c>
    </row>
    <row r="86" spans="1:21" x14ac:dyDescent="0.25">
      <c r="A86" s="9">
        <f t="shared" si="9"/>
        <v>85</v>
      </c>
      <c r="B86" s="9">
        <f t="array" ref="B86">IF(C86="",0,IF(OR(C86=Country_Comparison!$S$10:$S$29),1,0))</f>
        <v>0</v>
      </c>
      <c r="C86" s="9" t="str">
        <f t="shared" si="20"/>
        <v>North Macedonia</v>
      </c>
      <c r="D86" s="6">
        <f t="shared" si="18"/>
        <v>201</v>
      </c>
      <c r="E86" s="6">
        <f>IF(COUNTIF(I86:XFD86,"&gt;"&amp;0)=0,,HLOOKUP(COUNTIF(I86:XFD86,"&gt;"&amp;0)-1,I$1:XFD86,A86+1,FALSE))</f>
        <v>201</v>
      </c>
      <c r="F86" s="7">
        <f>IF(COUNTIF(I86:XFD86,"&gt;"&amp;0)=0,,HLOOKUP(COUNTIF(I86:XFD86,"&gt;"&amp;0)-MIN($F$1+1,COUNTIF(I86:XFD86,"&gt;"&amp;0)),I$1:XFD86,A86+1,FALSE))</f>
        <v>115</v>
      </c>
      <c r="G86" s="8">
        <f t="shared" si="19"/>
        <v>1.1498059568037253</v>
      </c>
      <c r="H86" s="13" t="s">
        <v>84</v>
      </c>
      <c r="I86" s="9">
        <v>115</v>
      </c>
      <c r="J86" s="9">
        <v>136</v>
      </c>
      <c r="K86" s="9">
        <v>148</v>
      </c>
      <c r="L86" s="9">
        <v>177</v>
      </c>
      <c r="M86" s="9">
        <v>201</v>
      </c>
    </row>
    <row r="87" spans="1:21" x14ac:dyDescent="0.25">
      <c r="A87" s="9">
        <f t="shared" si="9"/>
        <v>86</v>
      </c>
      <c r="B87" s="9">
        <f t="array" ref="B87">IF(C87="",0,IF(OR(C87=Country_Comparison!$S$10:$S$29),1,0))</f>
        <v>0</v>
      </c>
      <c r="C87" s="9" t="str">
        <f t="shared" si="20"/>
        <v>Tunisia</v>
      </c>
      <c r="D87" s="6">
        <f t="shared" si="18"/>
        <v>197</v>
      </c>
      <c r="E87" s="6">
        <f>IF(COUNTIF(I87:XFD87,"&gt;"&amp;0)=0,,HLOOKUP(COUNTIF(I87:XFD87,"&gt;"&amp;0)-1,I$1:XFD87,A87+1,FALSE))</f>
        <v>197</v>
      </c>
      <c r="F87" s="7">
        <f>IF(COUNTIF(I87:XFD87,"&gt;"&amp;0)=0,,HLOOKUP(COUNTIF(I87:XFD87,"&gt;"&amp;0)-MIN($F$1+1,COUNTIF(I87:XFD87,"&gt;"&amp;0)),I$1:XFD87,A87+1,FALSE))</f>
        <v>114</v>
      </c>
      <c r="G87" s="8">
        <f t="shared" si="19"/>
        <v>1.3145608298738392</v>
      </c>
      <c r="H87" s="13" t="s">
        <v>138</v>
      </c>
      <c r="I87" s="9">
        <v>114</v>
      </c>
      <c r="J87" s="9">
        <v>173</v>
      </c>
      <c r="K87" s="9">
        <v>197</v>
      </c>
    </row>
    <row r="88" spans="1:21" x14ac:dyDescent="0.25">
      <c r="A88" s="9">
        <f t="shared" si="9"/>
        <v>87</v>
      </c>
      <c r="B88" s="9">
        <f t="array" ref="B88">IF(C88="",0,IF(OR(C88=Country_Comparison!$S$10:$S$29),1,0))</f>
        <v>0</v>
      </c>
      <c r="C88" s="9" t="str">
        <f t="shared" si="20"/>
        <v>Ukraine</v>
      </c>
      <c r="D88" s="6">
        <f t="shared" si="18"/>
        <v>196</v>
      </c>
      <c r="E88" s="6">
        <f>IF(COUNTIF(I88:XFD88,"&gt;"&amp;0)=0,,HLOOKUP(COUNTIF(I88:XFD88,"&gt;"&amp;0)-1,I$1:XFD88,A88+1,FALSE))</f>
        <v>196</v>
      </c>
      <c r="F88" s="7">
        <f>IF(COUNTIF(I88:XFD88,"&gt;"&amp;0)=0,,HLOOKUP(COUNTIF(I88:XFD88,"&gt;"&amp;0)-MIN($F$1+1,COUNTIF(I88:XFD88,"&gt;"&amp;0)),I$1:XFD88,A88+1,FALSE))</f>
        <v>145</v>
      </c>
      <c r="G88" s="8">
        <f t="shared" si="19"/>
        <v>1.3517241379310345</v>
      </c>
      <c r="H88" s="13" t="s">
        <v>129</v>
      </c>
      <c r="I88" s="9">
        <v>145</v>
      </c>
      <c r="J88" s="9">
        <v>196</v>
      </c>
    </row>
    <row r="89" spans="1:21" x14ac:dyDescent="0.25">
      <c r="A89" s="9">
        <f t="shared" si="9"/>
        <v>88</v>
      </c>
      <c r="B89" s="9">
        <f t="array" ref="B89">IF(C89="",0,IF(OR(C89=Country_Comparison!$S$10:$S$29),1,0))</f>
        <v>0</v>
      </c>
      <c r="C89" s="9" t="str">
        <f t="shared" si="20"/>
        <v>Bosnia and Herzegovina</v>
      </c>
      <c r="D89" s="6">
        <f t="shared" si="18"/>
        <v>191</v>
      </c>
      <c r="E89" s="6">
        <f>IF(COUNTIF(I89:XFD89,"&gt;"&amp;0)=0,,HLOOKUP(COUNTIF(I89:XFD89,"&gt;"&amp;0)-1,I$1:XFD89,A89+1,FALSE))</f>
        <v>191</v>
      </c>
      <c r="F89" s="7">
        <f>IF(COUNTIF(I89:XFD89,"&gt;"&amp;0)=0,,HLOOKUP(COUNTIF(I89:XFD89,"&gt;"&amp;0)-MIN($F$1+1,COUNTIF(I89:XFD89,"&gt;"&amp;0)),I$1:XFD89,A89+1,FALSE))</f>
        <v>126</v>
      </c>
      <c r="G89" s="8">
        <f t="shared" si="19"/>
        <v>1.1095981028689061</v>
      </c>
      <c r="H89" s="13" t="s">
        <v>140</v>
      </c>
      <c r="I89" s="9">
        <v>126</v>
      </c>
      <c r="J89" s="9">
        <v>136</v>
      </c>
      <c r="K89" s="9">
        <v>166</v>
      </c>
      <c r="L89" s="9">
        <v>176</v>
      </c>
      <c r="M89" s="9">
        <v>191</v>
      </c>
    </row>
    <row r="90" spans="1:21" x14ac:dyDescent="0.25">
      <c r="A90" s="9">
        <f t="shared" si="9"/>
        <v>89</v>
      </c>
      <c r="B90" s="9">
        <f t="array" ref="B90">IF(C90="",0,IF(OR(C90=Country_Comparison!$S$10:$S$29),1,0))</f>
        <v>0</v>
      </c>
      <c r="C90" s="9" t="str">
        <f t="shared" si="20"/>
        <v>Moldova</v>
      </c>
      <c r="D90" s="6">
        <f t="shared" si="18"/>
        <v>177</v>
      </c>
      <c r="E90" s="6">
        <f>IF(COUNTIF(I90:XFD90,"&gt;"&amp;0)=0,,HLOOKUP(COUNTIF(I90:XFD90,"&gt;"&amp;0)-1,I$1:XFD90,A90+1,FALSE))</f>
        <v>177</v>
      </c>
      <c r="F90" s="7">
        <f>IF(COUNTIF(I90:XFD90,"&gt;"&amp;0)=0,,HLOOKUP(COUNTIF(I90:XFD90,"&gt;"&amp;0)-MIN($F$1+1,COUNTIF(I90:XFD90,"&gt;"&amp;0)),I$1:XFD90,A90+1,FALSE))</f>
        <v>109</v>
      </c>
      <c r="G90" s="8">
        <f t="shared" si="19"/>
        <v>1.1753907162398474</v>
      </c>
      <c r="H90" s="13" t="s">
        <v>345</v>
      </c>
      <c r="I90" s="9">
        <v>109</v>
      </c>
      <c r="J90" s="9">
        <v>125</v>
      </c>
      <c r="K90" s="9">
        <v>149</v>
      </c>
      <c r="L90" s="9">
        <v>177</v>
      </c>
    </row>
    <row r="91" spans="1:21" x14ac:dyDescent="0.25">
      <c r="A91" s="9">
        <f t="shared" si="9"/>
        <v>90</v>
      </c>
      <c r="B91" s="9">
        <f t="array" ref="B91">IF(C91="",0,IF(OR(C91=Country_Comparison!$S$10:$S$29),1,0))</f>
        <v>0</v>
      </c>
      <c r="C91" s="9" t="str">
        <f t="shared" si="20"/>
        <v>Albania</v>
      </c>
      <c r="D91" s="6">
        <f t="shared" si="18"/>
        <v>174</v>
      </c>
      <c r="E91" s="6">
        <f>IF(COUNTIF(I91:XFD91,"&gt;"&amp;0)=0,,HLOOKUP(COUNTIF(I91:XFD91,"&gt;"&amp;0)-1,I$1:XFD91,A91+1,FALSE))</f>
        <v>174</v>
      </c>
      <c r="F91" s="7">
        <f>IF(COUNTIF(I91:XFD91,"&gt;"&amp;0)=0,,HLOOKUP(COUNTIF(I91:XFD91,"&gt;"&amp;0)-MIN($F$1+1,COUNTIF(I91:XFD91,"&gt;"&amp;0)),I$1:XFD91,A91+1,FALSE))</f>
        <v>104</v>
      </c>
      <c r="G91" s="8">
        <f t="shared" si="19"/>
        <v>1.1871491967547219</v>
      </c>
      <c r="H91" s="13" t="s">
        <v>230</v>
      </c>
      <c r="I91" s="9">
        <v>104</v>
      </c>
      <c r="J91" s="9">
        <v>123</v>
      </c>
      <c r="K91" s="9">
        <v>146</v>
      </c>
      <c r="L91" s="9">
        <v>174</v>
      </c>
    </row>
    <row r="92" spans="1:21" x14ac:dyDescent="0.25">
      <c r="A92" s="9">
        <f t="shared" si="9"/>
        <v>91</v>
      </c>
      <c r="B92" s="9">
        <f t="array" ref="B92">IF(C92="",0,IF(OR(C92=Country_Comparison!$S$10:$S$29),1,0))</f>
        <v>0</v>
      </c>
      <c r="C92" s="9" t="str">
        <f t="shared" si="20"/>
        <v>Vietnam</v>
      </c>
      <c r="D92" s="6">
        <f t="shared" si="18"/>
        <v>153</v>
      </c>
      <c r="E92" s="6">
        <f>IF(COUNTIF(I92:XFD92,"&gt;"&amp;0)=0,,HLOOKUP(COUNTIF(I92:XFD92,"&gt;"&amp;0)-1,I$1:XFD92,A92+1,FALSE))</f>
        <v>153</v>
      </c>
      <c r="F92" s="7">
        <f>IF(COUNTIF(I92:XFD92,"&gt;"&amp;0)=0,,HLOOKUP(COUNTIF(I92:XFD92,"&gt;"&amp;0)-MIN($F$1+1,COUNTIF(I92:XFD92,"&gt;"&amp;0)),I$1:XFD92,A92+1,FALSE))</f>
        <v>113</v>
      </c>
      <c r="G92" s="8">
        <f t="shared" si="19"/>
        <v>1.0787063786640469</v>
      </c>
      <c r="H92" s="13" t="s">
        <v>343</v>
      </c>
      <c r="I92" s="9">
        <v>113</v>
      </c>
      <c r="J92" s="9">
        <v>123</v>
      </c>
      <c r="K92" s="9">
        <v>134</v>
      </c>
      <c r="L92" s="9">
        <v>141</v>
      </c>
      <c r="M92" s="9">
        <v>153</v>
      </c>
    </row>
    <row r="93" spans="1:21" x14ac:dyDescent="0.25">
      <c r="A93" s="9">
        <f t="shared" si="9"/>
        <v>92</v>
      </c>
      <c r="B93" s="9">
        <f t="array" ref="B93">IF(C93="",0,IF(OR(C93=Country_Comparison!$S$10:$S$29),1,0))</f>
        <v>0</v>
      </c>
      <c r="C93" s="9" t="str">
        <f t="shared" si="20"/>
        <v>Burkina Faso</v>
      </c>
      <c r="D93" s="6">
        <f t="shared" si="18"/>
        <v>152</v>
      </c>
      <c r="E93" s="6">
        <f>IF(COUNTIF(I93:XFD93,"&gt;"&amp;0)=0,,HLOOKUP(COUNTIF(I93:XFD93,"&gt;"&amp;0)-1,I$1:XFD93,A93+1,FALSE))</f>
        <v>152</v>
      </c>
      <c r="F93" s="7">
        <f>IF(COUNTIF(I93:XFD93,"&gt;"&amp;0)=0,,HLOOKUP(COUNTIF(I93:XFD93,"&gt;"&amp;0)-MIN($F$1+1,COUNTIF(I93:XFD93,"&gt;"&amp;0)),I$1:XFD93,A93+1,FALSE))</f>
        <v>114</v>
      </c>
      <c r="G93" s="8">
        <f t="shared" si="19"/>
        <v>1.1547005383792515</v>
      </c>
      <c r="H93" s="13" t="s">
        <v>279</v>
      </c>
      <c r="I93" s="9">
        <v>114</v>
      </c>
      <c r="J93" s="9">
        <v>146</v>
      </c>
      <c r="K93" s="9">
        <v>152</v>
      </c>
    </row>
    <row r="94" spans="1:21" x14ac:dyDescent="0.25">
      <c r="A94" s="9">
        <f t="shared" si="9"/>
        <v>93</v>
      </c>
      <c r="B94" s="9">
        <f t="array" ref="B94">IF(C94="",0,IF(OR(C94=Country_Comparison!$S$10:$S$29),1,0))</f>
        <v>0</v>
      </c>
      <c r="C94" s="9" t="str">
        <f t="shared" si="20"/>
        <v>Cyprus</v>
      </c>
      <c r="D94" s="6">
        <f t="shared" si="18"/>
        <v>146</v>
      </c>
      <c r="E94" s="6">
        <f>IF(COUNTIF(I94:XFD94,"&gt;"&amp;0)=0,,HLOOKUP(COUNTIF(I94:XFD94,"&gt;"&amp;0)-1,I$1:XFD94,A94+1,FALSE))</f>
        <v>146</v>
      </c>
      <c r="F94" s="7">
        <f>IF(COUNTIF(I94:XFD94,"&gt;"&amp;0)=0,,HLOOKUP(COUNTIF(I94:XFD94,"&gt;"&amp;0)-MIN($F$1+1,COUNTIF(I94:XFD94,"&gt;"&amp;0)),I$1:XFD94,A94+1,FALSE))</f>
        <v>116</v>
      </c>
      <c r="G94" s="8">
        <f t="shared" si="19"/>
        <v>1.0796880356547367</v>
      </c>
      <c r="H94" s="13" t="s">
        <v>231</v>
      </c>
      <c r="I94" s="9">
        <v>116</v>
      </c>
      <c r="J94" s="9">
        <v>124</v>
      </c>
      <c r="K94" s="9">
        <v>132</v>
      </c>
      <c r="L94" s="9">
        <v>146</v>
      </c>
    </row>
    <row r="95" spans="1:21" x14ac:dyDescent="0.25">
      <c r="A95" s="9">
        <f t="shared" si="9"/>
        <v>94</v>
      </c>
      <c r="B95" s="9">
        <f t="array" ref="B95">IF(C95="",0,IF(OR(C95=Country_Comparison!$S$10:$S$29),1,0))</f>
        <v>0</v>
      </c>
      <c r="C95" s="9" t="str">
        <f t="shared" si="20"/>
        <v>Malta</v>
      </c>
      <c r="D95" s="6">
        <f t="shared" si="18"/>
        <v>134</v>
      </c>
      <c r="E95" s="6">
        <f>IF(COUNTIF(I95:XFD95,"&gt;"&amp;0)=0,,HLOOKUP(COUNTIF(I95:XFD95,"&gt;"&amp;0)-1,I$1:XFD95,A95+1,FALSE))</f>
        <v>134</v>
      </c>
      <c r="F95" s="7">
        <f>IF(COUNTIF(I95:XFD95,"&gt;"&amp;0)=0,,HLOOKUP(COUNTIF(I95:XFD95,"&gt;"&amp;0)-MIN($F$1+1,COUNTIF(I95:XFD95,"&gt;"&amp;0)),I$1:XFD95,A95+1,FALSE))</f>
        <v>107</v>
      </c>
      <c r="G95" s="8">
        <f t="shared" si="19"/>
        <v>1.0778880907341004</v>
      </c>
      <c r="H95" s="13" t="s">
        <v>177</v>
      </c>
      <c r="I95" s="9">
        <v>107</v>
      </c>
      <c r="J95" s="9">
        <v>110</v>
      </c>
      <c r="K95" s="9">
        <v>129</v>
      </c>
      <c r="L95" s="9">
        <v>134</v>
      </c>
    </row>
    <row r="96" spans="1:21" x14ac:dyDescent="0.25">
      <c r="A96" s="9">
        <f t="shared" si="9"/>
        <v>95</v>
      </c>
      <c r="B96" s="9">
        <f t="array" ref="B96">IF(C96="",0,IF(OR(C96=Country_Comparison!$S$10:$S$29),1,0))</f>
        <v>0</v>
      </c>
      <c r="C96" s="9" t="str">
        <f t="shared" si="20"/>
        <v>Azerbaijan</v>
      </c>
      <c r="D96" s="6">
        <f t="shared" si="18"/>
        <v>122</v>
      </c>
      <c r="E96" s="6">
        <f>IF(COUNTIF(I96:XFD96,"&gt;"&amp;0)=0,,HLOOKUP(COUNTIF(I96:XFD96,"&gt;"&amp;0)-1,I$1:XFD96,A96+1,FALSE))</f>
        <v>122</v>
      </c>
      <c r="F96" s="7">
        <f>IF(COUNTIF(I96:XFD96,"&gt;"&amp;0)=0,,HLOOKUP(COUNTIF(I96:XFD96,"&gt;"&amp;0)-MIN($F$1+1,COUNTIF(I96:XFD96,"&gt;"&amp;0)),I$1:XFD96,A96+1,FALSE))</f>
        <v>122</v>
      </c>
      <c r="G96" s="8" t="e">
        <f t="shared" si="19"/>
        <v>#DIV/0!</v>
      </c>
      <c r="H96" s="13" t="s">
        <v>104</v>
      </c>
      <c r="I96" s="9">
        <v>122</v>
      </c>
    </row>
    <row r="97" spans="1:11" x14ac:dyDescent="0.25">
      <c r="A97" s="9">
        <f t="shared" si="9"/>
        <v>96</v>
      </c>
      <c r="B97" s="9">
        <f t="array" ref="B97">IF(C97="",0,IF(OR(C97=Country_Comparison!$S$10:$S$29),1,0))</f>
        <v>0</v>
      </c>
      <c r="C97" s="9" t="str">
        <f t="shared" si="20"/>
        <v>Brunei</v>
      </c>
      <c r="D97" s="6">
        <f t="shared" si="18"/>
        <v>114</v>
      </c>
      <c r="E97" s="6">
        <f>IF(COUNTIF(I97:XFD97,"&gt;"&amp;0)=0,,HLOOKUP(COUNTIF(I97:XFD97,"&gt;"&amp;0)-1,I$1:XFD97,A97+1,FALSE))</f>
        <v>114</v>
      </c>
      <c r="F97" s="7">
        <f>IF(COUNTIF(I97:XFD97,"&gt;"&amp;0)=0,,HLOOKUP(COUNTIF(I97:XFD97,"&gt;"&amp;0)-MIN($F$1+1,COUNTIF(I97:XFD97,"&gt;"&amp;0)),I$1:XFD97,A97+1,FALSE))</f>
        <v>104</v>
      </c>
      <c r="G97" s="8">
        <f t="shared" si="19"/>
        <v>1.0469736606781692</v>
      </c>
      <c r="H97" s="13" t="s">
        <v>233</v>
      </c>
      <c r="I97" s="9">
        <v>104</v>
      </c>
      <c r="J97" s="9">
        <v>109</v>
      </c>
      <c r="K97" s="9">
        <v>114</v>
      </c>
    </row>
    <row r="98" spans="1:11" x14ac:dyDescent="0.25">
      <c r="A98" s="9">
        <f t="shared" si="9"/>
        <v>97</v>
      </c>
      <c r="B98" s="9">
        <f t="array" ref="B98">IF(C98="",0,IF(OR(C98=Country_Comparison!$S$10:$S$29),1,0))</f>
        <v>0</v>
      </c>
      <c r="C98" s="9" t="str">
        <f t="shared" si="20"/>
        <v>Kazakhstan</v>
      </c>
      <c r="D98" s="6">
        <f t="shared" ref="D98:D129" si="21">MAX(I98:KU98)</f>
        <v>111</v>
      </c>
      <c r="E98" s="6">
        <f>IF(COUNTIF(I98:XFD98,"&gt;"&amp;0)=0,,HLOOKUP(COUNTIF(I98:XFD98,"&gt;"&amp;0)-1,I$1:XFD98,A98+1,FALSE))</f>
        <v>111</v>
      </c>
      <c r="F98" s="7">
        <f>IF(COUNTIF(I98:XFD98,"&gt;"&amp;0)=0,,HLOOKUP(COUNTIF(I98:XFD98,"&gt;"&amp;0)-MIN($F$1+1,COUNTIF(I98:XFD98,"&gt;"&amp;0)),I$1:XFD98,A98+1,FALSE))</f>
        <v>111</v>
      </c>
      <c r="G98" s="8" t="e">
        <f t="shared" ref="G98:G129" si="22">IF(COUNTIF(I98:XFD98,"&gt;"&amp;0)=0,,(E98/F98)^(1/MIN(COUNTIF(I98:XFD98,"&gt;"&amp;0)-1,$F$1)))</f>
        <v>#DIV/0!</v>
      </c>
      <c r="H98" s="13" t="s">
        <v>413</v>
      </c>
      <c r="I98" s="9">
        <v>111</v>
      </c>
    </row>
    <row r="99" spans="1:11" x14ac:dyDescent="0.25">
      <c r="A99" s="9">
        <f t="shared" si="9"/>
        <v>98</v>
      </c>
      <c r="B99" s="9">
        <f t="array" ref="B99">IF(C99="",0,IF(OR(C99=Country_Comparison!$S$10:$S$29),1,0))</f>
        <v>0</v>
      </c>
      <c r="C99" s="9" t="str">
        <f t="shared" si="20"/>
        <v>Oman</v>
      </c>
      <c r="D99" s="6">
        <f t="shared" si="21"/>
        <v>109</v>
      </c>
      <c r="E99" s="6">
        <f>IF(COUNTIF(I99:XFD99,"&gt;"&amp;0)=0,,HLOOKUP(COUNTIF(I99:XFD99,"&gt;"&amp;0)-1,I$1:XFD99,A99+1,FALSE))</f>
        <v>109</v>
      </c>
      <c r="F99" s="7">
        <f>IF(COUNTIF(I99:XFD99,"&gt;"&amp;0)=0,,HLOOKUP(COUNTIF(I99:XFD99,"&gt;"&amp;0)-MIN($F$1+1,COUNTIF(I99:XFD99,"&gt;"&amp;0)),I$1:XFD99,A99+1,FALSE))</f>
        <v>109</v>
      </c>
      <c r="G99" s="8" t="e">
        <f t="shared" si="22"/>
        <v>#DIV/0!</v>
      </c>
      <c r="H99" s="13" t="s">
        <v>71</v>
      </c>
      <c r="I99" s="9">
        <v>109</v>
      </c>
    </row>
    <row r="100" spans="1:11" x14ac:dyDescent="0.25">
      <c r="A100" s="9">
        <f t="shared" si="9"/>
        <v>99</v>
      </c>
      <c r="B100" s="9">
        <f t="array" ref="B100">IF(C100="",0,IF(OR(C100=Country_Comparison!$S$10:$S$29),1,0))</f>
        <v>0</v>
      </c>
      <c r="C100" s="9" t="str">
        <f t="shared" si="20"/>
        <v>Sri Lanka</v>
      </c>
      <c r="D100" s="6">
        <f t="shared" si="21"/>
        <v>106</v>
      </c>
      <c r="E100" s="6">
        <f>IF(COUNTIF(I100:XFD100,"&gt;"&amp;0)=0,,HLOOKUP(COUNTIF(I100:XFD100,"&gt;"&amp;0)-1,I$1:XFD100,A100+1,FALSE))</f>
        <v>106</v>
      </c>
      <c r="F100" s="7">
        <f>IF(COUNTIF(I100:XFD100,"&gt;"&amp;0)=0,,HLOOKUP(COUNTIF(I100:XFD100,"&gt;"&amp;0)-MIN($F$1+1,COUNTIF(I100:XFD100,"&gt;"&amp;0)),I$1:XFD100,A100+1,FALSE))</f>
        <v>102</v>
      </c>
      <c r="G100" s="8">
        <f t="shared" si="22"/>
        <v>1.0194192887494871</v>
      </c>
      <c r="H100" s="13" t="s">
        <v>52</v>
      </c>
      <c r="I100" s="9">
        <v>102</v>
      </c>
      <c r="J100" s="9">
        <v>102</v>
      </c>
      <c r="K100" s="9">
        <v>106</v>
      </c>
    </row>
    <row r="101" spans="1:11" x14ac:dyDescent="0.25">
      <c r="A101" s="9">
        <f t="shared" si="9"/>
        <v>100</v>
      </c>
      <c r="B101" s="9">
        <f t="array" ref="B101">IF(C101="",0,IF(OR(C101=Country_Comparison!$S$10:$S$29),1,0))</f>
        <v>0</v>
      </c>
      <c r="C101" s="9" t="str">
        <f t="shared" ref="C101:C132" si="23">IF(H101="","",H101)</f>
        <v>Senegal</v>
      </c>
      <c r="D101" s="6">
        <f t="shared" si="21"/>
        <v>105</v>
      </c>
      <c r="E101" s="6">
        <f>IF(COUNTIF(I101:XFD101,"&gt;"&amp;0)=0,,HLOOKUP(COUNTIF(I101:XFD101,"&gt;"&amp;0)-1,I$1:XFD101,A101+1,FALSE))</f>
        <v>105</v>
      </c>
      <c r="F101" s="7">
        <f>IF(COUNTIF(I101:XFD101,"&gt;"&amp;0)=0,,HLOOKUP(COUNTIF(I101:XFD101,"&gt;"&amp;0)-MIN($F$1+1,COUNTIF(I101:XFD101,"&gt;"&amp;0)),I$1:XFD101,A101+1,FALSE))</f>
        <v>105</v>
      </c>
      <c r="G101" s="8" t="e">
        <f t="shared" si="22"/>
        <v>#DIV/0!</v>
      </c>
      <c r="H101" s="13" t="s">
        <v>114</v>
      </c>
      <c r="I101" s="9">
        <v>105</v>
      </c>
    </row>
    <row r="102" spans="1:11" x14ac:dyDescent="0.25">
      <c r="A102" s="9">
        <f t="shared" si="9"/>
        <v>101</v>
      </c>
      <c r="B102" s="9">
        <f t="array" ref="B102">IF(C102="",0,IF(OR(C102=Country_Comparison!$S$10:$S$29),1,0))</f>
        <v>0</v>
      </c>
      <c r="C102" s="9" t="str">
        <f t="shared" si="23"/>
        <v/>
      </c>
      <c r="D102" s="6">
        <f t="shared" si="2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2"/>
        <v>0</v>
      </c>
    </row>
    <row r="103" spans="1:11" x14ac:dyDescent="0.25">
      <c r="A103" s="9">
        <f t="shared" si="9"/>
        <v>102</v>
      </c>
      <c r="B103" s="9">
        <f t="array" ref="B103">IF(C103="",0,IF(OR(C103=Country_Comparison!$S$10:$S$29),1,0))</f>
        <v>0</v>
      </c>
      <c r="C103" s="9" t="str">
        <f t="shared" si="23"/>
        <v/>
      </c>
      <c r="D103" s="6">
        <f t="shared" si="2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2"/>
        <v>0</v>
      </c>
    </row>
    <row r="104" spans="1:11" x14ac:dyDescent="0.25">
      <c r="A104" s="9">
        <f t="shared" si="9"/>
        <v>103</v>
      </c>
      <c r="B104" s="9">
        <f t="array" ref="B104">IF(C104="",0,IF(OR(C104=Country_Comparison!$S$10:$S$29),1,0))</f>
        <v>0</v>
      </c>
      <c r="C104" s="9" t="str">
        <f t="shared" si="23"/>
        <v/>
      </c>
      <c r="D104" s="6">
        <f t="shared" si="2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2"/>
        <v>0</v>
      </c>
    </row>
    <row r="105" spans="1:11" x14ac:dyDescent="0.25">
      <c r="A105" s="9">
        <f t="shared" si="9"/>
        <v>104</v>
      </c>
      <c r="B105" s="9">
        <f t="array" ref="B105">IF(C105="",0,IF(OR(C105=Country_Comparison!$S$10:$S$29),1,0))</f>
        <v>0</v>
      </c>
      <c r="C105" s="9" t="str">
        <f t="shared" si="23"/>
        <v/>
      </c>
      <c r="D105" s="6">
        <f t="shared" si="2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2"/>
        <v>0</v>
      </c>
    </row>
    <row r="106" spans="1:11" x14ac:dyDescent="0.25">
      <c r="A106" s="9">
        <f t="shared" si="9"/>
        <v>105</v>
      </c>
      <c r="B106" s="9">
        <f t="array" ref="B106">IF(C106="",0,IF(OR(C106=Country_Comparison!$S$10:$S$29),1,0))</f>
        <v>0</v>
      </c>
      <c r="C106" s="9" t="str">
        <f t="shared" si="23"/>
        <v/>
      </c>
      <c r="D106" s="6">
        <f t="shared" si="2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2"/>
        <v>0</v>
      </c>
    </row>
    <row r="107" spans="1:11" x14ac:dyDescent="0.25">
      <c r="A107" s="9">
        <f t="shared" si="9"/>
        <v>106</v>
      </c>
      <c r="B107" s="9">
        <f t="array" ref="B107">IF(C107="",0,IF(OR(C107=Country_Comparison!$S$10:$S$29),1,0))</f>
        <v>0</v>
      </c>
      <c r="C107" s="9" t="str">
        <f t="shared" si="23"/>
        <v/>
      </c>
      <c r="D107" s="6">
        <f t="shared" si="2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2"/>
        <v>0</v>
      </c>
    </row>
    <row r="108" spans="1:11" x14ac:dyDescent="0.25">
      <c r="A108" s="9">
        <f t="shared" si="9"/>
        <v>107</v>
      </c>
      <c r="B108" s="9">
        <f t="array" ref="B108">IF(C108="",0,IF(OR(C108=Country_Comparison!$S$10:$S$29),1,0))</f>
        <v>0</v>
      </c>
      <c r="C108" s="9" t="str">
        <f t="shared" si="23"/>
        <v/>
      </c>
      <c r="D108" s="6">
        <f t="shared" si="2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2"/>
        <v>0</v>
      </c>
    </row>
    <row r="109" spans="1:11" x14ac:dyDescent="0.25">
      <c r="A109" s="9">
        <f t="shared" si="9"/>
        <v>108</v>
      </c>
      <c r="B109" s="9">
        <f t="array" ref="B109">IF(C109="",0,IF(OR(C109=Country_Comparison!$S$10:$S$29),1,0))</f>
        <v>0</v>
      </c>
      <c r="C109" s="9" t="str">
        <f t="shared" si="23"/>
        <v/>
      </c>
      <c r="D109" s="6">
        <f t="shared" si="2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2"/>
        <v>0</v>
      </c>
    </row>
    <row r="110" spans="1:11" x14ac:dyDescent="0.25">
      <c r="A110" s="9">
        <f t="shared" si="9"/>
        <v>109</v>
      </c>
      <c r="B110" s="9">
        <f t="array" ref="B110">IF(C110="",0,IF(OR(C110=Country_Comparison!$S$10:$S$29),1,0))</f>
        <v>0</v>
      </c>
      <c r="C110" s="9" t="str">
        <f t="shared" si="23"/>
        <v/>
      </c>
      <c r="D110" s="6">
        <f t="shared" si="2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2"/>
        <v>0</v>
      </c>
    </row>
    <row r="111" spans="1:11" x14ac:dyDescent="0.25">
      <c r="A111" s="9">
        <f t="shared" si="9"/>
        <v>110</v>
      </c>
      <c r="B111" s="9">
        <f t="array" ref="B111">IF(C111="",0,IF(OR(C111=Country_Comparison!$S$10:$S$29),1,0))</f>
        <v>0</v>
      </c>
      <c r="C111" s="9" t="str">
        <f t="shared" si="23"/>
        <v/>
      </c>
      <c r="D111" s="6">
        <f t="shared" si="2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2"/>
        <v>0</v>
      </c>
    </row>
    <row r="112" spans="1:11" x14ac:dyDescent="0.25">
      <c r="A112" s="9">
        <f t="shared" si="9"/>
        <v>111</v>
      </c>
      <c r="B112" s="9">
        <f t="array" ref="B112">IF(C112="",0,IF(OR(C112=Country_Comparison!$S$10:$S$29),1,0))</f>
        <v>0</v>
      </c>
      <c r="C112" s="9" t="str">
        <f t="shared" si="23"/>
        <v/>
      </c>
      <c r="D112" s="6">
        <f t="shared" si="2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IF(C113="",0,IF(OR(C113=Country_Comparison!$S$10:$S$29),1,0))</f>
        <v>0</v>
      </c>
      <c r="C113" s="9" t="str">
        <f t="shared" si="23"/>
        <v/>
      </c>
      <c r="D113" s="6">
        <f t="shared" si="2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IF(C114="",0,IF(OR(C114=Country_Comparison!$S$10:$S$29),1,0))</f>
        <v>0</v>
      </c>
      <c r="C114" s="9" t="str">
        <f t="shared" si="23"/>
        <v/>
      </c>
      <c r="D114" s="6">
        <f t="shared" si="2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IF(C115="",0,IF(OR(C115=Country_Comparison!$S$10:$S$29),1,0))</f>
        <v>0</v>
      </c>
      <c r="C115" s="9" t="str">
        <f t="shared" si="23"/>
        <v/>
      </c>
      <c r="D115" s="6">
        <f t="shared" si="2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IF(C116="",0,IF(OR(C116=Country_Comparison!$S$10:$S$29),1,0))</f>
        <v>0</v>
      </c>
      <c r="C116" s="9" t="str">
        <f t="shared" si="23"/>
        <v/>
      </c>
      <c r="D116" s="6">
        <f t="shared" si="2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IF(C117="",0,IF(OR(C117=Country_Comparison!$S$10:$S$29),1,0))</f>
        <v>0</v>
      </c>
      <c r="C117" s="9" t="str">
        <f t="shared" si="23"/>
        <v/>
      </c>
      <c r="D117" s="6">
        <f t="shared" si="2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IF(C118="",0,IF(OR(C118=Country_Comparison!$S$10:$S$29),1,0))</f>
        <v>0</v>
      </c>
      <c r="C118" s="9" t="str">
        <f t="shared" si="23"/>
        <v/>
      </c>
      <c r="D118" s="6">
        <f t="shared" si="2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IF(C119="",0,IF(OR(C119=Country_Comparison!$S$10:$S$29),1,0))</f>
        <v>0</v>
      </c>
      <c r="C119" s="9" t="str">
        <f t="shared" si="23"/>
        <v/>
      </c>
      <c r="D119" s="6">
        <f t="shared" si="2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IF(C120="",0,IF(OR(C120=Country_Comparison!$S$10:$S$29),1,0))</f>
        <v>0</v>
      </c>
      <c r="C120" s="9" t="str">
        <f t="shared" si="23"/>
        <v/>
      </c>
      <c r="D120" s="6">
        <f t="shared" si="2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IF(C121="",0,IF(OR(C121=Country_Comparison!$S$10:$S$29),1,0))</f>
        <v>0</v>
      </c>
      <c r="C121" s="9" t="str">
        <f t="shared" si="23"/>
        <v/>
      </c>
      <c r="D121" s="6">
        <f t="shared" si="2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IF(C122="",0,IF(OR(C122=Country_Comparison!$S$10:$S$29),1,0))</f>
        <v>0</v>
      </c>
      <c r="C122" s="9" t="str">
        <f t="shared" si="23"/>
        <v/>
      </c>
      <c r="D122" s="6">
        <f t="shared" si="2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IF(C123="",0,IF(OR(C123=Country_Comparison!$S$10:$S$29),1,0))</f>
        <v>0</v>
      </c>
      <c r="C123" s="9" t="str">
        <f t="shared" si="23"/>
        <v/>
      </c>
      <c r="D123" s="6">
        <f t="shared" si="2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IF(C124="",0,IF(OR(C124=Country_Comparison!$S$10:$S$29),1,0))</f>
        <v>0</v>
      </c>
      <c r="C124" s="9" t="str">
        <f t="shared" si="23"/>
        <v/>
      </c>
      <c r="D124" s="6">
        <f t="shared" si="2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IF(C125="",0,IF(OR(C125=Country_Comparison!$S$10:$S$29),1,0))</f>
        <v>0</v>
      </c>
      <c r="C125" s="9" t="str">
        <f t="shared" si="23"/>
        <v/>
      </c>
      <c r="D125" s="6">
        <f t="shared" si="2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IF(C126="",0,IF(OR(C126=Country_Comparison!$S$10:$S$29),1,0))</f>
        <v>0</v>
      </c>
      <c r="C126" s="9" t="str">
        <f t="shared" si="23"/>
        <v/>
      </c>
      <c r="D126" s="6">
        <f t="shared" si="2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IF(C127="",0,IF(OR(C127=Country_Comparison!$S$10:$S$29),1,0))</f>
        <v>0</v>
      </c>
      <c r="C127" s="9" t="str">
        <f t="shared" si="23"/>
        <v/>
      </c>
      <c r="D127" s="6">
        <f t="shared" si="2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IF(C128="",0,IF(OR(C128=Country_Comparison!$S$10:$S$29),1,0))</f>
        <v>0</v>
      </c>
      <c r="C128" s="9" t="str">
        <f t="shared" si="23"/>
        <v/>
      </c>
      <c r="D128" s="6">
        <f t="shared" si="2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IF(C129="",0,IF(OR(C129=Country_Comparison!$S$10:$S$29),1,0))</f>
        <v>0</v>
      </c>
      <c r="C129" s="9" t="str">
        <f t="shared" si="23"/>
        <v/>
      </c>
      <c r="D129" s="6">
        <f t="shared" si="2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IF(C130="",0,IF(OR(C130=Country_Comparison!$S$10:$S$29),1,0))</f>
        <v>0</v>
      </c>
      <c r="C130" s="9" t="str">
        <f t="shared" si="23"/>
        <v/>
      </c>
      <c r="D130" s="6">
        <f t="shared" ref="D130:D161" si="24">MAX(I130:KU130)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5">IF(COUNTIF(I130:XFD130,"&gt;"&amp;0)=0,,(E130/F130)^(1/MIN(COUNTIF(I130:XFD130,"&gt;"&amp;0)-1,$F$1)))</f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IF(C131="",0,IF(OR(C131=Country_Comparison!$S$10:$S$29),1,0))</f>
        <v>0</v>
      </c>
      <c r="C131" s="9" t="str">
        <f t="shared" si="23"/>
        <v/>
      </c>
      <c r="D131" s="6">
        <f t="shared" si="24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5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IF(C132="",0,IF(OR(C132=Country_Comparison!$S$10:$S$29),1,0))</f>
        <v>0</v>
      </c>
      <c r="C132" s="9" t="str">
        <f t="shared" si="23"/>
        <v/>
      </c>
      <c r="D132" s="6">
        <f t="shared" si="24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5"/>
        <v>0</v>
      </c>
    </row>
    <row r="133" spans="1:7" x14ac:dyDescent="0.25">
      <c r="A133" s="9">
        <f t="shared" si="9"/>
        <v>132</v>
      </c>
      <c r="B133" s="9">
        <f t="array" ref="B133">IF(C133="",0,IF(OR(C133=Country_Comparison!$S$10:$S$29),1,0))</f>
        <v>0</v>
      </c>
      <c r="C133" s="9" t="str">
        <f t="shared" ref="C133:C164" si="26">IF(H133="","",H133)</f>
        <v/>
      </c>
      <c r="D133" s="6">
        <f t="shared" si="24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5"/>
        <v>0</v>
      </c>
    </row>
    <row r="134" spans="1:7" x14ac:dyDescent="0.25">
      <c r="A134" s="9">
        <f t="shared" si="9"/>
        <v>133</v>
      </c>
      <c r="B134" s="9">
        <f t="array" ref="B134">IF(C134="",0,IF(OR(C134=Country_Comparison!$S$10:$S$29),1,0))</f>
        <v>0</v>
      </c>
      <c r="C134" s="9" t="str">
        <f t="shared" si="26"/>
        <v/>
      </c>
      <c r="D134" s="6">
        <f t="shared" si="24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5"/>
        <v>0</v>
      </c>
    </row>
    <row r="135" spans="1:7" x14ac:dyDescent="0.25">
      <c r="A135" s="9">
        <f t="shared" si="9"/>
        <v>134</v>
      </c>
      <c r="B135" s="9">
        <f t="array" ref="B135">IF(C135="",0,IF(OR(C135=Country_Comparison!$S$10:$S$29),1,0))</f>
        <v>0</v>
      </c>
      <c r="C135" s="9" t="str">
        <f t="shared" si="26"/>
        <v/>
      </c>
      <c r="D135" s="6">
        <f t="shared" si="24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5"/>
        <v>0</v>
      </c>
    </row>
    <row r="136" spans="1:7" x14ac:dyDescent="0.25">
      <c r="A136" s="9">
        <f t="shared" si="9"/>
        <v>135</v>
      </c>
      <c r="B136" s="9">
        <f t="array" ref="B136">IF(C136="",0,IF(OR(C136=Country_Comparison!$S$10:$S$29),1,0))</f>
        <v>0</v>
      </c>
      <c r="C136" s="9" t="str">
        <f t="shared" si="26"/>
        <v/>
      </c>
      <c r="D136" s="6">
        <f t="shared" si="24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5"/>
        <v>0</v>
      </c>
    </row>
    <row r="137" spans="1:7" x14ac:dyDescent="0.25">
      <c r="A137" s="9">
        <f t="shared" si="9"/>
        <v>136</v>
      </c>
      <c r="B137" s="9">
        <f t="array" ref="B137">IF(C137="",0,IF(OR(C137=Country_Comparison!$S$10:$S$29),1,0))</f>
        <v>0</v>
      </c>
      <c r="C137" s="9" t="str">
        <f t="shared" si="26"/>
        <v/>
      </c>
      <c r="D137" s="6">
        <f t="shared" si="24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5"/>
        <v>0</v>
      </c>
    </row>
    <row r="138" spans="1:7" x14ac:dyDescent="0.25">
      <c r="A138" s="9">
        <f t="shared" si="9"/>
        <v>137</v>
      </c>
      <c r="B138" s="9">
        <f t="array" ref="B138">IF(C138="",0,IF(OR(C138=Country_Comparison!$S$10:$S$29),1,0))</f>
        <v>0</v>
      </c>
      <c r="C138" s="9" t="str">
        <f t="shared" si="26"/>
        <v/>
      </c>
      <c r="D138" s="6">
        <f t="shared" si="24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5"/>
        <v>0</v>
      </c>
    </row>
    <row r="139" spans="1:7" x14ac:dyDescent="0.25">
      <c r="A139" s="9">
        <f t="shared" si="9"/>
        <v>138</v>
      </c>
      <c r="B139" s="9">
        <f t="array" ref="B139">IF(C139="",0,IF(OR(C139=Country_Comparison!$S$10:$S$29),1,0))</f>
        <v>0</v>
      </c>
      <c r="C139" s="9" t="str">
        <f t="shared" si="26"/>
        <v/>
      </c>
      <c r="D139" s="6">
        <f t="shared" si="24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5"/>
        <v>0</v>
      </c>
    </row>
    <row r="140" spans="1:7" x14ac:dyDescent="0.25">
      <c r="A140" s="9">
        <f t="shared" si="9"/>
        <v>139</v>
      </c>
      <c r="B140" s="9">
        <f t="array" ref="B140">IF(C140="",0,IF(OR(C140=Country_Comparison!$S$10:$S$29),1,0))</f>
        <v>0</v>
      </c>
      <c r="C140" s="9" t="str">
        <f t="shared" si="26"/>
        <v/>
      </c>
      <c r="D140" s="6">
        <f t="shared" si="24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5"/>
        <v>0</v>
      </c>
    </row>
    <row r="141" spans="1:7" x14ac:dyDescent="0.25">
      <c r="A141" s="9">
        <f t="shared" si="9"/>
        <v>140</v>
      </c>
      <c r="B141" s="9">
        <f t="array" ref="B141">IF(C141="",0,IF(OR(C141=Country_Comparison!$S$10:$S$29),1,0))</f>
        <v>0</v>
      </c>
      <c r="C141" s="9" t="str">
        <f t="shared" si="26"/>
        <v/>
      </c>
      <c r="D141" s="6">
        <f t="shared" si="24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5"/>
        <v>0</v>
      </c>
    </row>
    <row r="142" spans="1:7" x14ac:dyDescent="0.25">
      <c r="A142" s="9">
        <f t="shared" si="9"/>
        <v>141</v>
      </c>
      <c r="B142" s="9">
        <f t="array" ref="B142">IF(C142="",0,IF(OR(C142=Country_Comparison!$S$10:$S$29),1,0))</f>
        <v>0</v>
      </c>
      <c r="C142" s="9" t="str">
        <f t="shared" si="26"/>
        <v/>
      </c>
      <c r="D142" s="6">
        <f t="shared" si="24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5"/>
        <v>0</v>
      </c>
    </row>
    <row r="143" spans="1:7" x14ac:dyDescent="0.25">
      <c r="A143" s="9">
        <f t="shared" si="9"/>
        <v>142</v>
      </c>
      <c r="B143" s="9">
        <f t="array" ref="B143">IF(C143="",0,IF(OR(C143=Country_Comparison!$S$10:$S$29),1,0))</f>
        <v>0</v>
      </c>
      <c r="C143" s="9" t="str">
        <f t="shared" si="26"/>
        <v/>
      </c>
      <c r="D143" s="6">
        <f t="shared" si="24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5"/>
        <v>0</v>
      </c>
    </row>
    <row r="144" spans="1:7" x14ac:dyDescent="0.25">
      <c r="A144" s="9">
        <f t="shared" si="9"/>
        <v>143</v>
      </c>
      <c r="B144" s="9">
        <f t="array" ref="B144">IF(C144="",0,IF(OR(C144=Country_Comparison!$S$10:$S$29),1,0))</f>
        <v>0</v>
      </c>
      <c r="C144" s="9" t="str">
        <f t="shared" si="26"/>
        <v/>
      </c>
      <c r="D144" s="6">
        <f t="shared" si="24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5"/>
        <v>0</v>
      </c>
    </row>
    <row r="145" spans="1:7" x14ac:dyDescent="0.25">
      <c r="A145" s="9">
        <f t="shared" si="9"/>
        <v>144</v>
      </c>
      <c r="B145" s="9">
        <f t="array" ref="B145">IF(C145="",0,IF(OR(C145=Country_Comparison!$S$10:$S$29),1,0))</f>
        <v>0</v>
      </c>
      <c r="C145" s="9" t="str">
        <f t="shared" si="26"/>
        <v/>
      </c>
      <c r="D145" s="6">
        <f t="shared" si="24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5"/>
        <v>0</v>
      </c>
    </row>
    <row r="146" spans="1:7" x14ac:dyDescent="0.25">
      <c r="A146" s="9">
        <f t="shared" si="9"/>
        <v>145</v>
      </c>
      <c r="B146" s="9">
        <f t="array" ref="B146">IF(C146="",0,IF(OR(C146=Country_Comparison!$S$10:$S$29),1,0))</f>
        <v>0</v>
      </c>
      <c r="C146" s="9" t="str">
        <f t="shared" si="26"/>
        <v/>
      </c>
      <c r="D146" s="6">
        <f t="shared" si="24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5"/>
        <v>0</v>
      </c>
    </row>
    <row r="147" spans="1:7" x14ac:dyDescent="0.25">
      <c r="A147" s="9">
        <f t="shared" si="9"/>
        <v>146</v>
      </c>
      <c r="B147" s="9">
        <f t="array" ref="B147">IF(C147="",0,IF(OR(C147=Country_Comparison!$S$10:$S$29),1,0))</f>
        <v>0</v>
      </c>
      <c r="C147" s="9" t="str">
        <f t="shared" si="26"/>
        <v/>
      </c>
      <c r="D147" s="6">
        <f t="shared" si="24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5"/>
        <v>0</v>
      </c>
    </row>
    <row r="148" spans="1:7" x14ac:dyDescent="0.25">
      <c r="A148" s="9">
        <f t="shared" si="9"/>
        <v>147</v>
      </c>
      <c r="B148" s="9">
        <f t="array" ref="B148">IF(C148="",0,IF(OR(C148=Country_Comparison!$S$10:$S$29),1,0))</f>
        <v>0</v>
      </c>
      <c r="C148" s="9" t="str">
        <f t="shared" si="26"/>
        <v/>
      </c>
      <c r="D148" s="6">
        <f t="shared" si="24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5"/>
        <v>0</v>
      </c>
    </row>
    <row r="149" spans="1:7" x14ac:dyDescent="0.25">
      <c r="A149" s="9">
        <f t="shared" si="9"/>
        <v>148</v>
      </c>
      <c r="B149" s="9">
        <f t="array" ref="B149">IF(C149="",0,IF(OR(C149=Country_Comparison!$S$10:$S$29),1,0))</f>
        <v>0</v>
      </c>
      <c r="C149" s="9" t="str">
        <f t="shared" si="26"/>
        <v/>
      </c>
      <c r="D149" s="6">
        <f t="shared" si="24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5"/>
        <v>0</v>
      </c>
    </row>
    <row r="150" spans="1:7" x14ac:dyDescent="0.25">
      <c r="A150" s="9">
        <f t="shared" si="9"/>
        <v>149</v>
      </c>
      <c r="B150" s="9">
        <f t="array" ref="B150">IF(C150="",0,IF(OR(C150=Country_Comparison!$S$10:$S$29),1,0))</f>
        <v>0</v>
      </c>
      <c r="C150" s="9" t="str">
        <f t="shared" si="26"/>
        <v/>
      </c>
      <c r="D150" s="6">
        <f t="shared" si="24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5"/>
        <v>0</v>
      </c>
    </row>
    <row r="151" spans="1:7" x14ac:dyDescent="0.25">
      <c r="A151" s="9">
        <f t="shared" si="9"/>
        <v>150</v>
      </c>
      <c r="B151" s="9">
        <f t="array" ref="B151">IF(C151="",0,IF(OR(C151=Country_Comparison!$S$10:$S$29),1,0))</f>
        <v>0</v>
      </c>
      <c r="C151" s="9" t="str">
        <f t="shared" si="26"/>
        <v/>
      </c>
      <c r="D151" s="6">
        <f t="shared" si="24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5"/>
        <v>0</v>
      </c>
    </row>
    <row r="152" spans="1:7" x14ac:dyDescent="0.25">
      <c r="A152" s="9">
        <f t="shared" si="9"/>
        <v>151</v>
      </c>
      <c r="B152" s="9">
        <f t="array" ref="B152">IF(C152="",0,IF(OR(C152=Country_Comparison!$S$10:$S$29),1,0))</f>
        <v>0</v>
      </c>
      <c r="C152" s="9" t="str">
        <f t="shared" si="26"/>
        <v/>
      </c>
      <c r="D152" s="6">
        <f t="shared" si="24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5"/>
        <v>0</v>
      </c>
    </row>
    <row r="153" spans="1:7" x14ac:dyDescent="0.25">
      <c r="A153" s="9">
        <f t="shared" si="9"/>
        <v>152</v>
      </c>
      <c r="B153" s="9">
        <f t="array" ref="B153">IF(C153="",0,IF(OR(C153=Country_Comparison!$S$10:$S$29),1,0))</f>
        <v>0</v>
      </c>
      <c r="C153" s="9" t="str">
        <f t="shared" si="26"/>
        <v/>
      </c>
      <c r="D153" s="6">
        <f t="shared" si="24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5"/>
        <v>0</v>
      </c>
    </row>
    <row r="154" spans="1:7" x14ac:dyDescent="0.25">
      <c r="A154" s="9">
        <f t="shared" si="9"/>
        <v>153</v>
      </c>
      <c r="B154" s="9">
        <f t="array" ref="B154">IF(C154="",0,IF(OR(C154=Country_Comparison!$S$10:$S$29),1,0))</f>
        <v>0</v>
      </c>
      <c r="C154" s="9" t="str">
        <f t="shared" si="26"/>
        <v/>
      </c>
      <c r="D154" s="6">
        <f t="shared" si="24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5"/>
        <v>0</v>
      </c>
    </row>
    <row r="155" spans="1:7" x14ac:dyDescent="0.25">
      <c r="A155" s="9">
        <f t="shared" si="9"/>
        <v>154</v>
      </c>
      <c r="B155" s="9">
        <f t="array" ref="B155">IF(C155="",0,IF(OR(C155=Country_Comparison!$S$10:$S$29),1,0))</f>
        <v>0</v>
      </c>
      <c r="C155" s="9" t="str">
        <f t="shared" si="26"/>
        <v/>
      </c>
      <c r="D155" s="6">
        <f t="shared" si="24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5"/>
        <v>0</v>
      </c>
    </row>
    <row r="156" spans="1:7" x14ac:dyDescent="0.25">
      <c r="A156" s="9">
        <f t="shared" si="9"/>
        <v>155</v>
      </c>
      <c r="B156" s="9">
        <f t="array" ref="B156">IF(C156="",0,IF(OR(C156=Country_Comparison!$S$10:$S$29),1,0))</f>
        <v>0</v>
      </c>
      <c r="C156" s="9" t="str">
        <f t="shared" si="26"/>
        <v/>
      </c>
      <c r="D156" s="6">
        <f t="shared" si="24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5"/>
        <v>0</v>
      </c>
    </row>
    <row r="157" spans="1:7" x14ac:dyDescent="0.25">
      <c r="A157" s="9">
        <f t="shared" si="9"/>
        <v>156</v>
      </c>
      <c r="B157" s="9">
        <f t="array" ref="B157">IF(C157="",0,IF(OR(C157=Country_Comparison!$S$10:$S$29),1,0))</f>
        <v>0</v>
      </c>
      <c r="C157" s="9" t="str">
        <f t="shared" si="26"/>
        <v/>
      </c>
      <c r="D157" s="6">
        <f t="shared" si="24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5"/>
        <v>0</v>
      </c>
    </row>
    <row r="158" spans="1:7" x14ac:dyDescent="0.25">
      <c r="A158" s="9">
        <f t="shared" si="9"/>
        <v>157</v>
      </c>
      <c r="B158" s="9">
        <f t="array" ref="B158">IF(C158="",0,IF(OR(C158=Country_Comparison!$S$10:$S$29),1,0))</f>
        <v>0</v>
      </c>
      <c r="C158" s="9" t="str">
        <f t="shared" si="26"/>
        <v/>
      </c>
      <c r="D158" s="6">
        <f t="shared" si="24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5"/>
        <v>0</v>
      </c>
    </row>
    <row r="159" spans="1:7" x14ac:dyDescent="0.25">
      <c r="A159" s="9">
        <f t="shared" si="9"/>
        <v>158</v>
      </c>
      <c r="B159" s="9">
        <f t="array" ref="B159">IF(C159="",0,IF(OR(C159=Country_Comparison!$S$10:$S$29),1,0))</f>
        <v>0</v>
      </c>
      <c r="C159" s="9" t="str">
        <f t="shared" si="26"/>
        <v/>
      </c>
      <c r="D159" s="6">
        <f t="shared" si="24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5"/>
        <v>0</v>
      </c>
    </row>
    <row r="160" spans="1:7" x14ac:dyDescent="0.25">
      <c r="A160" s="9">
        <f t="shared" si="9"/>
        <v>159</v>
      </c>
      <c r="B160" s="9">
        <f t="array" ref="B160">IF(C160="",0,IF(OR(C160=Country_Comparison!$S$10:$S$29),1,0))</f>
        <v>0</v>
      </c>
      <c r="C160" s="9" t="str">
        <f t="shared" si="26"/>
        <v/>
      </c>
      <c r="D160" s="6">
        <f t="shared" si="24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5"/>
        <v>0</v>
      </c>
    </row>
    <row r="161" spans="1:7" x14ac:dyDescent="0.25">
      <c r="A161" s="9">
        <f t="shared" si="9"/>
        <v>160</v>
      </c>
      <c r="B161" s="9">
        <f t="array" ref="B161">IF(C161="",0,IF(OR(C161=Country_Comparison!$S$10:$S$29),1,0))</f>
        <v>0</v>
      </c>
      <c r="C161" s="9" t="str">
        <f t="shared" si="26"/>
        <v/>
      </c>
      <c r="D161" s="6">
        <f t="shared" si="24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5"/>
        <v>0</v>
      </c>
    </row>
    <row r="162" spans="1:7" x14ac:dyDescent="0.25">
      <c r="A162" s="9">
        <f t="shared" si="9"/>
        <v>161</v>
      </c>
      <c r="B162" s="9">
        <f t="array" ref="B162">IF(C162="",0,IF(OR(C162=Country_Comparison!$S$10:$S$29),1,0))</f>
        <v>0</v>
      </c>
      <c r="C162" s="9" t="str">
        <f t="shared" si="26"/>
        <v/>
      </c>
      <c r="D162" s="6">
        <f t="shared" ref="D162:D193" si="27">MAX(I162:KU162)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28">IF(COUNTIF(I162:XFD162,"&gt;"&amp;0)=0,,(E162/F162)^(1/MIN(COUNTIF(I162:XFD162,"&gt;"&amp;0)-1,$F$1)))</f>
        <v>0</v>
      </c>
    </row>
    <row r="163" spans="1:7" x14ac:dyDescent="0.25">
      <c r="A163" s="9">
        <f t="shared" si="9"/>
        <v>162</v>
      </c>
      <c r="B163" s="9">
        <f t="array" ref="B163">IF(C163="",0,IF(OR(C163=Country_Comparison!$S$10:$S$29),1,0))</f>
        <v>0</v>
      </c>
      <c r="C163" s="9" t="str">
        <f t="shared" si="26"/>
        <v/>
      </c>
      <c r="D163" s="6">
        <f t="shared" si="27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28"/>
        <v>0</v>
      </c>
    </row>
    <row r="164" spans="1:7" x14ac:dyDescent="0.25">
      <c r="A164" s="9">
        <f t="shared" si="9"/>
        <v>163</v>
      </c>
      <c r="B164" s="9">
        <f t="array" ref="B164">IF(C164="",0,IF(OR(C164=Country_Comparison!$S$10:$S$29),1,0))</f>
        <v>0</v>
      </c>
      <c r="C164" s="9" t="str">
        <f t="shared" si="26"/>
        <v/>
      </c>
      <c r="D164" s="6">
        <f t="shared" si="27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28"/>
        <v>0</v>
      </c>
    </row>
    <row r="165" spans="1:7" x14ac:dyDescent="0.25">
      <c r="A165" s="9">
        <f t="shared" si="9"/>
        <v>164</v>
      </c>
      <c r="B165" s="9">
        <f t="array" ref="B165">IF(C165="",0,IF(OR(C165=Country_Comparison!$S$10:$S$29),1,0))</f>
        <v>0</v>
      </c>
      <c r="C165" s="9" t="str">
        <f t="shared" ref="C165:C200" si="29">IF(H165="","",H165)</f>
        <v/>
      </c>
      <c r="D165" s="6">
        <f t="shared" si="27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28"/>
        <v>0</v>
      </c>
    </row>
    <row r="166" spans="1:7" x14ac:dyDescent="0.25">
      <c r="A166" s="9">
        <f t="shared" si="9"/>
        <v>165</v>
      </c>
      <c r="B166" s="9">
        <f t="array" ref="B166">IF(C166="",0,IF(OR(C166=Country_Comparison!$S$10:$S$29),1,0))</f>
        <v>0</v>
      </c>
      <c r="C166" s="9" t="str">
        <f t="shared" si="29"/>
        <v/>
      </c>
      <c r="D166" s="6">
        <f t="shared" si="27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28"/>
        <v>0</v>
      </c>
    </row>
    <row r="167" spans="1:7" x14ac:dyDescent="0.25">
      <c r="A167" s="9">
        <f t="shared" si="9"/>
        <v>166</v>
      </c>
      <c r="B167" s="9">
        <f t="array" ref="B167">IF(C167="",0,IF(OR(C167=Country_Comparison!$S$10:$S$29),1,0))</f>
        <v>0</v>
      </c>
      <c r="C167" s="9" t="str">
        <f t="shared" si="29"/>
        <v/>
      </c>
      <c r="D167" s="6">
        <f t="shared" si="27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28"/>
        <v>0</v>
      </c>
    </row>
    <row r="168" spans="1:7" x14ac:dyDescent="0.25">
      <c r="A168" s="9">
        <f t="shared" si="9"/>
        <v>167</v>
      </c>
      <c r="B168" s="9">
        <f t="array" ref="B168">IF(C168="",0,IF(OR(C168=Country_Comparison!$S$10:$S$29),1,0))</f>
        <v>0</v>
      </c>
      <c r="C168" s="9" t="str">
        <f t="shared" si="29"/>
        <v/>
      </c>
      <c r="D168" s="6">
        <f t="shared" si="27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28"/>
        <v>0</v>
      </c>
    </row>
    <row r="169" spans="1:7" x14ac:dyDescent="0.25">
      <c r="A169" s="9">
        <f t="shared" si="9"/>
        <v>168</v>
      </c>
      <c r="B169" s="9">
        <f t="array" ref="B169">IF(C169="",0,IF(OR(C169=Country_Comparison!$S$10:$S$29),1,0))</f>
        <v>0</v>
      </c>
      <c r="C169" s="9" t="str">
        <f t="shared" si="29"/>
        <v/>
      </c>
      <c r="D169" s="6">
        <f t="shared" si="27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28"/>
        <v>0</v>
      </c>
    </row>
    <row r="170" spans="1:7" x14ac:dyDescent="0.25">
      <c r="A170" s="9">
        <f t="shared" si="9"/>
        <v>169</v>
      </c>
      <c r="B170" s="9">
        <f t="array" ref="B170">IF(C170="",0,IF(OR(C170=Country_Comparison!$S$10:$S$29),1,0))</f>
        <v>0</v>
      </c>
      <c r="C170" s="9" t="str">
        <f t="shared" si="29"/>
        <v/>
      </c>
      <c r="D170" s="6">
        <f t="shared" si="27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28"/>
        <v>0</v>
      </c>
    </row>
    <row r="171" spans="1:7" x14ac:dyDescent="0.25">
      <c r="A171" s="9">
        <f t="shared" si="9"/>
        <v>170</v>
      </c>
      <c r="B171" s="9">
        <f t="array" ref="B171">IF(C171="",0,IF(OR(C171=Country_Comparison!$S$10:$S$29),1,0))</f>
        <v>0</v>
      </c>
      <c r="C171" s="9" t="str">
        <f t="shared" si="29"/>
        <v/>
      </c>
      <c r="D171" s="6">
        <f t="shared" si="27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28"/>
        <v>0</v>
      </c>
    </row>
    <row r="172" spans="1:7" x14ac:dyDescent="0.25">
      <c r="A172" s="9">
        <f t="shared" si="9"/>
        <v>171</v>
      </c>
      <c r="B172" s="9">
        <f t="array" ref="B172">IF(C172="",0,IF(OR(C172=Country_Comparison!$S$10:$S$29),1,0))</f>
        <v>0</v>
      </c>
      <c r="C172" s="9" t="str">
        <f t="shared" si="29"/>
        <v/>
      </c>
      <c r="D172" s="6">
        <f t="shared" si="27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28"/>
        <v>0</v>
      </c>
    </row>
    <row r="173" spans="1:7" x14ac:dyDescent="0.25">
      <c r="A173" s="9">
        <f t="shared" si="9"/>
        <v>172</v>
      </c>
      <c r="B173" s="9">
        <f t="array" ref="B173">IF(C173="",0,IF(OR(C173=Country_Comparison!$S$10:$S$29),1,0))</f>
        <v>0</v>
      </c>
      <c r="C173" s="9" t="str">
        <f t="shared" si="29"/>
        <v/>
      </c>
      <c r="D173" s="6">
        <f t="shared" si="27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28"/>
        <v>0</v>
      </c>
    </row>
    <row r="174" spans="1:7" x14ac:dyDescent="0.25">
      <c r="A174" s="9">
        <f t="shared" si="9"/>
        <v>173</v>
      </c>
      <c r="B174" s="9">
        <f t="array" ref="B174">IF(C174="",0,IF(OR(C174=Country_Comparison!$S$10:$S$29),1,0))</f>
        <v>0</v>
      </c>
      <c r="C174" s="9" t="str">
        <f t="shared" si="29"/>
        <v/>
      </c>
      <c r="D174" s="6">
        <f t="shared" si="27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28"/>
        <v>0</v>
      </c>
    </row>
    <row r="175" spans="1:7" x14ac:dyDescent="0.25">
      <c r="A175" s="9">
        <f t="shared" si="9"/>
        <v>174</v>
      </c>
      <c r="B175" s="9">
        <f t="array" ref="B175">IF(C175="",0,IF(OR(C175=Country_Comparison!$S$10:$S$29),1,0))</f>
        <v>0</v>
      </c>
      <c r="C175" s="9" t="str">
        <f t="shared" si="29"/>
        <v/>
      </c>
      <c r="D175" s="6">
        <f t="shared" si="27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28"/>
        <v>0</v>
      </c>
    </row>
    <row r="176" spans="1:7" x14ac:dyDescent="0.25">
      <c r="A176" s="9">
        <f t="shared" si="9"/>
        <v>175</v>
      </c>
      <c r="B176" s="9">
        <f t="array" ref="B176">IF(C176="",0,IF(OR(C176=Country_Comparison!$S$10:$S$29),1,0))</f>
        <v>0</v>
      </c>
      <c r="C176" s="9" t="str">
        <f t="shared" si="29"/>
        <v/>
      </c>
      <c r="D176" s="6">
        <f t="shared" si="27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28"/>
        <v>0</v>
      </c>
    </row>
    <row r="177" spans="1:7" x14ac:dyDescent="0.25">
      <c r="A177" s="9">
        <f t="shared" si="9"/>
        <v>176</v>
      </c>
      <c r="B177" s="9">
        <f t="array" ref="B177">IF(C177="",0,IF(OR(C177=Country_Comparison!$S$10:$S$29),1,0))</f>
        <v>0</v>
      </c>
      <c r="C177" s="9" t="str">
        <f t="shared" si="29"/>
        <v/>
      </c>
      <c r="D177" s="6">
        <f t="shared" si="27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28"/>
        <v>0</v>
      </c>
    </row>
    <row r="178" spans="1:7" x14ac:dyDescent="0.25">
      <c r="A178" s="9">
        <f t="shared" si="9"/>
        <v>177</v>
      </c>
      <c r="B178" s="9">
        <f t="array" ref="B178">IF(C178="",0,IF(OR(C178=Country_Comparison!$S$10:$S$29),1,0))</f>
        <v>0</v>
      </c>
      <c r="C178" s="9" t="str">
        <f t="shared" si="29"/>
        <v/>
      </c>
      <c r="D178" s="6">
        <f t="shared" si="27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28"/>
        <v>0</v>
      </c>
    </row>
    <row r="179" spans="1:7" x14ac:dyDescent="0.25">
      <c r="A179" s="9">
        <f t="shared" si="9"/>
        <v>178</v>
      </c>
      <c r="B179" s="9">
        <f t="array" ref="B179">IF(C179="",0,IF(OR(C179=Country_Comparison!$S$10:$S$29),1,0))</f>
        <v>0</v>
      </c>
      <c r="C179" s="9" t="str">
        <f t="shared" si="29"/>
        <v/>
      </c>
      <c r="D179" s="6">
        <f t="shared" si="27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28"/>
        <v>0</v>
      </c>
    </row>
    <row r="180" spans="1:7" x14ac:dyDescent="0.25">
      <c r="A180" s="9">
        <f t="shared" si="9"/>
        <v>179</v>
      </c>
      <c r="B180" s="9">
        <f t="array" ref="B180">IF(C180="",0,IF(OR(C180=Country_Comparison!$S$10:$S$29),1,0))</f>
        <v>0</v>
      </c>
      <c r="C180" s="9" t="str">
        <f t="shared" si="29"/>
        <v/>
      </c>
      <c r="D180" s="6">
        <f t="shared" si="27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28"/>
        <v>0</v>
      </c>
    </row>
    <row r="181" spans="1:7" x14ac:dyDescent="0.25">
      <c r="A181" s="9">
        <f t="shared" si="9"/>
        <v>180</v>
      </c>
      <c r="B181" s="9">
        <f t="array" ref="B181">IF(C181="",0,IF(OR(C181=Country_Comparison!$S$10:$S$29),1,0))</f>
        <v>0</v>
      </c>
      <c r="C181" s="9" t="str">
        <f t="shared" si="29"/>
        <v/>
      </c>
      <c r="D181" s="6">
        <f t="shared" si="27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28"/>
        <v>0</v>
      </c>
    </row>
    <row r="182" spans="1:7" x14ac:dyDescent="0.25">
      <c r="A182" s="9">
        <f t="shared" si="9"/>
        <v>181</v>
      </c>
      <c r="B182" s="9">
        <f t="array" ref="B182">IF(C182="",0,IF(OR(C182=Country_Comparison!$S$10:$S$29),1,0))</f>
        <v>0</v>
      </c>
      <c r="C182" s="9" t="str">
        <f t="shared" si="29"/>
        <v/>
      </c>
      <c r="D182" s="6">
        <f t="shared" si="27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28"/>
        <v>0</v>
      </c>
    </row>
    <row r="183" spans="1:7" x14ac:dyDescent="0.25">
      <c r="A183" s="9">
        <f t="shared" si="9"/>
        <v>182</v>
      </c>
      <c r="B183" s="9">
        <f t="array" ref="B183">IF(C183="",0,IF(OR(C183=Country_Comparison!$S$10:$S$29),1,0))</f>
        <v>0</v>
      </c>
      <c r="C183" s="9" t="str">
        <f t="shared" si="29"/>
        <v/>
      </c>
      <c r="D183" s="6">
        <f t="shared" si="27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28"/>
        <v>0</v>
      </c>
    </row>
    <row r="184" spans="1:7" x14ac:dyDescent="0.25">
      <c r="A184" s="9">
        <f t="shared" si="9"/>
        <v>183</v>
      </c>
      <c r="B184" s="9">
        <f t="array" ref="B184">IF(C184="",0,IF(OR(C184=Country_Comparison!$S$10:$S$29),1,0))</f>
        <v>0</v>
      </c>
      <c r="C184" s="9" t="str">
        <f t="shared" si="29"/>
        <v/>
      </c>
      <c r="D184" s="6">
        <f t="shared" si="27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28"/>
        <v>0</v>
      </c>
    </row>
    <row r="185" spans="1:7" x14ac:dyDescent="0.25">
      <c r="A185" s="9">
        <f t="shared" si="9"/>
        <v>184</v>
      </c>
      <c r="B185" s="9">
        <f t="array" ref="B185">IF(C185="",0,IF(OR(C185=Country_Comparison!$S$10:$S$29),1,0))</f>
        <v>0</v>
      </c>
      <c r="C185" s="9" t="str">
        <f t="shared" si="29"/>
        <v/>
      </c>
      <c r="D185" s="6">
        <f t="shared" si="27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28"/>
        <v>0</v>
      </c>
    </row>
    <row r="186" spans="1:7" x14ac:dyDescent="0.25">
      <c r="A186" s="9">
        <f t="shared" si="9"/>
        <v>185</v>
      </c>
      <c r="B186" s="9">
        <f t="array" ref="B186">IF(C186="",0,IF(OR(C186=Country_Comparison!$S$10:$S$29),1,0))</f>
        <v>0</v>
      </c>
      <c r="C186" s="9" t="str">
        <f t="shared" si="29"/>
        <v/>
      </c>
      <c r="D186" s="6">
        <f t="shared" si="27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28"/>
        <v>0</v>
      </c>
    </row>
    <row r="187" spans="1:7" x14ac:dyDescent="0.25">
      <c r="A187" s="9">
        <f t="shared" si="9"/>
        <v>186</v>
      </c>
      <c r="B187" s="9">
        <f t="array" ref="B187">IF(C187="",0,IF(OR(C187=Country_Comparison!$S$10:$S$29),1,0))</f>
        <v>0</v>
      </c>
      <c r="C187" s="9" t="str">
        <f t="shared" si="29"/>
        <v/>
      </c>
      <c r="D187" s="6">
        <f t="shared" si="27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28"/>
        <v>0</v>
      </c>
    </row>
    <row r="188" spans="1:7" x14ac:dyDescent="0.25">
      <c r="A188" s="9">
        <f t="shared" si="9"/>
        <v>187</v>
      </c>
      <c r="B188" s="9">
        <f t="array" ref="B188">IF(C188="",0,IF(OR(C188=Country_Comparison!$S$10:$S$29),1,0))</f>
        <v>0</v>
      </c>
      <c r="C188" s="9" t="str">
        <f t="shared" si="29"/>
        <v/>
      </c>
      <c r="D188" s="6">
        <f t="shared" si="27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28"/>
        <v>0</v>
      </c>
    </row>
    <row r="189" spans="1:7" x14ac:dyDescent="0.25">
      <c r="A189" s="9">
        <f t="shared" si="9"/>
        <v>188</v>
      </c>
      <c r="B189" s="9">
        <f t="array" ref="B189">IF(C189="",0,IF(OR(C189=Country_Comparison!$S$10:$S$29),1,0))</f>
        <v>0</v>
      </c>
      <c r="C189" s="9" t="str">
        <f t="shared" si="29"/>
        <v/>
      </c>
      <c r="D189" s="6">
        <f t="shared" si="27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28"/>
        <v>0</v>
      </c>
    </row>
    <row r="190" spans="1:7" x14ac:dyDescent="0.25">
      <c r="A190" s="9">
        <f t="shared" si="9"/>
        <v>189</v>
      </c>
      <c r="B190" s="9">
        <f t="array" ref="B190">IF(C190="",0,IF(OR(C190=Country_Comparison!$S$10:$S$29),1,0))</f>
        <v>0</v>
      </c>
      <c r="C190" s="9" t="str">
        <f t="shared" si="29"/>
        <v/>
      </c>
      <c r="D190" s="6">
        <f t="shared" si="27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28"/>
        <v>0</v>
      </c>
    </row>
    <row r="191" spans="1:7" x14ac:dyDescent="0.25">
      <c r="A191" s="9">
        <f t="shared" si="9"/>
        <v>190</v>
      </c>
      <c r="B191" s="9">
        <f t="array" ref="B191">IF(C191="",0,IF(OR(C191=Country_Comparison!$S$10:$S$29),1,0))</f>
        <v>0</v>
      </c>
      <c r="C191" s="9" t="str">
        <f t="shared" si="29"/>
        <v/>
      </c>
      <c r="D191" s="6">
        <f t="shared" si="27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28"/>
        <v>0</v>
      </c>
    </row>
    <row r="192" spans="1:7" x14ac:dyDescent="0.25">
      <c r="A192" s="9">
        <f t="shared" si="9"/>
        <v>191</v>
      </c>
      <c r="B192" s="9">
        <f t="array" ref="B192">IF(C192="",0,IF(OR(C192=Country_Comparison!$S$10:$S$29),1,0))</f>
        <v>0</v>
      </c>
      <c r="C192" s="9" t="str">
        <f t="shared" si="29"/>
        <v/>
      </c>
      <c r="D192" s="6">
        <f t="shared" si="27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28"/>
        <v>0</v>
      </c>
    </row>
    <row r="193" spans="1:7" x14ac:dyDescent="0.25">
      <c r="A193" s="9">
        <f t="shared" si="9"/>
        <v>192</v>
      </c>
      <c r="B193" s="9">
        <f t="array" ref="B193">IF(C193="",0,IF(OR(C193=Country_Comparison!$S$10:$S$29),1,0))</f>
        <v>0</v>
      </c>
      <c r="C193" s="9" t="str">
        <f t="shared" si="29"/>
        <v/>
      </c>
      <c r="D193" s="6">
        <f t="shared" si="27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28"/>
        <v>0</v>
      </c>
    </row>
    <row r="194" spans="1:7" x14ac:dyDescent="0.25">
      <c r="A194" s="9">
        <f t="shared" si="9"/>
        <v>193</v>
      </c>
      <c r="B194" s="9">
        <f t="array" ref="B194">IF(C194="",0,IF(OR(C194=Country_Comparison!$S$10:$S$29),1,0))</f>
        <v>0</v>
      </c>
      <c r="C194" s="9" t="str">
        <f t="shared" si="29"/>
        <v/>
      </c>
      <c r="D194" s="6">
        <f t="shared" ref="D194:D200" si="30">MAX(I194:KU194)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1">IF(COUNTIF(I194:XFD194,"&gt;"&amp;0)=0,,(E194/F194)^(1/MIN(COUNTIF(I194:XFD194,"&gt;"&amp;0)-1,$F$1)))</f>
        <v>0</v>
      </c>
    </row>
    <row r="195" spans="1:7" x14ac:dyDescent="0.25">
      <c r="A195" s="9">
        <f t="shared" si="9"/>
        <v>194</v>
      </c>
      <c r="B195" s="9">
        <f t="array" ref="B195">IF(C195="",0,IF(OR(C195=Country_Comparison!$S$10:$S$29),1,0))</f>
        <v>0</v>
      </c>
      <c r="C195" s="9" t="str">
        <f t="shared" si="29"/>
        <v/>
      </c>
      <c r="D195" s="6">
        <f t="shared" si="30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1"/>
        <v>0</v>
      </c>
    </row>
    <row r="196" spans="1:7" x14ac:dyDescent="0.25">
      <c r="A196" s="9">
        <f t="shared" si="9"/>
        <v>195</v>
      </c>
      <c r="B196" s="9">
        <f t="array" ref="B196">IF(C196="",0,IF(OR(C196=Country_Comparison!$S$10:$S$29),1,0))</f>
        <v>0</v>
      </c>
      <c r="C196" s="9" t="str">
        <f t="shared" si="29"/>
        <v/>
      </c>
      <c r="D196" s="6">
        <f t="shared" si="30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1"/>
        <v>0</v>
      </c>
    </row>
    <row r="197" spans="1:7" x14ac:dyDescent="0.25">
      <c r="A197" s="9">
        <f t="shared" si="9"/>
        <v>196</v>
      </c>
      <c r="B197" s="9">
        <f t="array" ref="B197">IF(C197="",0,IF(OR(C197=Country_Comparison!$S$10:$S$29),1,0))</f>
        <v>0</v>
      </c>
      <c r="C197" s="9" t="str">
        <f t="shared" si="29"/>
        <v/>
      </c>
      <c r="D197" s="6">
        <f t="shared" si="30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1"/>
        <v>0</v>
      </c>
    </row>
    <row r="198" spans="1:7" x14ac:dyDescent="0.25">
      <c r="A198" s="9">
        <f t="shared" si="9"/>
        <v>197</v>
      </c>
      <c r="B198" s="9">
        <f t="array" ref="B198">IF(C198="",0,IF(OR(C198=Country_Comparison!$S$10:$S$29),1,0))</f>
        <v>0</v>
      </c>
      <c r="C198" s="9" t="str">
        <f t="shared" si="29"/>
        <v/>
      </c>
      <c r="D198" s="6">
        <f t="shared" si="30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1"/>
        <v>0</v>
      </c>
    </row>
    <row r="199" spans="1:7" x14ac:dyDescent="0.25">
      <c r="A199" s="9">
        <f t="shared" si="9"/>
        <v>198</v>
      </c>
      <c r="B199" s="9">
        <f t="array" ref="B199">IF(C199="",0,IF(OR(C199=Country_Comparison!$S$10:$S$29),1,0))</f>
        <v>0</v>
      </c>
      <c r="C199" s="9" t="str">
        <f t="shared" si="29"/>
        <v/>
      </c>
      <c r="D199" s="6">
        <f t="shared" si="30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1"/>
        <v>0</v>
      </c>
    </row>
    <row r="200" spans="1:7" x14ac:dyDescent="0.25">
      <c r="A200" s="9">
        <f t="shared" si="9"/>
        <v>199</v>
      </c>
      <c r="B200" s="9">
        <f t="array" ref="B200">IF(C200="",0,IF(OR(C200=Country_Comparison!$S$10:$S$29),1,0))</f>
        <v>0</v>
      </c>
      <c r="C200" s="9" t="str">
        <f t="shared" si="29"/>
        <v/>
      </c>
      <c r="D200" s="6">
        <f t="shared" si="30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1"/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topLeftCell="A25"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 t="shared" ref="A2:A33" si="5"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 t="shared" ref="G2:G33" si="6">IF(COUNTIF(I2:XFD2,"&gt;"&amp;0)=0,,(E2/F2)^(1/MIN(COUNTIF(I2:XFD2,"&gt;"&amp;0)-1,$F$1)))</f>
        <v>1.5</v>
      </c>
      <c r="H2" s="15" t="s">
        <v>430</v>
      </c>
      <c r="I2" s="9">
        <v>10</v>
      </c>
      <c r="J2" s="10">
        <f t="shared" ref="J2:AO2" si="7">I2*1.5</f>
        <v>15</v>
      </c>
      <c r="K2" s="10">
        <f t="shared" si="7"/>
        <v>22.5</v>
      </c>
      <c r="L2" s="10">
        <f t="shared" si="7"/>
        <v>33.75</v>
      </c>
      <c r="M2" s="10">
        <f t="shared" si="7"/>
        <v>50.625</v>
      </c>
      <c r="N2" s="10">
        <f t="shared" si="7"/>
        <v>75.9375</v>
      </c>
      <c r="O2" s="10">
        <f t="shared" si="7"/>
        <v>113.90625</v>
      </c>
      <c r="P2" s="10">
        <f t="shared" si="7"/>
        <v>170.859375</v>
      </c>
      <c r="Q2" s="10">
        <f t="shared" si="7"/>
        <v>256.2890625</v>
      </c>
      <c r="R2" s="10">
        <f t="shared" si="7"/>
        <v>384.43359375</v>
      </c>
      <c r="S2" s="10">
        <f t="shared" si="7"/>
        <v>576.650390625</v>
      </c>
      <c r="T2" s="10">
        <f t="shared" si="7"/>
        <v>864.9755859375</v>
      </c>
      <c r="U2" s="10">
        <f t="shared" si="7"/>
        <v>1297.46337890625</v>
      </c>
      <c r="V2" s="10">
        <f t="shared" si="7"/>
        <v>1946.195068359375</v>
      </c>
      <c r="W2" s="10">
        <f t="shared" si="7"/>
        <v>2919.2926025390625</v>
      </c>
      <c r="X2" s="10">
        <f t="shared" si="7"/>
        <v>4378.9389038085938</v>
      </c>
      <c r="Y2" s="10">
        <f t="shared" si="7"/>
        <v>6568.4083557128906</v>
      </c>
      <c r="Z2" s="10">
        <f t="shared" si="7"/>
        <v>9852.6125335693359</v>
      </c>
      <c r="AA2" s="10">
        <f t="shared" si="7"/>
        <v>14778.918800354004</v>
      </c>
      <c r="AB2" s="10">
        <f t="shared" si="7"/>
        <v>22168.378200531006</v>
      </c>
      <c r="AC2" s="10">
        <f t="shared" si="7"/>
        <v>33252.567300796509</v>
      </c>
      <c r="AD2" s="10">
        <f t="shared" si="7"/>
        <v>49878.850951194763</v>
      </c>
      <c r="AE2" s="10">
        <f t="shared" si="7"/>
        <v>74818.276426792145</v>
      </c>
      <c r="AF2" s="10">
        <f t="shared" si="7"/>
        <v>112227.41464018822</v>
      </c>
      <c r="AG2" s="10">
        <f t="shared" si="7"/>
        <v>168341.12196028233</v>
      </c>
      <c r="AH2" s="10">
        <f t="shared" si="7"/>
        <v>252511.68294042349</v>
      </c>
      <c r="AI2" s="10">
        <f t="shared" si="7"/>
        <v>378767.52441063523</v>
      </c>
      <c r="AJ2" s="10">
        <f t="shared" si="7"/>
        <v>568151.28661595285</v>
      </c>
      <c r="AK2" s="10">
        <f t="shared" si="7"/>
        <v>852226.92992392927</v>
      </c>
      <c r="AL2" s="10">
        <f t="shared" si="7"/>
        <v>1278340.3948858939</v>
      </c>
      <c r="AM2" s="10">
        <f t="shared" si="7"/>
        <v>1917510.5923288409</v>
      </c>
      <c r="AN2" s="10">
        <f t="shared" si="7"/>
        <v>2876265.8884932613</v>
      </c>
      <c r="AO2" s="10">
        <f t="shared" si="7"/>
        <v>4314398.8327398915</v>
      </c>
      <c r="AP2" s="10">
        <f t="shared" ref="AP2:BH2" si="8">AO2*1.5</f>
        <v>6471598.2491098372</v>
      </c>
      <c r="AQ2" s="10">
        <f t="shared" si="8"/>
        <v>9707397.3736647554</v>
      </c>
      <c r="AR2" s="10">
        <f t="shared" si="8"/>
        <v>14561096.060497133</v>
      </c>
      <c r="AS2" s="10">
        <f t="shared" si="8"/>
        <v>21841644.090745699</v>
      </c>
      <c r="AT2" s="10">
        <f t="shared" si="8"/>
        <v>32762466.136118546</v>
      </c>
      <c r="AU2" s="10">
        <f t="shared" si="8"/>
        <v>49143699.204177819</v>
      </c>
      <c r="AV2" s="10">
        <f t="shared" si="8"/>
        <v>73715548.806266725</v>
      </c>
      <c r="AW2" s="10">
        <f t="shared" si="8"/>
        <v>110573323.20940009</v>
      </c>
      <c r="AX2" s="10">
        <f t="shared" si="8"/>
        <v>165859984.81410015</v>
      </c>
      <c r="AY2" s="10">
        <f t="shared" si="8"/>
        <v>248789977.22115022</v>
      </c>
      <c r="AZ2" s="10">
        <f t="shared" si="8"/>
        <v>373184965.83172536</v>
      </c>
      <c r="BA2" s="10">
        <f t="shared" si="8"/>
        <v>559777448.74758804</v>
      </c>
      <c r="BB2" s="10">
        <f t="shared" si="8"/>
        <v>839666173.121382</v>
      </c>
      <c r="BC2" s="10">
        <f t="shared" si="8"/>
        <v>1259499259.6820731</v>
      </c>
      <c r="BD2" s="10">
        <f t="shared" si="8"/>
        <v>1889248889.5231097</v>
      </c>
      <c r="BE2" s="10">
        <f t="shared" si="8"/>
        <v>2833873334.2846646</v>
      </c>
      <c r="BF2" s="10">
        <f t="shared" si="8"/>
        <v>4250810001.4269972</v>
      </c>
      <c r="BG2" s="10">
        <f t="shared" si="8"/>
        <v>6376215002.1404953</v>
      </c>
      <c r="BH2" s="10">
        <f t="shared" si="8"/>
        <v>9564322503.210743</v>
      </c>
    </row>
    <row r="3" spans="1:307" x14ac:dyDescent="0.25">
      <c r="A3" s="9">
        <f t="shared" si="5"/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 t="shared" si="6"/>
        <v>1.4</v>
      </c>
      <c r="H3" s="15" t="s">
        <v>431</v>
      </c>
      <c r="I3" s="9">
        <v>10</v>
      </c>
      <c r="J3" s="10">
        <f t="shared" ref="J3:AO3" si="9">I3*1.4</f>
        <v>14</v>
      </c>
      <c r="K3" s="10">
        <f t="shared" si="9"/>
        <v>19.599999999999998</v>
      </c>
      <c r="L3" s="10">
        <f t="shared" si="9"/>
        <v>27.439999999999994</v>
      </c>
      <c r="M3" s="10">
        <f t="shared" si="9"/>
        <v>38.41599999999999</v>
      </c>
      <c r="N3" s="10">
        <f t="shared" si="9"/>
        <v>53.782399999999981</v>
      </c>
      <c r="O3" s="10">
        <f t="shared" si="9"/>
        <v>75.295359999999974</v>
      </c>
      <c r="P3" s="10">
        <f t="shared" si="9"/>
        <v>105.41350399999996</v>
      </c>
      <c r="Q3" s="10">
        <f t="shared" si="9"/>
        <v>147.57890559999993</v>
      </c>
      <c r="R3" s="10">
        <f t="shared" si="9"/>
        <v>206.6104678399999</v>
      </c>
      <c r="S3" s="10">
        <f t="shared" si="9"/>
        <v>289.25465497599981</v>
      </c>
      <c r="T3" s="10">
        <f t="shared" si="9"/>
        <v>404.9565169663997</v>
      </c>
      <c r="U3" s="10">
        <f t="shared" si="9"/>
        <v>566.93912375295952</v>
      </c>
      <c r="V3" s="10">
        <f t="shared" si="9"/>
        <v>793.71477325414332</v>
      </c>
      <c r="W3" s="10">
        <f t="shared" si="9"/>
        <v>1111.2006825558005</v>
      </c>
      <c r="X3" s="10">
        <f t="shared" si="9"/>
        <v>1555.6809555781206</v>
      </c>
      <c r="Y3" s="10">
        <f t="shared" si="9"/>
        <v>2177.9533378093688</v>
      </c>
      <c r="Z3" s="10">
        <f t="shared" si="9"/>
        <v>3049.1346729331162</v>
      </c>
      <c r="AA3" s="10">
        <f t="shared" si="9"/>
        <v>4268.7885421063629</v>
      </c>
      <c r="AB3" s="10">
        <f t="shared" si="9"/>
        <v>5976.3039589489081</v>
      </c>
      <c r="AC3" s="10">
        <f t="shared" si="9"/>
        <v>8366.8255425284715</v>
      </c>
      <c r="AD3" s="10">
        <f t="shared" si="9"/>
        <v>11713.555759539859</v>
      </c>
      <c r="AE3" s="10">
        <f t="shared" si="9"/>
        <v>16398.9780633558</v>
      </c>
      <c r="AF3" s="10">
        <f t="shared" si="9"/>
        <v>22958.56928869812</v>
      </c>
      <c r="AG3" s="10">
        <f t="shared" si="9"/>
        <v>32141.997004177367</v>
      </c>
      <c r="AH3" s="10">
        <f t="shared" si="9"/>
        <v>44998.795805848313</v>
      </c>
      <c r="AI3" s="10">
        <f t="shared" si="9"/>
        <v>62998.314128187631</v>
      </c>
      <c r="AJ3" s="10">
        <f t="shared" si="9"/>
        <v>88197.639779462683</v>
      </c>
      <c r="AK3" s="10">
        <f t="shared" si="9"/>
        <v>123476.69569124775</v>
      </c>
      <c r="AL3" s="10">
        <f t="shared" si="9"/>
        <v>172867.37396774683</v>
      </c>
      <c r="AM3" s="10">
        <f t="shared" si="9"/>
        <v>242014.32355484553</v>
      </c>
      <c r="AN3" s="10">
        <f t="shared" si="9"/>
        <v>338820.05297678371</v>
      </c>
      <c r="AO3" s="10">
        <f t="shared" si="9"/>
        <v>474348.07416749717</v>
      </c>
      <c r="AP3" s="10">
        <f t="shared" ref="AP3:BH3" si="10">AO3*1.4</f>
        <v>664087.30383449595</v>
      </c>
      <c r="AQ3" s="10">
        <f t="shared" si="10"/>
        <v>929722.22536829428</v>
      </c>
      <c r="AR3" s="10">
        <f t="shared" si="10"/>
        <v>1301611.1155156118</v>
      </c>
      <c r="AS3" s="10">
        <f t="shared" si="10"/>
        <v>1822255.5617218565</v>
      </c>
      <c r="AT3" s="10">
        <f t="shared" si="10"/>
        <v>2551157.786410599</v>
      </c>
      <c r="AU3" s="10">
        <f t="shared" si="10"/>
        <v>3571620.9009748385</v>
      </c>
      <c r="AV3" s="10">
        <f t="shared" si="10"/>
        <v>5000269.2613647738</v>
      </c>
      <c r="AW3" s="10">
        <f t="shared" si="10"/>
        <v>7000376.9659106834</v>
      </c>
      <c r="AX3" s="10">
        <f t="shared" si="10"/>
        <v>9800527.7522749566</v>
      </c>
      <c r="AY3" s="10">
        <f t="shared" si="10"/>
        <v>13720738.853184938</v>
      </c>
      <c r="AZ3" s="10">
        <f t="shared" si="10"/>
        <v>19209034.394458912</v>
      </c>
      <c r="BA3" s="10">
        <f t="shared" si="10"/>
        <v>26892648.152242474</v>
      </c>
      <c r="BB3" s="10">
        <f t="shared" si="10"/>
        <v>37649707.413139462</v>
      </c>
      <c r="BC3" s="10">
        <f t="shared" si="10"/>
        <v>52709590.378395244</v>
      </c>
      <c r="BD3" s="10">
        <f t="shared" si="10"/>
        <v>73793426.529753342</v>
      </c>
      <c r="BE3" s="10">
        <f t="shared" si="10"/>
        <v>103310797.14165467</v>
      </c>
      <c r="BF3" s="10">
        <f t="shared" si="10"/>
        <v>144635115.99831653</v>
      </c>
      <c r="BG3" s="10">
        <f t="shared" si="10"/>
        <v>202489162.39764312</v>
      </c>
      <c r="BH3" s="10">
        <f t="shared" si="10"/>
        <v>283484827.35670036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 t="shared" si="6"/>
        <v>1.3</v>
      </c>
      <c r="H4" s="15" t="s">
        <v>432</v>
      </c>
      <c r="I4" s="9">
        <v>10</v>
      </c>
      <c r="J4" s="10">
        <f t="shared" ref="J4:AO4" si="11">I4*1.3</f>
        <v>13</v>
      </c>
      <c r="K4" s="10">
        <f t="shared" si="11"/>
        <v>16.900000000000002</v>
      </c>
      <c r="L4" s="10">
        <f t="shared" si="11"/>
        <v>21.970000000000002</v>
      </c>
      <c r="M4" s="10">
        <f t="shared" si="11"/>
        <v>28.561000000000003</v>
      </c>
      <c r="N4" s="10">
        <f t="shared" si="11"/>
        <v>37.129300000000008</v>
      </c>
      <c r="O4" s="10">
        <f t="shared" si="11"/>
        <v>48.268090000000015</v>
      </c>
      <c r="P4" s="10">
        <f t="shared" si="11"/>
        <v>62.748517000000021</v>
      </c>
      <c r="Q4" s="10">
        <f t="shared" si="11"/>
        <v>81.573072100000033</v>
      </c>
      <c r="R4" s="10">
        <f t="shared" si="11"/>
        <v>106.04499373000004</v>
      </c>
      <c r="S4" s="10">
        <f t="shared" si="11"/>
        <v>137.85849184900007</v>
      </c>
      <c r="T4" s="10">
        <f t="shared" si="11"/>
        <v>179.21603940370011</v>
      </c>
      <c r="U4" s="10">
        <f t="shared" si="11"/>
        <v>232.98085122481015</v>
      </c>
      <c r="V4" s="10">
        <f t="shared" si="11"/>
        <v>302.87510659225319</v>
      </c>
      <c r="W4" s="10">
        <f t="shared" si="11"/>
        <v>393.73763856992917</v>
      </c>
      <c r="X4" s="10">
        <f t="shared" si="11"/>
        <v>511.85893014090794</v>
      </c>
      <c r="Y4" s="10">
        <f t="shared" si="11"/>
        <v>665.4166091831803</v>
      </c>
      <c r="Z4" s="10">
        <f t="shared" si="11"/>
        <v>865.04159193813439</v>
      </c>
      <c r="AA4" s="10">
        <f t="shared" si="11"/>
        <v>1124.5540695195748</v>
      </c>
      <c r="AB4" s="10">
        <f t="shared" si="11"/>
        <v>1461.9202903754474</v>
      </c>
      <c r="AC4" s="10">
        <f t="shared" si="11"/>
        <v>1900.4963774880816</v>
      </c>
      <c r="AD4" s="10">
        <f t="shared" si="11"/>
        <v>2470.645290734506</v>
      </c>
      <c r="AE4" s="10">
        <f t="shared" si="11"/>
        <v>3211.8388779548582</v>
      </c>
      <c r="AF4" s="10">
        <f t="shared" si="11"/>
        <v>4175.3905413413158</v>
      </c>
      <c r="AG4" s="10">
        <f t="shared" si="11"/>
        <v>5428.0077037437104</v>
      </c>
      <c r="AH4" s="10">
        <f t="shared" si="11"/>
        <v>7056.410014866824</v>
      </c>
      <c r="AI4" s="10">
        <f t="shared" si="11"/>
        <v>9173.3330193268721</v>
      </c>
      <c r="AJ4" s="10">
        <f t="shared" si="11"/>
        <v>11925.332925124934</v>
      </c>
      <c r="AK4" s="10">
        <f t="shared" si="11"/>
        <v>15502.932802662415</v>
      </c>
      <c r="AL4" s="10">
        <f t="shared" si="11"/>
        <v>20153.81264346114</v>
      </c>
      <c r="AM4" s="10">
        <f t="shared" si="11"/>
        <v>26199.956436499484</v>
      </c>
      <c r="AN4" s="10">
        <f t="shared" si="11"/>
        <v>34059.943367449334</v>
      </c>
      <c r="AO4" s="10">
        <f t="shared" si="11"/>
        <v>44277.926377684133</v>
      </c>
      <c r="AP4" s="10">
        <f t="shared" ref="AP4:BH4" si="12">AO4*1.3</f>
        <v>57561.304290989377</v>
      </c>
      <c r="AQ4" s="10">
        <f t="shared" si="12"/>
        <v>74829.695578286191</v>
      </c>
      <c r="AR4" s="10">
        <f t="shared" si="12"/>
        <v>97278.604251772049</v>
      </c>
      <c r="AS4" s="10">
        <f t="shared" si="12"/>
        <v>126462.18552730366</v>
      </c>
      <c r="AT4" s="10">
        <f t="shared" si="12"/>
        <v>164400.84118549476</v>
      </c>
      <c r="AU4" s="10">
        <f t="shared" si="12"/>
        <v>213721.0935411432</v>
      </c>
      <c r="AV4" s="10">
        <f t="shared" si="12"/>
        <v>277837.42160348617</v>
      </c>
      <c r="AW4" s="10">
        <f t="shared" si="12"/>
        <v>361188.64808453206</v>
      </c>
      <c r="AX4" s="10">
        <f t="shared" si="12"/>
        <v>469545.24250989169</v>
      </c>
      <c r="AY4" s="10">
        <f t="shared" si="12"/>
        <v>610408.81526285922</v>
      </c>
      <c r="AZ4" s="10">
        <f t="shared" si="12"/>
        <v>793531.45984171703</v>
      </c>
      <c r="BA4" s="10">
        <f t="shared" si="12"/>
        <v>1031590.8977942322</v>
      </c>
      <c r="BB4" s="10">
        <f t="shared" si="12"/>
        <v>1341068.167132502</v>
      </c>
      <c r="BC4" s="10">
        <f t="shared" si="12"/>
        <v>1743388.6172722527</v>
      </c>
      <c r="BD4" s="10">
        <f t="shared" si="12"/>
        <v>2266405.2024539285</v>
      </c>
      <c r="BE4" s="10">
        <f t="shared" si="12"/>
        <v>2946326.7631901074</v>
      </c>
      <c r="BF4" s="10">
        <f t="shared" si="12"/>
        <v>3830224.7921471396</v>
      </c>
      <c r="BG4" s="10">
        <f t="shared" si="12"/>
        <v>4979292.2297912817</v>
      </c>
      <c r="BH4" s="10">
        <f t="shared" si="12"/>
        <v>6473079.8987286668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 t="shared" ref="C5:C36" si="13">IF(H5="","",H5)</f>
        <v>Italy</v>
      </c>
      <c r="D5" s="6">
        <f t="shared" ref="D5:D36" si="14">MAX(I5:BD5)</f>
        <v>8215</v>
      </c>
      <c r="E5" s="6">
        <f>IF(COUNTIF(I5:XFD5,"&gt;"&amp;0)=0,,HLOOKUP(COUNTIF(I5:XFD5,"&gt;"&amp;0)-1,I$1:XFD5,A5+1,FALSE))</f>
        <v>8215</v>
      </c>
      <c r="F5" s="7">
        <f>IF(COUNTIF(I5:XFD5,"&gt;"&amp;0)=0,,HLOOKUP(COUNTIF(I5:XFD5,"&gt;"&amp;0)-MIN($F$1+1,COUNTIF(I5:XFD5,"&gt;"&amp;0)),I$1:XFD5,A5+1,FALSE))</f>
        <v>4825</v>
      </c>
      <c r="G5" s="8">
        <f t="shared" si="6"/>
        <v>1.1123002888908313</v>
      </c>
      <c r="H5" s="13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 t="shared" si="13"/>
        <v>Spain</v>
      </c>
      <c r="D6" s="6">
        <f t="shared" si="14"/>
        <v>4365</v>
      </c>
      <c r="E6" s="6">
        <f>IF(COUNTIF(I6:XFD6,"&gt;"&amp;0)=0,,HLOOKUP(COUNTIF(I6:XFD6,"&gt;"&amp;0)-1,I$1:XFD6,A6+1,FALSE))</f>
        <v>4365</v>
      </c>
      <c r="F6" s="7">
        <f>IF(COUNTIF(I6:XFD6,"&gt;"&amp;0)=0,,HLOOKUP(COUNTIF(I6:XFD6,"&gt;"&amp;0)-MIN($F$1+1,COUNTIF(I6:XFD6,"&gt;"&amp;0)),I$1:XFD6,A6+1,FALSE))</f>
        <v>1375</v>
      </c>
      <c r="G6" s="8">
        <f t="shared" si="6"/>
        <v>1.2599006789604936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 t="shared" si="13"/>
        <v>China</v>
      </c>
      <c r="D7" s="6">
        <f t="shared" si="14"/>
        <v>3123</v>
      </c>
      <c r="E7" s="6">
        <f>IF(COUNTIF(I7:XFD7,"&gt;"&amp;0)=0,,HLOOKUP(COUNTIF(I7:XFD7,"&gt;"&amp;0)-1,I$1:XFD7,A7+1,FALSE))</f>
        <v>3291</v>
      </c>
      <c r="F7" s="7">
        <f>IF(COUNTIF(I7:XFD7,"&gt;"&amp;0)=0,,HLOOKUP(COUNTIF(I7:XFD7,"&gt;"&amp;0)-MIN($F$1+1,COUNTIF(I7:XFD7,"&gt;"&amp;0)),I$1:XFD7,A7+1,FALSE))</f>
        <v>3259</v>
      </c>
      <c r="G7" s="8">
        <f t="shared" si="6"/>
        <v>1.0019561247418256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 t="shared" si="13"/>
        <v>France</v>
      </c>
      <c r="D8" s="6">
        <f t="shared" si="14"/>
        <v>1698</v>
      </c>
      <c r="E8" s="6">
        <f>IF(COUNTIF(I8:XFD8,"&gt;"&amp;0)=0,,HLOOKUP(COUNTIF(I8:XFD8,"&gt;"&amp;0)-1,I$1:XFD8,A8+1,FALSE))</f>
        <v>1698</v>
      </c>
      <c r="F8" s="7">
        <f>IF(COUNTIF(I8:XFD8,"&gt;"&amp;0)=0,,HLOOKUP(COUNTIF(I8:XFD8,"&gt;"&amp;0)-MIN($F$1+1,COUNTIF(I8:XFD8,"&gt;"&amp;0)),I$1:XFD8,A8+1,FALSE))</f>
        <v>563</v>
      </c>
      <c r="G8" s="8">
        <f t="shared" si="6"/>
        <v>1.2470557185121525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 t="shared" si="13"/>
        <v>US</v>
      </c>
      <c r="D9" s="6">
        <f t="shared" si="14"/>
        <v>1209</v>
      </c>
      <c r="E9" s="6">
        <f>IF(COUNTIF(I9:XFD9,"&gt;"&amp;0)=0,,HLOOKUP(COUNTIF(I9:XFD9,"&gt;"&amp;0)-1,I$1:XFD9,A9+1,FALSE))</f>
        <v>1209</v>
      </c>
      <c r="F9" s="7">
        <f>IF(COUNTIF(I9:XFD9,"&gt;"&amp;0)=0,,HLOOKUP(COUNTIF(I9:XFD9,"&gt;"&amp;0)-MIN($F$1+1,COUNTIF(I9:XFD9,"&gt;"&amp;0)),I$1:XFD9,A9+1,FALSE))</f>
        <v>307</v>
      </c>
      <c r="G9" s="8">
        <f t="shared" si="6"/>
        <v>1.3153992353850437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 t="shared" si="13"/>
        <v>United Kingdom</v>
      </c>
      <c r="D10" s="6">
        <f t="shared" si="14"/>
        <v>580</v>
      </c>
      <c r="E10" s="6">
        <f>IF(COUNTIF(I10:XFD10,"&gt;"&amp;0)=0,,HLOOKUP(COUNTIF(I10:XFD10,"&gt;"&amp;0)-1,I$1:XFD10,A10+1,FALSE))</f>
        <v>580</v>
      </c>
      <c r="F10" s="7">
        <f>IF(COUNTIF(I10:XFD10,"&gt;"&amp;0)=0,,HLOOKUP(COUNTIF(I10:XFD10,"&gt;"&amp;0)-MIN($F$1+1,COUNTIF(I10:XFD10,"&gt;"&amp;0)),I$1:XFD10,A10+1,FALSE))</f>
        <v>234</v>
      </c>
      <c r="G10" s="8">
        <f t="shared" si="6"/>
        <v>1.1990641741051542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 t="shared" si="13"/>
        <v>Germany</v>
      </c>
      <c r="D11" s="6">
        <f t="shared" si="14"/>
        <v>267</v>
      </c>
      <c r="E11" s="6">
        <f>IF(COUNTIF(I11:XFD11,"&gt;"&amp;0)=0,,HLOOKUP(COUNTIF(I11:XFD11,"&gt;"&amp;0)-1,I$1:XFD11,A11+1,FALSE))</f>
        <v>267</v>
      </c>
      <c r="F11" s="7">
        <f>IF(COUNTIF(I11:XFD11,"&gt;"&amp;0)=0,,HLOOKUP(COUNTIF(I11:XFD11,"&gt;"&amp;0)-MIN($F$1+1,COUNTIF(I11:XFD11,"&gt;"&amp;0)),I$1:XFD11,A11+1,FALSE))</f>
        <v>84</v>
      </c>
      <c r="G11" s="8">
        <f t="shared" si="6"/>
        <v>1.2602200794124603</v>
      </c>
      <c r="H11" s="15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 t="shared" si="13"/>
        <v>Europe</v>
      </c>
      <c r="D12" s="6">
        <f t="shared" si="14"/>
        <v>16470</v>
      </c>
      <c r="E12" s="6">
        <f>IF(COUNTIF(I12:XFD12,"&gt;"&amp;0)=0,,HLOOKUP(COUNTIF(I12:XFD12,"&gt;"&amp;0)-1,I$1:XFD12,A12+1,FALSE))</f>
        <v>16470</v>
      </c>
      <c r="F12" s="7">
        <f>IF(COUNTIF(I12:XFD12,"&gt;"&amp;0)=0,,HLOOKUP(COUNTIF(I12:XFD12,"&gt;"&amp;0)-MIN($F$1+1,COUNTIF(I12:XFD12,"&gt;"&amp;0)),I$1:XFD12,A12+1,FALSE))</f>
        <v>7499</v>
      </c>
      <c r="G12" s="8">
        <f t="shared" si="6"/>
        <v>1.1704100683511161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 t="shared" si="13"/>
        <v>World</v>
      </c>
      <c r="D13" s="6">
        <f t="shared" si="14"/>
        <v>3982</v>
      </c>
      <c r="E13" s="6">
        <f>IF(COUNTIF(I13:XFD13,"&gt;"&amp;0)=0,,HLOOKUP(COUNTIF(I13:XFD13,"&gt;"&amp;0)-1,I$1:XFD13,A13+1,FALSE))</f>
        <v>23944</v>
      </c>
      <c r="F13" s="7">
        <f>IF(COUNTIF(I13:XFD13,"&gt;"&amp;0)=0,,HLOOKUP(COUNTIF(I13:XFD13,"&gt;"&amp;0)-MIN($F$1+1,COUNTIF(I13:XFD13,"&gt;"&amp;0)),I$1:XFD13,A13+1,FALSE))</f>
        <v>12961</v>
      </c>
      <c r="G13" s="8">
        <f t="shared" si="6"/>
        <v>1.1306069183466048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 t="shared" si="13"/>
        <v>Asia</v>
      </c>
      <c r="D14" s="6">
        <f t="shared" si="14"/>
        <v>3189</v>
      </c>
      <c r="E14" s="6">
        <f>IF(COUNTIF(I14:XFD14,"&gt;"&amp;0)=0,,HLOOKUP(COUNTIF(I14:XFD14,"&gt;"&amp;0)-1,I$1:XFD14,A14+1,FALSE))</f>
        <v>3664</v>
      </c>
      <c r="F14" s="7">
        <f>IF(COUNTIF(I14:XFD14,"&gt;"&amp;0)=0,,HLOOKUP(COUNTIF(I14:XFD14,"&gt;"&amp;0)-MIN($F$1+1,COUNTIF(I14:XFD14,"&gt;"&amp;0)),I$1:XFD14,A14+1,FALSE))</f>
        <v>3473</v>
      </c>
      <c r="G14" s="8">
        <f t="shared" si="6"/>
        <v>1.0107648632600443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 t="shared" si="13"/>
        <v>Middle East</v>
      </c>
      <c r="D15" s="6">
        <f t="shared" si="14"/>
        <v>2297</v>
      </c>
      <c r="E15" s="6">
        <f>IF(COUNTIF(I15:XFD15,"&gt;"&amp;0)=0,,HLOOKUP(COUNTIF(I15:XFD15,"&gt;"&amp;0)-1,I$1:XFD15,A15+1,FALSE))</f>
        <v>2297</v>
      </c>
      <c r="F15" s="7">
        <f>IF(COUNTIF(I15:XFD15,"&gt;"&amp;0)=0,,HLOOKUP(COUNTIF(I15:XFD15,"&gt;"&amp;0)-MIN($F$1+1,COUNTIF(I15:XFD15,"&gt;"&amp;0)),I$1:XFD15,A15+1,FALSE))</f>
        <v>1581</v>
      </c>
      <c r="G15" s="8">
        <f t="shared" si="6"/>
        <v>1.0775708265106132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 t="shared" si="13"/>
        <v>Iran</v>
      </c>
      <c r="D16" s="6">
        <f t="shared" si="14"/>
        <v>2234</v>
      </c>
      <c r="E16" s="6">
        <f>IF(COUNTIF(I16:XFD16,"&gt;"&amp;0)=0,,HLOOKUP(COUNTIF(I16:XFD16,"&gt;"&amp;0)-1,I$1:XFD16,A16+1,FALSE))</f>
        <v>2234</v>
      </c>
      <c r="F16" s="7">
        <f>IF(COUNTIF(I16:XFD16,"&gt;"&amp;0)=0,,HLOOKUP(COUNTIF(I16:XFD16,"&gt;"&amp;0)-MIN($F$1+1,COUNTIF(I16:XFD16,"&gt;"&amp;0)),I$1:XFD16,A16+1,FALSE))</f>
        <v>1556</v>
      </c>
      <c r="G16" s="8">
        <f t="shared" si="6"/>
        <v>1.0750154730147803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</row>
    <row r="17" spans="1:40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 t="shared" si="13"/>
        <v>North America</v>
      </c>
      <c r="D17" s="6">
        <f t="shared" si="14"/>
        <v>1266</v>
      </c>
      <c r="E17" s="6">
        <f>IF(COUNTIF(I17:XFD17,"&gt;"&amp;0)=0,,HLOOKUP(COUNTIF(I17:XFD17,"&gt;"&amp;0)-1,I$1:XFD17,A17+1,FALSE))</f>
        <v>1266</v>
      </c>
      <c r="F17" s="7">
        <f>IF(COUNTIF(I17:XFD17,"&gt;"&amp;0)=0,,HLOOKUP(COUNTIF(I17:XFD17,"&gt;"&amp;0)-MIN($F$1+1,COUNTIF(I17:XFD17,"&gt;"&amp;0)),I$1:XFD17,A17+1,FALSE))</f>
        <v>333</v>
      </c>
      <c r="G17" s="8">
        <f t="shared" si="6"/>
        <v>1.3061645555138841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</row>
    <row r="18" spans="1:40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 t="shared" si="13"/>
        <v>Netherlands</v>
      </c>
      <c r="D18" s="6">
        <f t="shared" si="14"/>
        <v>435</v>
      </c>
      <c r="E18" s="6">
        <f>IF(COUNTIF(I18:XFD18,"&gt;"&amp;0)=0,,HLOOKUP(COUNTIF(I18:XFD18,"&gt;"&amp;0)-1,I$1:XFD18,A18+1,FALSE))</f>
        <v>435</v>
      </c>
      <c r="F18" s="7">
        <f>IF(COUNTIF(I18:XFD18,"&gt;"&amp;0)=0,,HLOOKUP(COUNTIF(I18:XFD18,"&gt;"&amp;0)-MIN($F$1+1,COUNTIF(I18:XFD18,"&gt;"&amp;0)),I$1:XFD18,A18+1,FALSE))</f>
        <v>137</v>
      </c>
      <c r="G18" s="8">
        <f t="shared" si="6"/>
        <v>1.259951239055322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</row>
    <row r="19" spans="1:40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 t="shared" si="13"/>
        <v>Belgium</v>
      </c>
      <c r="D19" s="6">
        <f t="shared" si="14"/>
        <v>220</v>
      </c>
      <c r="E19" s="6">
        <f>IF(COUNTIF(I19:XFD19,"&gt;"&amp;0)=0,,HLOOKUP(COUNTIF(I19:XFD19,"&gt;"&amp;0)-1,I$1:XFD19,A19+1,FALSE))</f>
        <v>220</v>
      </c>
      <c r="F19" s="7">
        <f>IF(COUNTIF(I19:XFD19,"&gt;"&amp;0)=0,,HLOOKUP(COUNTIF(I19:XFD19,"&gt;"&amp;0)-MIN($F$1+1,COUNTIF(I19:XFD19,"&gt;"&amp;0)),I$1:XFD19,A19+1,FALSE))</f>
        <v>67</v>
      </c>
      <c r="G19" s="8">
        <f t="shared" si="6"/>
        <v>1.268438968015827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</row>
    <row r="20" spans="1:40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 t="shared" si="13"/>
        <v>Switzerland</v>
      </c>
      <c r="D20" s="6">
        <f t="shared" si="14"/>
        <v>191</v>
      </c>
      <c r="E20" s="6">
        <f>IF(COUNTIF(I20:XFD20,"&gt;"&amp;0)=0,,HLOOKUP(COUNTIF(I20:XFD20,"&gt;"&amp;0)-1,I$1:XFD20,A20+1,FALSE))</f>
        <v>191</v>
      </c>
      <c r="F20" s="7">
        <f>IF(COUNTIF(I20:XFD20,"&gt;"&amp;0)=0,,HLOOKUP(COUNTIF(I20:XFD20,"&gt;"&amp;0)-MIN($F$1+1,COUNTIF(I20:XFD20,"&gt;"&amp;0)),I$1:XFD20,A20+1,FALSE))</f>
        <v>75</v>
      </c>
      <c r="G20" s="8">
        <f t="shared" si="6"/>
        <v>1.20557552002444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</row>
    <row r="21" spans="1:40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 t="shared" si="13"/>
        <v>South America</v>
      </c>
      <c r="D21" s="6">
        <f t="shared" si="14"/>
        <v>154</v>
      </c>
      <c r="E21" s="6">
        <f>IF(COUNTIF(I21:XFD21,"&gt;"&amp;0)=0,,HLOOKUP(COUNTIF(I21:XFD21,"&gt;"&amp;0)-1,I$1:XFD21,A21+1,FALSE))</f>
        <v>154</v>
      </c>
      <c r="F21" s="7">
        <f>IF(COUNTIF(I21:XFD21,"&gt;"&amp;0)=0,,HLOOKUP(COUNTIF(I21:XFD21,"&gt;"&amp;0)-MIN($F$1+1,COUNTIF(I21:XFD21,"&gt;"&amp;0)),I$1:XFD21,A21+1,FALSE))</f>
        <v>35</v>
      </c>
      <c r="G21" s="8">
        <f t="shared" si="6"/>
        <v>1.3449016775452187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</row>
    <row r="22" spans="1:40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 t="shared" si="13"/>
        <v>Korea, South</v>
      </c>
      <c r="D22" s="6">
        <f t="shared" si="14"/>
        <v>131</v>
      </c>
      <c r="E22" s="6">
        <f>IF(COUNTIF(I22:XFD22,"&gt;"&amp;0)=0,,HLOOKUP(COUNTIF(I22:XFD22,"&gt;"&amp;0)-1,I$1:XFD22,A22+1,FALSE))</f>
        <v>131</v>
      </c>
      <c r="F22" s="7">
        <f>IF(COUNTIF(I22:XFD22,"&gt;"&amp;0)=0,,HLOOKUP(COUNTIF(I22:XFD22,"&gt;"&amp;0)-MIN($F$1+1,COUNTIF(I22:XFD22,"&gt;"&amp;0)),I$1:XFD22,A22+1,FALSE))</f>
        <v>102</v>
      </c>
      <c r="G22" s="8">
        <f t="shared" si="6"/>
        <v>1.0513183015931133</v>
      </c>
      <c r="H22" s="15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</row>
    <row r="23" spans="1:40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 t="shared" si="13"/>
        <v>Africa</v>
      </c>
      <c r="D23" s="6">
        <f t="shared" si="14"/>
        <v>80</v>
      </c>
      <c r="E23" s="6">
        <f>IF(COUNTIF(I23:XFD23,"&gt;"&amp;0)=0,,HLOOKUP(COUNTIF(I23:XFD23,"&gt;"&amp;0)-1,I$1:XFD23,A23+1,FALSE))</f>
        <v>80</v>
      </c>
      <c r="F23" s="7">
        <f>IF(COUNTIF(I23:XFD23,"&gt;"&amp;0)=0,,HLOOKUP(COUNTIF(I23:XFD23,"&gt;"&amp;0)-MIN($F$1+1,COUNTIF(I23:XFD23,"&gt;"&amp;0)),I$1:XFD23,A23+1,FALSE))</f>
        <v>33</v>
      </c>
      <c r="G23" s="8">
        <f t="shared" si="6"/>
        <v>1.1937550159435217</v>
      </c>
      <c r="H23" s="13" t="s">
        <v>613</v>
      </c>
      <c r="I23" s="9">
        <v>8</v>
      </c>
      <c r="J23" s="9">
        <v>8</v>
      </c>
      <c r="K23" s="9">
        <v>11</v>
      </c>
      <c r="L23" s="9">
        <v>17</v>
      </c>
      <c r="M23" s="9">
        <v>20</v>
      </c>
      <c r="N23" s="9">
        <v>25</v>
      </c>
      <c r="O23" s="9">
        <v>33</v>
      </c>
      <c r="P23" s="9">
        <v>44</v>
      </c>
      <c r="Q23" s="9">
        <v>50</v>
      </c>
      <c r="R23" s="9">
        <v>56</v>
      </c>
      <c r="S23" s="9">
        <v>62</v>
      </c>
      <c r="T23" s="9">
        <v>80</v>
      </c>
    </row>
    <row r="24" spans="1:40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 t="shared" si="13"/>
        <v>Indonesia</v>
      </c>
      <c r="D24" s="6">
        <f t="shared" si="14"/>
        <v>78</v>
      </c>
      <c r="E24" s="6">
        <f>IF(COUNTIF(I24:XFD24,"&gt;"&amp;0)=0,,HLOOKUP(COUNTIF(I24:XFD24,"&gt;"&amp;0)-1,I$1:XFD24,A24+1,FALSE))</f>
        <v>78</v>
      </c>
      <c r="F24" s="7">
        <f>IF(COUNTIF(I24:XFD24,"&gt;"&amp;0)=0,,HLOOKUP(COUNTIF(I24:XFD24,"&gt;"&amp;0)-MIN($F$1+1,COUNTIF(I24:XFD24,"&gt;"&amp;0)),I$1:XFD24,A24+1,FALSE))</f>
        <v>38</v>
      </c>
      <c r="G24" s="8">
        <f t="shared" si="6"/>
        <v>1.1546814827060505</v>
      </c>
      <c r="H24" s="13" t="s">
        <v>107</v>
      </c>
      <c r="I24" s="9">
        <v>19</v>
      </c>
      <c r="J24" s="9">
        <v>25</v>
      </c>
      <c r="K24" s="9">
        <v>32</v>
      </c>
      <c r="L24" s="9">
        <v>38</v>
      </c>
      <c r="M24" s="9">
        <v>48</v>
      </c>
      <c r="N24" s="9">
        <v>49</v>
      </c>
      <c r="O24" s="9">
        <v>55</v>
      </c>
      <c r="P24" s="9">
        <v>58</v>
      </c>
      <c r="Q24" s="9">
        <v>78</v>
      </c>
    </row>
    <row r="25" spans="1:40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 t="shared" si="13"/>
        <v>Sweden</v>
      </c>
      <c r="D25" s="6">
        <f t="shared" si="14"/>
        <v>77</v>
      </c>
      <c r="E25" s="6">
        <f>IF(COUNTIF(I25:XFD25,"&gt;"&amp;0)=0,,HLOOKUP(COUNTIF(I25:XFD25,"&gt;"&amp;0)-1,I$1:XFD25,A25+1,FALSE))</f>
        <v>77</v>
      </c>
      <c r="F25" s="7">
        <f>IF(COUNTIF(I25:XFD25,"&gt;"&amp;0)=0,,HLOOKUP(COUNTIF(I25:XFD25,"&gt;"&amp;0)-MIN($F$1+1,COUNTIF(I25:XFD25,"&gt;"&amp;0)),I$1:XFD25,A25+1,FALSE))</f>
        <v>20</v>
      </c>
      <c r="G25" s="8">
        <f t="shared" si="6"/>
        <v>1.309459726546512</v>
      </c>
      <c r="H25" s="13" t="s">
        <v>59</v>
      </c>
      <c r="I25" s="9">
        <v>10</v>
      </c>
      <c r="J25" s="9">
        <v>11</v>
      </c>
      <c r="K25" s="9">
        <v>16</v>
      </c>
      <c r="L25" s="9">
        <v>20</v>
      </c>
      <c r="M25" s="9">
        <v>21</v>
      </c>
      <c r="N25" s="9">
        <v>25</v>
      </c>
      <c r="O25" s="9">
        <v>36</v>
      </c>
      <c r="P25" s="9">
        <v>62</v>
      </c>
      <c r="Q25" s="9">
        <v>77</v>
      </c>
    </row>
    <row r="26" spans="1:40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 t="shared" si="13"/>
        <v>Brazil</v>
      </c>
      <c r="D26" s="6">
        <f t="shared" si="14"/>
        <v>77</v>
      </c>
      <c r="E26" s="6">
        <f>IF(COUNTIF(I26:XFD26,"&gt;"&amp;0)=0,,HLOOKUP(COUNTIF(I26:XFD26,"&gt;"&amp;0)-1,I$1:XFD26,A26+1,FALSE))</f>
        <v>77</v>
      </c>
      <c r="F26" s="7">
        <f>IF(COUNTIF(I26:XFD26,"&gt;"&amp;0)=0,,HLOOKUP(COUNTIF(I26:XFD26,"&gt;"&amp;0)-MIN($F$1+1,COUNTIF(I26:XFD26,"&gt;"&amp;0)),I$1:XFD26,A26+1,FALSE))</f>
        <v>15</v>
      </c>
      <c r="G26" s="8">
        <f t="shared" si="6"/>
        <v>1.3870109612513239</v>
      </c>
      <c r="H26" s="13" t="s">
        <v>81</v>
      </c>
      <c r="I26" s="9">
        <v>11</v>
      </c>
      <c r="J26" s="9">
        <v>15</v>
      </c>
      <c r="K26" s="9">
        <v>25</v>
      </c>
      <c r="L26" s="9">
        <v>34</v>
      </c>
      <c r="M26" s="9">
        <v>46</v>
      </c>
      <c r="N26" s="9">
        <v>59</v>
      </c>
      <c r="O26" s="9">
        <v>77</v>
      </c>
    </row>
    <row r="27" spans="1:40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 t="shared" si="13"/>
        <v>Turkey</v>
      </c>
      <c r="D27" s="6">
        <f t="shared" si="14"/>
        <v>75</v>
      </c>
      <c r="E27" s="6">
        <f>IF(COUNTIF(I27:XFD27,"&gt;"&amp;0)=0,,HLOOKUP(COUNTIF(I27:XFD27,"&gt;"&amp;0)-1,I$1:XFD27,A27+1,FALSE))</f>
        <v>75</v>
      </c>
      <c r="F27" s="7">
        <f>IF(COUNTIF(I27:XFD27,"&gt;"&amp;0)=0,,HLOOKUP(COUNTIF(I27:XFD27,"&gt;"&amp;0)-MIN($F$1+1,COUNTIF(I27:XFD27,"&gt;"&amp;0)),I$1:XFD27,A27+1,FALSE))</f>
        <v>9</v>
      </c>
      <c r="G27" s="8">
        <f t="shared" si="6"/>
        <v>1.5281421358157987</v>
      </c>
      <c r="H27" s="13" t="s">
        <v>355</v>
      </c>
      <c r="I27" s="9">
        <v>9</v>
      </c>
      <c r="J27" s="9">
        <v>30</v>
      </c>
      <c r="K27" s="9">
        <v>37</v>
      </c>
      <c r="L27" s="9">
        <v>44</v>
      </c>
      <c r="M27" s="9">
        <v>59</v>
      </c>
      <c r="N27" s="9">
        <v>75</v>
      </c>
    </row>
    <row r="28" spans="1:40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 t="shared" si="13"/>
        <v>Portugal</v>
      </c>
      <c r="D28" s="6">
        <f t="shared" si="14"/>
        <v>60</v>
      </c>
      <c r="E28" s="6">
        <f>IF(COUNTIF(I28:XFD28,"&gt;"&amp;0)=0,,HLOOKUP(COUNTIF(I28:XFD28,"&gt;"&amp;0)-1,I$1:XFD28,A28+1,FALSE))</f>
        <v>60</v>
      </c>
      <c r="F28" s="7">
        <f>IF(COUNTIF(I28:XFD28,"&gt;"&amp;0)=0,,HLOOKUP(COUNTIF(I28:XFD28,"&gt;"&amp;0)-MIN($F$1+1,COUNTIF(I28:XFD28,"&gt;"&amp;0)),I$1:XFD28,A28+1,FALSE))</f>
        <v>12</v>
      </c>
      <c r="G28" s="8">
        <f t="shared" si="6"/>
        <v>1.3797296614612149</v>
      </c>
      <c r="H28" s="13" t="s">
        <v>108</v>
      </c>
      <c r="I28" s="9">
        <v>12</v>
      </c>
      <c r="J28" s="9">
        <v>14</v>
      </c>
      <c r="K28" s="9">
        <v>23</v>
      </c>
      <c r="L28" s="9">
        <v>33</v>
      </c>
      <c r="M28" s="9">
        <v>43</v>
      </c>
      <c r="N28" s="9">
        <v>60</v>
      </c>
    </row>
    <row r="29" spans="1:40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 t="shared" si="13"/>
        <v>Austria</v>
      </c>
      <c r="D29" s="6">
        <f t="shared" si="14"/>
        <v>49</v>
      </c>
      <c r="E29" s="6">
        <f>IF(COUNTIF(I29:XFD29,"&gt;"&amp;0)=0,,HLOOKUP(COUNTIF(I29:XFD29,"&gt;"&amp;0)-1,I$1:XFD29,A29+1,FALSE))</f>
        <v>49</v>
      </c>
      <c r="F29" s="7">
        <f>IF(COUNTIF(I29:XFD29,"&gt;"&amp;0)=0,,HLOOKUP(COUNTIF(I29:XFD29,"&gt;"&amp;0)-MIN($F$1+1,COUNTIF(I29:XFD29,"&gt;"&amp;0)),I$1:XFD29,A29+1,FALSE))</f>
        <v>8</v>
      </c>
      <c r="G29" s="8">
        <f t="shared" si="6"/>
        <v>1.4368823780140685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</row>
    <row r="30" spans="1:40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 t="shared" si="13"/>
        <v>Japan</v>
      </c>
      <c r="D30" s="6">
        <f t="shared" si="14"/>
        <v>47</v>
      </c>
      <c r="E30" s="6">
        <f>IF(COUNTIF(I30:XFD30,"&gt;"&amp;0)=0,,HLOOKUP(COUNTIF(I30:XFD30,"&gt;"&amp;0)-1,I$1:XFD30,A30+1,FALSE))</f>
        <v>47</v>
      </c>
      <c r="F30" s="7">
        <f>IF(COUNTIF(I30:XFD30,"&gt;"&amp;0)=0,,HLOOKUP(COUNTIF(I30:XFD30,"&gt;"&amp;0)-MIN($F$1+1,COUNTIF(I30:XFD30,"&gt;"&amp;0)),I$1:XFD30,A30+1,FALSE))</f>
        <v>35</v>
      </c>
      <c r="G30" s="8">
        <f t="shared" si="6"/>
        <v>1.0607327130385333</v>
      </c>
      <c r="H30" s="13" t="s">
        <v>36</v>
      </c>
      <c r="I30" s="9">
        <v>10</v>
      </c>
      <c r="J30" s="9">
        <v>10</v>
      </c>
      <c r="K30" s="9">
        <v>15</v>
      </c>
      <c r="L30" s="9">
        <v>16</v>
      </c>
      <c r="M30" s="9">
        <v>19</v>
      </c>
      <c r="N30" s="9">
        <v>22</v>
      </c>
      <c r="O30" s="9">
        <v>22</v>
      </c>
      <c r="P30" s="9">
        <v>27</v>
      </c>
      <c r="Q30" s="9">
        <v>29</v>
      </c>
      <c r="R30" s="9">
        <v>29</v>
      </c>
      <c r="S30" s="9">
        <v>29</v>
      </c>
      <c r="T30" s="9">
        <v>33</v>
      </c>
      <c r="U30" s="9">
        <v>35</v>
      </c>
      <c r="V30" s="9">
        <v>41</v>
      </c>
      <c r="W30" s="9">
        <v>42</v>
      </c>
      <c r="X30" s="9">
        <v>43</v>
      </c>
      <c r="Y30" s="9">
        <v>45</v>
      </c>
      <c r="Z30" s="9">
        <v>47</v>
      </c>
    </row>
    <row r="31" spans="1:40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 t="shared" si="13"/>
        <v>Philippines</v>
      </c>
      <c r="D31" s="6">
        <f t="shared" si="14"/>
        <v>45</v>
      </c>
      <c r="E31" s="6">
        <f>IF(COUNTIF(I31:XFD31,"&gt;"&amp;0)=0,,HLOOKUP(COUNTIF(I31:XFD31,"&gt;"&amp;0)-1,I$1:XFD31,A31+1,FALSE))</f>
        <v>45</v>
      </c>
      <c r="F31" s="7">
        <f>IF(COUNTIF(I31:XFD31,"&gt;"&amp;0)=0,,HLOOKUP(COUNTIF(I31:XFD31,"&gt;"&amp;0)-MIN($F$1+1,COUNTIF(I31:XFD31,"&gt;"&amp;0)),I$1:XFD31,A31+1,FALSE))</f>
        <v>19</v>
      </c>
      <c r="G31" s="8">
        <f t="shared" si="6"/>
        <v>1.1882061135201147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</row>
    <row r="32" spans="1:40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 t="shared" si="13"/>
        <v>Denmark</v>
      </c>
      <c r="D32" s="6">
        <f t="shared" si="14"/>
        <v>41</v>
      </c>
      <c r="E32" s="6">
        <f>IF(COUNTIF(I32:XFD32,"&gt;"&amp;0)=0,,HLOOKUP(COUNTIF(I32:XFD32,"&gt;"&amp;0)-1,I$1:XFD32,A32+1,FALSE))</f>
        <v>41</v>
      </c>
      <c r="F32" s="7">
        <f>IF(COUNTIF(I32:XFD32,"&gt;"&amp;0)=0,,HLOOKUP(COUNTIF(I32:XFD32,"&gt;"&amp;0)-MIN($F$1+1,COUNTIF(I32:XFD32,"&gt;"&amp;0)),I$1:XFD32,A32+1,FALSE))</f>
        <v>13</v>
      </c>
      <c r="G32" s="8">
        <f t="shared" si="6"/>
        <v>1.2582533660424671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</row>
    <row r="33" spans="1:23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 t="shared" si="13"/>
        <v>Canada</v>
      </c>
      <c r="D33" s="6">
        <f t="shared" si="14"/>
        <v>38</v>
      </c>
      <c r="E33" s="6">
        <f>IF(COUNTIF(I33:XFD33,"&gt;"&amp;0)=0,,HLOOKUP(COUNTIF(I33:XFD33,"&gt;"&amp;0)-1,I$1:XFD33,A33+1,FALSE))</f>
        <v>38</v>
      </c>
      <c r="F33" s="7">
        <f>IF(COUNTIF(I33:XFD33,"&gt;"&amp;0)=0,,HLOOKUP(COUNTIF(I33:XFD33,"&gt;"&amp;0)-MIN($F$1+1,COUNTIF(I33:XFD33,"&gt;"&amp;0)),I$1:XFD33,A33+1,FALSE))</f>
        <v>19</v>
      </c>
      <c r="G33" s="8">
        <f t="shared" si="6"/>
        <v>1.1486983549970351</v>
      </c>
      <c r="H33" s="13" t="s">
        <v>45</v>
      </c>
      <c r="I33" s="9">
        <v>8</v>
      </c>
      <c r="J33" s="9">
        <v>9</v>
      </c>
      <c r="K33" s="9">
        <v>12</v>
      </c>
      <c r="L33" s="9">
        <v>19</v>
      </c>
      <c r="M33" s="9">
        <v>21</v>
      </c>
      <c r="N33" s="9">
        <v>25</v>
      </c>
      <c r="O33" s="9">
        <v>26</v>
      </c>
      <c r="P33" s="9">
        <v>30</v>
      </c>
      <c r="Q33" s="9">
        <v>38</v>
      </c>
    </row>
    <row r="34" spans="1:23" x14ac:dyDescent="0.25">
      <c r="A34" s="9">
        <f t="shared" ref="A34:A65" si="15">A33+1</f>
        <v>33</v>
      </c>
      <c r="B34" s="9">
        <f t="array" ref="B34">IF(C34="",0,IF(OR(C34=Country_Comparison!$S$10:$S$29),1,0))</f>
        <v>0</v>
      </c>
      <c r="C34" s="9" t="str">
        <f t="shared" si="13"/>
        <v>Iraq</v>
      </c>
      <c r="D34" s="6">
        <f t="shared" si="14"/>
        <v>36</v>
      </c>
      <c r="E34" s="6">
        <f>IF(COUNTIF(I34:XFD34,"&gt;"&amp;0)=0,,HLOOKUP(COUNTIF(I34:XFD34,"&gt;"&amp;0)-1,I$1:XFD34,A34+1,FALSE))</f>
        <v>36</v>
      </c>
      <c r="F34" s="7">
        <f>IF(COUNTIF(I34:XFD34,"&gt;"&amp;0)=0,,HLOOKUP(COUNTIF(I34:XFD34,"&gt;"&amp;0)-MIN($F$1+1,COUNTIF(I34:XFD34,"&gt;"&amp;0)),I$1:XFD34,A34+1,FALSE))</f>
        <v>17</v>
      </c>
      <c r="G34" s="8">
        <f t="shared" ref="G34:G65" si="16">IF(COUNTIF(I34:XFD34,"&gt;"&amp;0)=0,,(E34/F34)^(1/MIN(COUNTIF(I34:XFD34,"&gt;"&amp;0)-1,$F$1)))</f>
        <v>1.1619052549059901</v>
      </c>
      <c r="H34" s="13" t="s">
        <v>70</v>
      </c>
      <c r="I34" s="9">
        <v>8</v>
      </c>
      <c r="J34" s="9">
        <v>9</v>
      </c>
      <c r="K34" s="9">
        <v>10</v>
      </c>
      <c r="L34" s="9">
        <v>10</v>
      </c>
      <c r="M34" s="9">
        <v>10</v>
      </c>
      <c r="N34" s="9">
        <v>11</v>
      </c>
      <c r="O34" s="9">
        <v>12</v>
      </c>
      <c r="P34" s="9">
        <v>13</v>
      </c>
      <c r="Q34" s="9">
        <v>17</v>
      </c>
      <c r="R34" s="9">
        <v>17</v>
      </c>
      <c r="S34" s="9">
        <v>20</v>
      </c>
      <c r="T34" s="9">
        <v>23</v>
      </c>
      <c r="U34" s="9">
        <v>27</v>
      </c>
      <c r="V34" s="9">
        <v>29</v>
      </c>
      <c r="W34" s="9">
        <v>36</v>
      </c>
    </row>
    <row r="35" spans="1:23" x14ac:dyDescent="0.25">
      <c r="A35" s="9">
        <f t="shared" si="15"/>
        <v>34</v>
      </c>
      <c r="B35" s="9">
        <f t="array" ref="B35">IF(C35="",0,IF(OR(C35=Country_Comparison!$S$10:$S$29),1,0))</f>
        <v>0</v>
      </c>
      <c r="C35" s="9" t="str">
        <f t="shared" si="13"/>
        <v>Ecuador</v>
      </c>
      <c r="D35" s="6">
        <f t="shared" si="14"/>
        <v>34</v>
      </c>
      <c r="E35" s="6">
        <f>IF(COUNTIF(I35:XFD35,"&gt;"&amp;0)=0,,HLOOKUP(COUNTIF(I35:XFD35,"&gt;"&amp;0)-1,I$1:XFD35,A35+1,FALSE))</f>
        <v>34</v>
      </c>
      <c r="F35" s="7">
        <f>IF(COUNTIF(I35:XFD35,"&gt;"&amp;0)=0,,HLOOKUP(COUNTIF(I35:XFD35,"&gt;"&amp;0)-MIN($F$1+1,COUNTIF(I35:XFD35,"&gt;"&amp;0)),I$1:XFD35,A35+1,FALSE))</f>
        <v>14</v>
      </c>
      <c r="G35" s="8">
        <f t="shared" si="16"/>
        <v>1.2483538941133476</v>
      </c>
      <c r="H35" s="13" t="s">
        <v>103</v>
      </c>
      <c r="I35" s="9">
        <v>14</v>
      </c>
      <c r="J35" s="9">
        <v>18</v>
      </c>
      <c r="K35" s="9">
        <v>27</v>
      </c>
      <c r="L35" s="9">
        <v>28</v>
      </c>
      <c r="M35" s="9">
        <v>34</v>
      </c>
    </row>
    <row r="36" spans="1:23" x14ac:dyDescent="0.25">
      <c r="A36" s="9">
        <f t="shared" si="15"/>
        <v>35</v>
      </c>
      <c r="B36" s="9">
        <f t="array" ref="B36">IF(C36="",0,IF(OR(C36=Country_Comparison!$S$10:$S$29),1,0))</f>
        <v>0</v>
      </c>
      <c r="C36" s="9" t="str">
        <f t="shared" si="13"/>
        <v>Greece</v>
      </c>
      <c r="D36" s="6">
        <f t="shared" si="14"/>
        <v>26</v>
      </c>
      <c r="E36" s="6">
        <f>IF(COUNTIF(I36:XFD36,"&gt;"&amp;0)=0,,HLOOKUP(COUNTIF(I36:XFD36,"&gt;"&amp;0)-1,I$1:XFD36,A36+1,FALSE))</f>
        <v>26</v>
      </c>
      <c r="F36" s="7">
        <f>IF(COUNTIF(I36:XFD36,"&gt;"&amp;0)=0,,HLOOKUP(COUNTIF(I36:XFD36,"&gt;"&amp;0)-MIN($F$1+1,COUNTIF(I36:XFD36,"&gt;"&amp;0)),I$1:XFD36,A36+1,FALSE))</f>
        <v>13</v>
      </c>
      <c r="G36" s="8">
        <f t="shared" si="16"/>
        <v>1.1486983549970351</v>
      </c>
      <c r="H36" s="13" t="s">
        <v>83</v>
      </c>
      <c r="I36" s="9">
        <v>13</v>
      </c>
      <c r="J36" s="9">
        <v>15</v>
      </c>
      <c r="K36" s="9">
        <v>17</v>
      </c>
      <c r="L36" s="9">
        <v>20</v>
      </c>
      <c r="M36" s="9">
        <v>22</v>
      </c>
      <c r="N36" s="9">
        <v>26</v>
      </c>
    </row>
    <row r="37" spans="1:23" x14ac:dyDescent="0.25">
      <c r="A37" s="9">
        <f t="shared" si="15"/>
        <v>36</v>
      </c>
      <c r="B37" s="9">
        <f t="array" ref="B37">IF(C37="",0,IF(OR(C37=Country_Comparison!$S$10:$S$29),1,0))</f>
        <v>0</v>
      </c>
      <c r="C37" s="9" t="str">
        <f t="shared" ref="C37:C68" si="17">IF(H37="","",H37)</f>
        <v>Algeria</v>
      </c>
      <c r="D37" s="6">
        <f t="shared" ref="D37:D68" si="18">MAX(I37:BD37)</f>
        <v>25</v>
      </c>
      <c r="E37" s="6">
        <f>IF(COUNTIF(I37:XFD37,"&gt;"&amp;0)=0,,HLOOKUP(COUNTIF(I37:XFD37,"&gt;"&amp;0)-1,I$1:XFD37,A37+1,FALSE))</f>
        <v>25</v>
      </c>
      <c r="F37" s="7">
        <f>IF(COUNTIF(I37:XFD37,"&gt;"&amp;0)=0,,HLOOKUP(COUNTIF(I37:XFD37,"&gt;"&amp;0)-MIN($F$1+1,COUNTIF(I37:XFD37,"&gt;"&amp;0)),I$1:XFD37,A37+1,FALSE))</f>
        <v>15</v>
      </c>
      <c r="G37" s="8">
        <f t="shared" si="16"/>
        <v>1.1075663432482901</v>
      </c>
      <c r="H37" s="13" t="s">
        <v>75</v>
      </c>
      <c r="I37" s="9">
        <v>9</v>
      </c>
      <c r="J37" s="9">
        <v>11</v>
      </c>
      <c r="K37" s="9">
        <v>15</v>
      </c>
      <c r="L37" s="9">
        <v>17</v>
      </c>
      <c r="M37" s="9">
        <v>17</v>
      </c>
      <c r="N37" s="9">
        <v>19</v>
      </c>
      <c r="O37" s="9">
        <v>21</v>
      </c>
      <c r="P37" s="9">
        <v>25</v>
      </c>
    </row>
    <row r="38" spans="1:23" x14ac:dyDescent="0.25">
      <c r="A38" s="9">
        <f t="shared" si="15"/>
        <v>37</v>
      </c>
      <c r="B38" s="9">
        <f t="array" ref="B38">IF(C38="",0,IF(OR(C38=Country_Comparison!$S$10:$S$29),1,0))</f>
        <v>0</v>
      </c>
      <c r="C38" s="9" t="str">
        <f t="shared" si="17"/>
        <v>Egypt</v>
      </c>
      <c r="D38" s="6">
        <f t="shared" si="18"/>
        <v>24</v>
      </c>
      <c r="E38" s="6">
        <f>IF(COUNTIF(I38:XFD38,"&gt;"&amp;0)=0,,HLOOKUP(COUNTIF(I38:XFD38,"&gt;"&amp;0)-1,I$1:XFD38,A38+1,FALSE))</f>
        <v>24</v>
      </c>
      <c r="F38" s="7">
        <f>IF(COUNTIF(I38:XFD38,"&gt;"&amp;0)=0,,HLOOKUP(COUNTIF(I38:XFD38,"&gt;"&amp;0)-MIN($F$1+1,COUNTIF(I38:XFD38,"&gt;"&amp;0)),I$1:XFD38,A38+1,FALSE))</f>
        <v>10</v>
      </c>
      <c r="G38" s="8">
        <f t="shared" si="16"/>
        <v>1.1913578981670916</v>
      </c>
      <c r="H38" s="13" t="s">
        <v>65</v>
      </c>
      <c r="I38" s="9">
        <v>8</v>
      </c>
      <c r="J38" s="9">
        <v>10</v>
      </c>
      <c r="K38" s="9">
        <v>14</v>
      </c>
      <c r="L38" s="9">
        <v>19</v>
      </c>
      <c r="M38" s="9">
        <v>20</v>
      </c>
      <c r="N38" s="9">
        <v>21</v>
      </c>
      <c r="O38" s="9">
        <v>24</v>
      </c>
    </row>
    <row r="39" spans="1:23" x14ac:dyDescent="0.25">
      <c r="A39" s="9">
        <f t="shared" si="15"/>
        <v>38</v>
      </c>
      <c r="B39" s="9">
        <f t="array" ref="B39">IF(C39="",0,IF(OR(C39=Country_Comparison!$S$10:$S$29),1,0))</f>
        <v>0</v>
      </c>
      <c r="C39" s="9" t="str">
        <f t="shared" si="17"/>
        <v>Malaysia</v>
      </c>
      <c r="D39" s="6">
        <f t="shared" si="18"/>
        <v>23</v>
      </c>
      <c r="E39" s="6">
        <f>IF(COUNTIF(I39:XFD39,"&gt;"&amp;0)=0,,HLOOKUP(COUNTIF(I39:XFD39,"&gt;"&amp;0)-1,I$1:XFD39,A39+1,FALSE))</f>
        <v>23</v>
      </c>
      <c r="F39" s="7">
        <f>IF(COUNTIF(I39:XFD39,"&gt;"&amp;0)=0,,HLOOKUP(COUNTIF(I39:XFD39,"&gt;"&amp;0)-MIN($F$1+1,COUNTIF(I39:XFD39,"&gt;"&amp;0)),I$1:XFD39,A39+1,FALSE))</f>
        <v>10</v>
      </c>
      <c r="G39" s="8">
        <f t="shared" si="16"/>
        <v>1.2314930323839879</v>
      </c>
      <c r="H39" s="13" t="s">
        <v>43</v>
      </c>
      <c r="I39" s="9">
        <v>10</v>
      </c>
      <c r="J39" s="9">
        <v>14</v>
      </c>
      <c r="K39" s="9">
        <v>16</v>
      </c>
      <c r="L39" s="9">
        <v>20</v>
      </c>
      <c r="M39" s="9">
        <v>23</v>
      </c>
    </row>
    <row r="40" spans="1:23" x14ac:dyDescent="0.25">
      <c r="A40" s="9">
        <f t="shared" si="15"/>
        <v>39</v>
      </c>
      <c r="B40" s="9">
        <f t="array" ref="B40">IF(C40="",0,IF(OR(C40=Country_Comparison!$S$10:$S$29),1,0))</f>
        <v>0</v>
      </c>
      <c r="C40" s="9" t="str">
        <f t="shared" si="17"/>
        <v>Romania</v>
      </c>
      <c r="D40" s="6">
        <f t="shared" si="18"/>
        <v>23</v>
      </c>
      <c r="E40" s="6">
        <f>IF(COUNTIF(I40:XFD40,"&gt;"&amp;0)=0,,HLOOKUP(COUNTIF(I40:XFD40,"&gt;"&amp;0)-1,I$1:XFD40,A40+1,FALSE))</f>
        <v>23</v>
      </c>
      <c r="F40" s="7">
        <f>IF(COUNTIF(I40:XFD40,"&gt;"&amp;0)=0,,HLOOKUP(COUNTIF(I40:XFD40,"&gt;"&amp;0)-MIN($F$1+1,COUNTIF(I40:XFD40,"&gt;"&amp;0)),I$1:XFD40,A40+1,FALSE))</f>
        <v>11</v>
      </c>
      <c r="G40" s="8">
        <f t="shared" si="16"/>
        <v>1.4459976109624424</v>
      </c>
      <c r="H40" s="13" t="s">
        <v>86</v>
      </c>
      <c r="I40" s="9">
        <v>11</v>
      </c>
      <c r="J40" s="9">
        <v>17</v>
      </c>
      <c r="K40" s="9">
        <v>23</v>
      </c>
    </row>
    <row r="41" spans="1:23" x14ac:dyDescent="0.25">
      <c r="A41" s="9">
        <f t="shared" si="15"/>
        <v>40</v>
      </c>
      <c r="B41" s="9">
        <f t="array" ref="B41">IF(C41="",0,IF(OR(C41=Country_Comparison!$S$10:$S$29),1,0))</f>
        <v>0</v>
      </c>
      <c r="C41" s="9" t="str">
        <f t="shared" si="17"/>
        <v>San Marino</v>
      </c>
      <c r="D41" s="6">
        <f t="shared" si="18"/>
        <v>21</v>
      </c>
      <c r="E41" s="6">
        <f>IF(COUNTIF(I41:XFD41,"&gt;"&amp;0)=0,,HLOOKUP(COUNTIF(I41:XFD41,"&gt;"&amp;0)-1,I$1:XFD41,A41+1,FALSE))</f>
        <v>21</v>
      </c>
      <c r="F41" s="7">
        <f>IF(COUNTIF(I41:XFD41,"&gt;"&amp;0)=0,,HLOOKUP(COUNTIF(I41:XFD41,"&gt;"&amp;0)-MIN($F$1+1,COUNTIF(I41:XFD41,"&gt;"&amp;0)),I$1:XFD41,A41+1,FALSE))</f>
        <v>20</v>
      </c>
      <c r="G41" s="8">
        <f t="shared" si="16"/>
        <v>1.0098057976734853</v>
      </c>
      <c r="H41" s="13" t="s">
        <v>90</v>
      </c>
      <c r="I41" s="9">
        <v>11</v>
      </c>
      <c r="J41" s="9">
        <v>11</v>
      </c>
      <c r="K41" s="9">
        <v>14</v>
      </c>
      <c r="L41" s="9">
        <v>20</v>
      </c>
      <c r="M41" s="9">
        <v>20</v>
      </c>
      <c r="N41" s="9">
        <v>20</v>
      </c>
      <c r="O41" s="9">
        <v>21</v>
      </c>
      <c r="P41" s="9">
        <v>21</v>
      </c>
      <c r="Q41" s="9">
        <v>21</v>
      </c>
    </row>
    <row r="42" spans="1:23" x14ac:dyDescent="0.25">
      <c r="A42" s="9">
        <f t="shared" si="15"/>
        <v>41</v>
      </c>
      <c r="B42" s="9">
        <f t="array" ref="B42">IF(C42="",0,IF(OR(C42=Country_Comparison!$S$10:$S$29),1,0))</f>
        <v>0</v>
      </c>
      <c r="C42" s="9" t="str">
        <f t="shared" si="17"/>
        <v>India</v>
      </c>
      <c r="D42" s="6">
        <f t="shared" si="18"/>
        <v>20</v>
      </c>
      <c r="E42" s="6">
        <f>IF(COUNTIF(I42:XFD42,"&gt;"&amp;0)=0,,HLOOKUP(COUNTIF(I42:XFD42,"&gt;"&amp;0)-1,I$1:XFD42,A42+1,FALSE))</f>
        <v>20</v>
      </c>
      <c r="F42" s="7">
        <f>IF(COUNTIF(I42:XFD42,"&gt;"&amp;0)=0,,HLOOKUP(COUNTIF(I42:XFD42,"&gt;"&amp;0)-MIN($F$1+1,COUNTIF(I42:XFD42,"&gt;"&amp;0)),I$1:XFD42,A42+1,FALSE))</f>
        <v>10</v>
      </c>
      <c r="G42" s="8">
        <f t="shared" si="16"/>
        <v>1.2599210498948732</v>
      </c>
      <c r="H42" s="13" t="s">
        <v>57</v>
      </c>
      <c r="I42" s="9">
        <v>10</v>
      </c>
      <c r="J42" s="9">
        <v>10</v>
      </c>
      <c r="K42" s="9">
        <v>12</v>
      </c>
      <c r="L42" s="9">
        <v>20</v>
      </c>
    </row>
    <row r="43" spans="1:23" x14ac:dyDescent="0.25">
      <c r="A43" s="9">
        <f t="shared" si="15"/>
        <v>42</v>
      </c>
      <c r="B43" s="9">
        <f t="array" ref="B43">IF(C43="",0,IF(OR(C43=Country_Comparison!$S$10:$S$29),1,0))</f>
        <v>0</v>
      </c>
      <c r="C43" s="9" t="str">
        <f t="shared" si="17"/>
        <v>Ireland</v>
      </c>
      <c r="D43" s="6">
        <f t="shared" si="18"/>
        <v>19</v>
      </c>
      <c r="E43" s="6">
        <f>IF(COUNTIF(I43:XFD43,"&gt;"&amp;0)=0,,HLOOKUP(COUNTIF(I43:XFD43,"&gt;"&amp;0)-1,I$1:XFD43,A43+1,FALSE))</f>
        <v>19</v>
      </c>
      <c r="F43" s="7">
        <f>IF(COUNTIF(I43:XFD43,"&gt;"&amp;0)=0,,HLOOKUP(COUNTIF(I43:XFD43,"&gt;"&amp;0)-MIN($F$1+1,COUNTIF(I43:XFD43,"&gt;"&amp;0)),I$1:XFD43,A43+1,FALSE))</f>
        <v>9</v>
      </c>
      <c r="G43" s="8">
        <f t="shared" si="16"/>
        <v>2.1111111111111112</v>
      </c>
      <c r="H43" s="13" t="s">
        <v>98</v>
      </c>
      <c r="I43" s="9">
        <v>9</v>
      </c>
      <c r="J43" s="9">
        <v>19</v>
      </c>
    </row>
    <row r="44" spans="1:23" x14ac:dyDescent="0.25">
      <c r="A44" s="9">
        <f t="shared" si="15"/>
        <v>43</v>
      </c>
      <c r="B44" s="9">
        <f t="array" ref="B44">IF(C44="",0,IF(OR(C44=Country_Comparison!$S$10:$S$29),1,0))</f>
        <v>0</v>
      </c>
      <c r="C44" s="9" t="str">
        <f t="shared" si="17"/>
        <v>Poland</v>
      </c>
      <c r="D44" s="6">
        <f t="shared" si="18"/>
        <v>16</v>
      </c>
      <c r="E44" s="6">
        <f>IF(COUNTIF(I44:XFD44,"&gt;"&amp;0)=0,,HLOOKUP(COUNTIF(I44:XFD44,"&gt;"&amp;0)-1,I$1:XFD44,A44+1,FALSE))</f>
        <v>16</v>
      </c>
      <c r="F44" s="7">
        <f>IF(COUNTIF(I44:XFD44,"&gt;"&amp;0)=0,,HLOOKUP(COUNTIF(I44:XFD44,"&gt;"&amp;0)-MIN($F$1+1,COUNTIF(I44:XFD44,"&gt;"&amp;0)),I$1:XFD44,A44+1,FALSE))</f>
        <v>8</v>
      </c>
      <c r="G44" s="8">
        <f t="shared" si="16"/>
        <v>1.2599210498948732</v>
      </c>
      <c r="H44" s="13" t="s">
        <v>137</v>
      </c>
      <c r="I44" s="9">
        <v>8</v>
      </c>
      <c r="J44" s="9">
        <v>10</v>
      </c>
      <c r="K44" s="9">
        <v>14</v>
      </c>
      <c r="L44" s="9">
        <v>16</v>
      </c>
    </row>
    <row r="45" spans="1:23" x14ac:dyDescent="0.25">
      <c r="A45" s="9">
        <f t="shared" si="15"/>
        <v>44</v>
      </c>
      <c r="B45" s="9">
        <f t="array" ref="B45">IF(C45="",0,IF(OR(C45=Country_Comparison!$S$10:$S$29),1,0))</f>
        <v>0</v>
      </c>
      <c r="C45" s="9" t="str">
        <f t="shared" si="17"/>
        <v>Norway</v>
      </c>
      <c r="D45" s="6">
        <f t="shared" si="18"/>
        <v>14</v>
      </c>
      <c r="E45" s="6">
        <f>IF(COUNTIF(I45:XFD45,"&gt;"&amp;0)=0,,HLOOKUP(COUNTIF(I45:XFD45,"&gt;"&amp;0)-1,I$1:XFD45,A45+1,FALSE))</f>
        <v>14</v>
      </c>
      <c r="F45" s="7">
        <f>IF(COUNTIF(I45:XFD45,"&gt;"&amp;0)=0,,HLOOKUP(COUNTIF(I45:XFD45,"&gt;"&amp;0)-MIN($F$1+1,COUNTIF(I45:XFD45,"&gt;"&amp;0)),I$1:XFD45,A45+1,FALSE))</f>
        <v>10</v>
      </c>
      <c r="G45" s="8">
        <f t="shared" si="16"/>
        <v>1.1186889420813968</v>
      </c>
      <c r="H45" s="13" t="s">
        <v>85</v>
      </c>
      <c r="I45" s="9">
        <v>10</v>
      </c>
      <c r="J45" s="9">
        <v>12</v>
      </c>
      <c r="K45" s="9">
        <v>14</v>
      </c>
      <c r="L45" s="9">
        <v>14</v>
      </c>
    </row>
    <row r="46" spans="1:23" x14ac:dyDescent="0.25">
      <c r="A46" s="9">
        <f t="shared" si="15"/>
        <v>45</v>
      </c>
      <c r="B46" s="9">
        <f t="array" ref="B46">IF(C46="",0,IF(OR(C46=Country_Comparison!$S$10:$S$29),1,0))</f>
        <v>0</v>
      </c>
      <c r="C46" s="9" t="str">
        <f t="shared" si="17"/>
        <v>Australia</v>
      </c>
      <c r="D46" s="6">
        <f t="shared" si="18"/>
        <v>13</v>
      </c>
      <c r="E46" s="6">
        <f>IF(COUNTIF(I46:XFD46,"&gt;"&amp;0)=0,,HLOOKUP(COUNTIF(I46:XFD46,"&gt;"&amp;0)-1,I$1:XFD46,A46+1,FALSE))</f>
        <v>13</v>
      </c>
      <c r="F46" s="7">
        <f>IF(COUNTIF(I46:XFD46,"&gt;"&amp;0)=0,,HLOOKUP(COUNTIF(I46:XFD46,"&gt;"&amp;0)-MIN($F$1+1,COUNTIF(I46:XFD46,"&gt;"&amp;0)),I$1:XFD46,A46+1,FALSE))</f>
        <v>8</v>
      </c>
      <c r="G46" s="8">
        <f t="shared" si="16"/>
        <v>1.2747548783981961</v>
      </c>
      <c r="H46" s="13" t="s">
        <v>48</v>
      </c>
      <c r="I46" s="9">
        <v>8</v>
      </c>
      <c r="J46" s="9">
        <v>8</v>
      </c>
      <c r="K46" s="9">
        <v>13</v>
      </c>
    </row>
    <row r="47" spans="1:23" x14ac:dyDescent="0.25">
      <c r="A47" s="9">
        <f t="shared" si="15"/>
        <v>46</v>
      </c>
      <c r="B47" s="9">
        <f t="array" ref="B47">IF(C47="",0,IF(OR(C47=Country_Comparison!$S$10:$S$29),1,0))</f>
        <v>0</v>
      </c>
      <c r="C47" s="9" t="str">
        <f t="shared" si="17"/>
        <v>Morocco</v>
      </c>
      <c r="D47" s="6">
        <f t="shared" si="18"/>
        <v>11</v>
      </c>
      <c r="E47" s="6">
        <f>IF(COUNTIF(I47:XFD47,"&gt;"&amp;0)=0,,HLOOKUP(COUNTIF(I47:XFD47,"&gt;"&amp;0)-1,I$1:XFD47,A47+1,FALSE))</f>
        <v>11</v>
      </c>
      <c r="F47" s="7">
        <f>IF(COUNTIF(I47:XFD47,"&gt;"&amp;0)=0,,HLOOKUP(COUNTIF(I47:XFD47,"&gt;"&amp;0)-MIN($F$1+1,COUNTIF(I47:XFD47,"&gt;"&amp;0)),I$1:XFD47,A47+1,FALSE))</f>
        <v>11</v>
      </c>
      <c r="G47" s="8" t="e">
        <f t="shared" si="16"/>
        <v>#DIV/0!</v>
      </c>
      <c r="H47" s="13" t="s">
        <v>112</v>
      </c>
      <c r="I47" s="9">
        <v>11</v>
      </c>
    </row>
    <row r="48" spans="1:23" x14ac:dyDescent="0.25">
      <c r="A48" s="9">
        <f t="shared" si="15"/>
        <v>47</v>
      </c>
      <c r="B48" s="9">
        <f t="array" ref="B48">IF(C48="",0,IF(OR(C48=Country_Comparison!$S$10:$S$29),1,0))</f>
        <v>0</v>
      </c>
      <c r="C48" s="9" t="str">
        <f t="shared" si="17"/>
        <v>Hungary</v>
      </c>
      <c r="D48" s="6">
        <f t="shared" si="18"/>
        <v>10</v>
      </c>
      <c r="E48" s="6">
        <f>IF(COUNTIF(I48:XFD48,"&gt;"&amp;0)=0,,HLOOKUP(COUNTIF(I48:XFD48,"&gt;"&amp;0)-1,I$1:XFD48,A48+1,FALSE))</f>
        <v>10</v>
      </c>
      <c r="F48" s="7">
        <f>IF(COUNTIF(I48:XFD48,"&gt;"&amp;0)=0,,HLOOKUP(COUNTIF(I48:XFD48,"&gt;"&amp;0)-MIN($F$1+1,COUNTIF(I48:XFD48,"&gt;"&amp;0)),I$1:XFD48,A48+1,FALSE))</f>
        <v>9</v>
      </c>
      <c r="G48" s="8">
        <f t="shared" si="16"/>
        <v>1.0540925533894598</v>
      </c>
      <c r="H48" s="13" t="s">
        <v>132</v>
      </c>
      <c r="I48" s="9">
        <v>9</v>
      </c>
      <c r="J48" s="9">
        <v>10</v>
      </c>
      <c r="K48" s="9">
        <v>10</v>
      </c>
    </row>
    <row r="49" spans="1:14" x14ac:dyDescent="0.25">
      <c r="A49" s="9">
        <f t="shared" si="15"/>
        <v>48</v>
      </c>
      <c r="B49" s="9">
        <f t="array" ref="B49">IF(C49="",0,IF(OR(C49=Country_Comparison!$S$10:$S$29),1,0))</f>
        <v>0</v>
      </c>
      <c r="C49" s="9" t="str">
        <f t="shared" si="17"/>
        <v>Dominican Republic</v>
      </c>
      <c r="D49" s="6">
        <f t="shared" si="18"/>
        <v>10</v>
      </c>
      <c r="E49" s="6">
        <f>IF(COUNTIF(I49:XFD49,"&gt;"&amp;0)=0,,HLOOKUP(COUNTIF(I49:XFD49,"&gt;"&amp;0)-1,I$1:XFD49,A49+1,FALSE))</f>
        <v>10</v>
      </c>
      <c r="F49" s="7">
        <f>IF(COUNTIF(I49:XFD49,"&gt;"&amp;0)=0,,HLOOKUP(COUNTIF(I49:XFD49,"&gt;"&amp;0)-MIN($F$1+1,COUNTIF(I49:XFD49,"&gt;"&amp;0)),I$1:XFD49,A49+1,FALSE))</f>
        <v>10</v>
      </c>
      <c r="G49" s="8">
        <f t="shared" si="16"/>
        <v>1</v>
      </c>
      <c r="H49" s="13" t="s">
        <v>106</v>
      </c>
      <c r="I49" s="9">
        <v>10</v>
      </c>
      <c r="J49" s="9">
        <v>10</v>
      </c>
    </row>
    <row r="50" spans="1:14" x14ac:dyDescent="0.25">
      <c r="A50" s="9">
        <f t="shared" si="15"/>
        <v>49</v>
      </c>
      <c r="B50" s="9">
        <f t="array" ref="B50">IF(C50="",0,IF(OR(C50=Country_Comparison!$S$10:$S$29),1,0))</f>
        <v>0</v>
      </c>
      <c r="C50" s="9" t="str">
        <f t="shared" si="17"/>
        <v>Czechia</v>
      </c>
      <c r="D50" s="6">
        <f t="shared" si="18"/>
        <v>9</v>
      </c>
      <c r="E50" s="6">
        <f>IF(COUNTIF(I50:XFD50,"&gt;"&amp;0)=0,,HLOOKUP(COUNTIF(I50:XFD50,"&gt;"&amp;0)-1,I$1:XFD50,A50+1,FALSE))</f>
        <v>9</v>
      </c>
      <c r="F50" s="7">
        <f>IF(COUNTIF(I50:XFD50,"&gt;"&amp;0)=0,,HLOOKUP(COUNTIF(I50:XFD50,"&gt;"&amp;0)-MIN($F$1+1,COUNTIF(I50:XFD50,"&gt;"&amp;0)),I$1:XFD50,A50+1,FALSE))</f>
        <v>9</v>
      </c>
      <c r="G50" s="8" t="e">
        <f t="shared" si="16"/>
        <v>#DIV/0!</v>
      </c>
      <c r="H50" s="13" t="s">
        <v>341</v>
      </c>
      <c r="I50" s="9">
        <v>9</v>
      </c>
    </row>
    <row r="51" spans="1:14" x14ac:dyDescent="0.25">
      <c r="A51" s="9">
        <f t="shared" si="15"/>
        <v>50</v>
      </c>
      <c r="B51" s="9">
        <f t="array" ref="B51">IF(C51="",0,IF(OR(C51=Country_Comparison!$S$10:$S$29),1,0))</f>
        <v>0</v>
      </c>
      <c r="C51" s="9" t="str">
        <f t="shared" si="17"/>
        <v>Luxembourg</v>
      </c>
      <c r="D51" s="6">
        <f t="shared" si="18"/>
        <v>9</v>
      </c>
      <c r="E51" s="6">
        <f>IF(COUNTIF(I51:XFD51,"&gt;"&amp;0)=0,,HLOOKUP(COUNTIF(I51:XFD51,"&gt;"&amp;0)-1,I$1:XFD51,A51+1,FALSE))</f>
        <v>9</v>
      </c>
      <c r="F51" s="7">
        <f>IF(COUNTIF(I51:XFD51,"&gt;"&amp;0)=0,,HLOOKUP(COUNTIF(I51:XFD51,"&gt;"&amp;0)-MIN($F$1+1,COUNTIF(I51:XFD51,"&gt;"&amp;0)),I$1:XFD51,A51+1,FALSE))</f>
        <v>8</v>
      </c>
      <c r="G51" s="8">
        <f t="shared" si="16"/>
        <v>1.0238362555396097</v>
      </c>
      <c r="H51" s="13" t="s">
        <v>99</v>
      </c>
      <c r="I51" s="9">
        <v>8</v>
      </c>
      <c r="J51" s="9">
        <v>8</v>
      </c>
      <c r="K51" s="9">
        <v>8</v>
      </c>
      <c r="L51" s="9">
        <v>8</v>
      </c>
      <c r="M51" s="9">
        <v>8</v>
      </c>
      <c r="N51" s="9">
        <v>9</v>
      </c>
    </row>
    <row r="52" spans="1:14" x14ac:dyDescent="0.25">
      <c r="A52" s="9">
        <f t="shared" si="15"/>
        <v>51</v>
      </c>
      <c r="B52" s="9">
        <f t="array" ref="B52">IF(C52="",0,IF(OR(C52=Country_Comparison!$S$10:$S$29),1,0))</f>
        <v>0</v>
      </c>
      <c r="C52" s="9" t="str">
        <f t="shared" si="17"/>
        <v>Argentina</v>
      </c>
      <c r="D52" s="6">
        <f t="shared" si="18"/>
        <v>9</v>
      </c>
      <c r="E52" s="6">
        <f>IF(COUNTIF(I52:XFD52,"&gt;"&amp;0)=0,,HLOOKUP(COUNTIF(I52:XFD52,"&gt;"&amp;0)-1,I$1:XFD52,A52+1,FALSE))</f>
        <v>9</v>
      </c>
      <c r="F52" s="7">
        <f>IF(COUNTIF(I52:XFD52,"&gt;"&amp;0)=0,,HLOOKUP(COUNTIF(I52:XFD52,"&gt;"&amp;0)-MIN($F$1+1,COUNTIF(I52:XFD52,"&gt;"&amp;0)),I$1:XFD52,A52+1,FALSE))</f>
        <v>8</v>
      </c>
      <c r="G52" s="8">
        <f t="shared" si="16"/>
        <v>1.125</v>
      </c>
      <c r="H52" s="13" t="s">
        <v>123</v>
      </c>
      <c r="I52" s="9">
        <v>8</v>
      </c>
      <c r="J52" s="9">
        <v>9</v>
      </c>
    </row>
    <row r="53" spans="1:14" x14ac:dyDescent="0.25">
      <c r="A53" s="9">
        <f t="shared" si="15"/>
        <v>52</v>
      </c>
      <c r="B53" s="9">
        <f t="array" ref="B53">IF(C53="",0,IF(OR(C53=Country_Comparison!$S$10:$S$29),1,0))</f>
        <v>0</v>
      </c>
      <c r="C53" s="9" t="str">
        <f t="shared" si="17"/>
        <v>Pakistan</v>
      </c>
      <c r="D53" s="6">
        <f t="shared" si="18"/>
        <v>9</v>
      </c>
      <c r="E53" s="6">
        <f>IF(COUNTIF(I53:XFD53,"&gt;"&amp;0)=0,,HLOOKUP(COUNTIF(I53:XFD53,"&gt;"&amp;0)-1,I$1:XFD53,A53+1,FALSE))</f>
        <v>9</v>
      </c>
      <c r="F53" s="7">
        <f>IF(COUNTIF(I53:XFD53,"&gt;"&amp;0)=0,,HLOOKUP(COUNTIF(I53:XFD53,"&gt;"&amp;0)-MIN($F$1+1,COUNTIF(I53:XFD53,"&gt;"&amp;0)),I$1:XFD53,A53+1,FALSE))</f>
        <v>8</v>
      </c>
      <c r="G53" s="8">
        <f t="shared" si="16"/>
        <v>1.125</v>
      </c>
      <c r="H53" s="13" t="s">
        <v>80</v>
      </c>
      <c r="I53" s="9">
        <v>8</v>
      </c>
      <c r="J53" s="9">
        <v>9</v>
      </c>
    </row>
    <row r="54" spans="1:14" x14ac:dyDescent="0.25">
      <c r="A54" s="9">
        <f t="shared" si="15"/>
        <v>53</v>
      </c>
      <c r="B54" s="9">
        <f t="array" ref="B54">IF(C54="",0,IF(OR(C54=Country_Comparison!$S$10:$S$29),1,0))</f>
        <v>0</v>
      </c>
      <c r="C54" s="9" t="str">
        <f t="shared" si="17"/>
        <v>Peru</v>
      </c>
      <c r="D54" s="6">
        <f t="shared" si="18"/>
        <v>9</v>
      </c>
      <c r="E54" s="6">
        <f>IF(COUNTIF(I54:XFD54,"&gt;"&amp;0)=0,,HLOOKUP(COUNTIF(I54:XFD54,"&gt;"&amp;0)-1,I$1:XFD54,A54+1,FALSE))</f>
        <v>9</v>
      </c>
      <c r="F54" s="7">
        <f>IF(COUNTIF(I54:XFD54,"&gt;"&amp;0)=0,,HLOOKUP(COUNTIF(I54:XFD54,"&gt;"&amp;0)-MIN($F$1+1,COUNTIF(I54:XFD54,"&gt;"&amp;0)),I$1:XFD54,A54+1,FALSE))</f>
        <v>9</v>
      </c>
      <c r="G54" s="8">
        <f t="shared" si="16"/>
        <v>1</v>
      </c>
      <c r="H54" s="13" t="s">
        <v>160</v>
      </c>
      <c r="I54" s="9">
        <v>9</v>
      </c>
      <c r="J54" s="9">
        <v>9</v>
      </c>
    </row>
    <row r="55" spans="1:14" x14ac:dyDescent="0.25">
      <c r="A55" s="9">
        <f t="shared" si="15"/>
        <v>54</v>
      </c>
      <c r="B55" s="9">
        <f t="array" ref="B55">IF(C55="",0,IF(OR(C55=Country_Comparison!$S$10:$S$29),1,0))</f>
        <v>0</v>
      </c>
      <c r="C55" s="9" t="str">
        <f t="shared" si="17"/>
        <v>Israel</v>
      </c>
      <c r="D55" s="6">
        <f t="shared" si="18"/>
        <v>8</v>
      </c>
      <c r="E55" s="6">
        <f>IF(COUNTIF(I55:XFD55,"&gt;"&amp;0)=0,,HLOOKUP(COUNTIF(I55:XFD55,"&gt;"&amp;0)-1,I$1:XFD55,A55+1,FALSE))</f>
        <v>8</v>
      </c>
      <c r="F55" s="7">
        <f>IF(COUNTIF(I55:XFD55,"&gt;"&amp;0)=0,,HLOOKUP(COUNTIF(I55:XFD55,"&gt;"&amp;0)-MIN($F$1+1,COUNTIF(I55:XFD55,"&gt;"&amp;0)),I$1:XFD55,A55+1,FALSE))</f>
        <v>8</v>
      </c>
      <c r="G55" s="8" t="e">
        <f t="shared" si="16"/>
        <v>#DIV/0!</v>
      </c>
      <c r="H55" s="13" t="s">
        <v>79</v>
      </c>
      <c r="I55" s="9">
        <v>8</v>
      </c>
    </row>
    <row r="56" spans="1:14" x14ac:dyDescent="0.25">
      <c r="A56" s="9">
        <f t="shared" si="15"/>
        <v>55</v>
      </c>
      <c r="B56" s="9">
        <f t="array" ref="B56">IF(C56="",0,IF(OR(C56=Country_Comparison!$S$10:$S$29),1,0))</f>
        <v>0</v>
      </c>
      <c r="C56" s="9" t="str">
        <f t="shared" si="17"/>
        <v>Panama</v>
      </c>
      <c r="D56" s="6">
        <f t="shared" si="18"/>
        <v>8</v>
      </c>
      <c r="E56" s="6">
        <f>IF(COUNTIF(I56:XFD56,"&gt;"&amp;0)=0,,HLOOKUP(COUNTIF(I56:XFD56,"&gt;"&amp;0)-1,I$1:XFD56,A56+1,FALSE))</f>
        <v>8</v>
      </c>
      <c r="F56" s="7">
        <f>IF(COUNTIF(I56:XFD56,"&gt;"&amp;0)=0,,HLOOKUP(COUNTIF(I56:XFD56,"&gt;"&amp;0)-MIN($F$1+1,COUNTIF(I56:XFD56,"&gt;"&amp;0)),I$1:XFD56,A56+1,FALSE))</f>
        <v>8</v>
      </c>
      <c r="G56" s="8">
        <f t="shared" si="16"/>
        <v>1</v>
      </c>
      <c r="H56" s="13" t="s">
        <v>283</v>
      </c>
      <c r="I56" s="9">
        <v>8</v>
      </c>
      <c r="J56" s="9">
        <v>8</v>
      </c>
    </row>
    <row r="57" spans="1:14" x14ac:dyDescent="0.25">
      <c r="A57" s="9">
        <f t="shared" si="15"/>
        <v>56</v>
      </c>
      <c r="B57" s="9">
        <f t="array" ref="B57">IF(C57="",0,IF(OR(C57=Country_Comparison!$S$10:$S$29),1,0))</f>
        <v>0</v>
      </c>
      <c r="C57" s="9" t="str">
        <f t="shared" si="17"/>
        <v/>
      </c>
      <c r="D57" s="6">
        <f t="shared" si="18"/>
        <v>0</v>
      </c>
      <c r="E57" s="6">
        <f>IF(COUNTIF(I57:XFD57,"&gt;"&amp;0)=0,,HLOOKUP(COUNTIF(I57:XFD57,"&gt;"&amp;0)-1,I$1:XFD57,A57+1,FALSE))</f>
        <v>0</v>
      </c>
      <c r="F57" s="7">
        <f>IF(COUNTIF(I57:XFD57,"&gt;"&amp;0)=0,,HLOOKUP(COUNTIF(I57:XFD57,"&gt;"&amp;0)-MIN($F$1+1,COUNTIF(I57:XFD57,"&gt;"&amp;0)),I$1:XFD57,A57+1,FALSE))</f>
        <v>0</v>
      </c>
      <c r="G57" s="8">
        <f t="shared" si="16"/>
        <v>0</v>
      </c>
    </row>
    <row r="58" spans="1:14" x14ac:dyDescent="0.25">
      <c r="A58" s="9">
        <f t="shared" si="15"/>
        <v>57</v>
      </c>
      <c r="B58" s="9">
        <f t="array" ref="B58">IF(C58="",0,IF(OR(C58=Country_Comparison!$S$10:$S$29),1,0))</f>
        <v>0</v>
      </c>
      <c r="C58" s="9" t="str">
        <f t="shared" si="17"/>
        <v/>
      </c>
      <c r="D58" s="6">
        <f t="shared" si="18"/>
        <v>0</v>
      </c>
      <c r="E58" s="6">
        <f>IF(COUNTIF(I58:XFD58,"&gt;"&amp;0)=0,,HLOOKUP(COUNTIF(I58:XFD58,"&gt;"&amp;0)-1,I$1:XFD58,A58+1,FALSE))</f>
        <v>0</v>
      </c>
      <c r="F58" s="7">
        <f>IF(COUNTIF(I58:XFD58,"&gt;"&amp;0)=0,,HLOOKUP(COUNTIF(I58:XFD58,"&gt;"&amp;0)-MIN($F$1+1,COUNTIF(I58:XFD58,"&gt;"&amp;0)),I$1:XFD58,A58+1,FALSE))</f>
        <v>0</v>
      </c>
      <c r="G58" s="8">
        <f t="shared" si="16"/>
        <v>0</v>
      </c>
    </row>
    <row r="59" spans="1:14" x14ac:dyDescent="0.25">
      <c r="A59" s="9">
        <f t="shared" si="15"/>
        <v>58</v>
      </c>
      <c r="B59" s="9">
        <f t="array" ref="B59">IF(C59="",0,IF(OR(C59=Country_Comparison!$S$10:$S$29),1,0))</f>
        <v>0</v>
      </c>
      <c r="C59" s="9" t="str">
        <f t="shared" si="17"/>
        <v/>
      </c>
      <c r="D59" s="6">
        <f t="shared" si="18"/>
        <v>0</v>
      </c>
      <c r="E59" s="6">
        <f>IF(COUNTIF(I59:XFD59,"&gt;"&amp;0)=0,,HLOOKUP(COUNTIF(I59:XFD59,"&gt;"&amp;0)-1,I$1:XFD59,A59+1,FALSE))</f>
        <v>0</v>
      </c>
      <c r="F59" s="7">
        <f>IF(COUNTIF(I59:XFD59,"&gt;"&amp;0)=0,,HLOOKUP(COUNTIF(I59:XFD59,"&gt;"&amp;0)-MIN($F$1+1,COUNTIF(I59:XFD59,"&gt;"&amp;0)),I$1:XFD59,A59+1,FALSE))</f>
        <v>0</v>
      </c>
      <c r="G59" s="8">
        <f t="shared" si="16"/>
        <v>0</v>
      </c>
    </row>
    <row r="60" spans="1:14" x14ac:dyDescent="0.25">
      <c r="A60" s="9">
        <f t="shared" si="15"/>
        <v>59</v>
      </c>
      <c r="B60" s="9">
        <f t="array" ref="B60">IF(C60="",0,IF(OR(C60=Country_Comparison!$S$10:$S$29),1,0))</f>
        <v>0</v>
      </c>
      <c r="C60" s="9" t="str">
        <f t="shared" si="17"/>
        <v/>
      </c>
      <c r="D60" s="6">
        <f t="shared" si="18"/>
        <v>0</v>
      </c>
      <c r="E60" s="6">
        <f>IF(COUNTIF(I60:XFD60,"&gt;"&amp;0)=0,,HLOOKUP(COUNTIF(I60:XFD60,"&gt;"&amp;0)-1,I$1:XFD60,A60+1,FALSE))</f>
        <v>0</v>
      </c>
      <c r="F60" s="7">
        <f>IF(COUNTIF(I60:XFD60,"&gt;"&amp;0)=0,,HLOOKUP(COUNTIF(I60:XFD60,"&gt;"&amp;0)-MIN($F$1+1,COUNTIF(I60:XFD60,"&gt;"&amp;0)),I$1:XFD60,A60+1,FALSE))</f>
        <v>0</v>
      </c>
      <c r="G60" s="8">
        <f t="shared" si="16"/>
        <v>0</v>
      </c>
    </row>
    <row r="61" spans="1:14" x14ac:dyDescent="0.25">
      <c r="A61" s="9">
        <f t="shared" si="15"/>
        <v>60</v>
      </c>
      <c r="B61" s="9">
        <f t="array" ref="B61">IF(C61="",0,IF(OR(C61=Country_Comparison!$S$10:$S$29),1,0))</f>
        <v>0</v>
      </c>
      <c r="C61" s="9" t="str">
        <f t="shared" si="17"/>
        <v/>
      </c>
      <c r="D61" s="6">
        <f t="shared" si="18"/>
        <v>0</v>
      </c>
      <c r="E61" s="6">
        <f>IF(COUNTIF(I61:XFD61,"&gt;"&amp;0)=0,,HLOOKUP(COUNTIF(I61:XFD61,"&gt;"&amp;0)-1,I$1:XFD61,A61+1,FALSE))</f>
        <v>0</v>
      </c>
      <c r="F61" s="7">
        <f>IF(COUNTIF(I61:XFD61,"&gt;"&amp;0)=0,,HLOOKUP(COUNTIF(I61:XFD61,"&gt;"&amp;0)-MIN($F$1+1,COUNTIF(I61:XFD61,"&gt;"&amp;0)),I$1:XFD61,A61+1,FALSE))</f>
        <v>0</v>
      </c>
      <c r="G61" s="8">
        <f t="shared" si="16"/>
        <v>0</v>
      </c>
    </row>
    <row r="62" spans="1:14" x14ac:dyDescent="0.25">
      <c r="A62" s="9">
        <f t="shared" si="15"/>
        <v>61</v>
      </c>
      <c r="B62" s="9">
        <f t="array" ref="B62">IF(C62="",0,IF(OR(C62=Country_Comparison!$S$10:$S$29),1,0))</f>
        <v>0</v>
      </c>
      <c r="C62" s="9" t="str">
        <f t="shared" si="17"/>
        <v/>
      </c>
      <c r="D62" s="6">
        <f t="shared" si="18"/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 t="shared" si="16"/>
        <v>0</v>
      </c>
    </row>
    <row r="63" spans="1:14" x14ac:dyDescent="0.25">
      <c r="A63" s="9">
        <f t="shared" si="15"/>
        <v>62</v>
      </c>
      <c r="B63" s="9">
        <f t="array" ref="B63">IF(C63="",0,IF(OR(C63=Country_Comparison!$S$10:$S$29),1,0))</f>
        <v>0</v>
      </c>
      <c r="C63" s="9" t="str">
        <f t="shared" si="17"/>
        <v/>
      </c>
      <c r="D63" s="6">
        <f t="shared" si="18"/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 t="shared" si="16"/>
        <v>0</v>
      </c>
    </row>
    <row r="64" spans="1:14" x14ac:dyDescent="0.25">
      <c r="A64" s="9">
        <f t="shared" si="15"/>
        <v>63</v>
      </c>
      <c r="B64" s="9">
        <f t="array" ref="B64">IF(C64="",0,IF(OR(C64=Country_Comparison!$S$10:$S$29),1,0))</f>
        <v>0</v>
      </c>
      <c r="C64" s="9" t="str">
        <f t="shared" si="17"/>
        <v/>
      </c>
      <c r="D64" s="6">
        <f t="shared" si="18"/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 t="shared" si="16"/>
        <v>0</v>
      </c>
    </row>
    <row r="65" spans="1:7" x14ac:dyDescent="0.25">
      <c r="A65" s="9">
        <f t="shared" si="15"/>
        <v>64</v>
      </c>
      <c r="B65" s="9">
        <f t="array" ref="B65">IF(C65="",0,IF(OR(C65=Country_Comparison!$S$10:$S$29),1,0))</f>
        <v>0</v>
      </c>
      <c r="C65" s="9" t="str">
        <f t="shared" si="17"/>
        <v/>
      </c>
      <c r="D65" s="6">
        <f t="shared" si="18"/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 t="shared" si="16"/>
        <v>0</v>
      </c>
    </row>
    <row r="66" spans="1:7" x14ac:dyDescent="0.25">
      <c r="A66" s="9">
        <f t="shared" ref="A66:A97" si="19">A65+1</f>
        <v>65</v>
      </c>
      <c r="B66" s="9">
        <f t="array" ref="B66">IF(C66="",0,IF(OR(C66=Country_Comparison!$S$10:$S$29),1,0))</f>
        <v>0</v>
      </c>
      <c r="C66" s="9" t="str">
        <f t="shared" si="17"/>
        <v/>
      </c>
      <c r="D66" s="6">
        <f t="shared" si="18"/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 t="shared" ref="G66:G97" si="20">IF(COUNTIF(I66:XFD66,"&gt;"&amp;0)=0,,(E66/F66)^(1/MIN(COUNTIF(I66:XFD66,"&gt;"&amp;0)-1,$F$1)))</f>
        <v>0</v>
      </c>
    </row>
    <row r="67" spans="1:7" x14ac:dyDescent="0.25">
      <c r="A67" s="9">
        <f t="shared" si="19"/>
        <v>66</v>
      </c>
      <c r="B67" s="9">
        <f t="array" ref="B67">IF(C67="",0,IF(OR(C67=Country_Comparison!$S$10:$S$29),1,0))</f>
        <v>0</v>
      </c>
      <c r="C67" s="9" t="str">
        <f t="shared" si="17"/>
        <v/>
      </c>
      <c r="D67" s="6">
        <f t="shared" si="18"/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 t="shared" si="20"/>
        <v>0</v>
      </c>
    </row>
    <row r="68" spans="1:7" x14ac:dyDescent="0.25">
      <c r="A68" s="9">
        <f t="shared" si="19"/>
        <v>67</v>
      </c>
      <c r="B68" s="9">
        <f t="array" ref="B68">IF(C68="",0,IF(OR(C68=Country_Comparison!$S$10:$S$29),1,0))</f>
        <v>0</v>
      </c>
      <c r="C68" s="9" t="str">
        <f t="shared" si="17"/>
        <v/>
      </c>
      <c r="D68" s="6">
        <f t="shared" si="18"/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 t="shared" si="20"/>
        <v>0</v>
      </c>
    </row>
    <row r="69" spans="1:7" x14ac:dyDescent="0.25">
      <c r="A69" s="9">
        <f t="shared" si="19"/>
        <v>68</v>
      </c>
      <c r="B69" s="9">
        <f t="array" ref="B69">IF(C69="",0,IF(OR(C69=Country_Comparison!$S$10:$S$29),1,0))</f>
        <v>0</v>
      </c>
      <c r="C69" s="9" t="str">
        <f t="shared" ref="C69:C100" si="21">IF(H69="","",H69)</f>
        <v/>
      </c>
      <c r="D69" s="6">
        <f t="shared" ref="D69:D100" si="22"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 t="shared" si="20"/>
        <v>0</v>
      </c>
    </row>
    <row r="70" spans="1:7" x14ac:dyDescent="0.25">
      <c r="A70" s="9">
        <f t="shared" si="19"/>
        <v>69</v>
      </c>
      <c r="B70" s="9">
        <f t="array" ref="B70">IF(C70="",0,IF(OR(C70=Country_Comparison!$S$10:$S$29),1,0))</f>
        <v>0</v>
      </c>
      <c r="C70" s="9" t="str">
        <f t="shared" si="21"/>
        <v/>
      </c>
      <c r="D70" s="6">
        <f t="shared" si="22"/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 t="shared" si="20"/>
        <v>0</v>
      </c>
    </row>
    <row r="71" spans="1:7" x14ac:dyDescent="0.25">
      <c r="A71" s="9">
        <f t="shared" si="19"/>
        <v>70</v>
      </c>
      <c r="B71" s="9">
        <f t="array" ref="B71">IF(C71="",0,IF(OR(C71=Country_Comparison!$S$10:$S$29),1,0))</f>
        <v>0</v>
      </c>
      <c r="C71" s="9" t="str">
        <f t="shared" si="21"/>
        <v/>
      </c>
      <c r="D71" s="6">
        <f t="shared" si="22"/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 t="shared" si="20"/>
        <v>0</v>
      </c>
    </row>
    <row r="72" spans="1:7" x14ac:dyDescent="0.25">
      <c r="A72" s="9">
        <f t="shared" si="19"/>
        <v>71</v>
      </c>
      <c r="B72" s="9">
        <f t="array" ref="B72">IF(C72="",0,IF(OR(C72=Country_Comparison!$S$10:$S$29),1,0))</f>
        <v>0</v>
      </c>
      <c r="C72" s="9" t="str">
        <f t="shared" si="21"/>
        <v/>
      </c>
      <c r="D72" s="6">
        <f t="shared" si="22"/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 t="shared" si="20"/>
        <v>0</v>
      </c>
    </row>
    <row r="73" spans="1:7" x14ac:dyDescent="0.25">
      <c r="A73" s="9">
        <f t="shared" si="19"/>
        <v>72</v>
      </c>
      <c r="B73" s="9">
        <f t="array" ref="B73">IF(C73="",0,IF(OR(C73=Country_Comparison!$S$10:$S$29),1,0))</f>
        <v>0</v>
      </c>
      <c r="C73" s="9" t="str">
        <f t="shared" si="21"/>
        <v/>
      </c>
      <c r="D73" s="6">
        <f t="shared" si="22"/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 t="shared" si="20"/>
        <v>0</v>
      </c>
    </row>
    <row r="74" spans="1:7" x14ac:dyDescent="0.25">
      <c r="A74" s="9">
        <f t="shared" si="19"/>
        <v>73</v>
      </c>
      <c r="B74" s="9">
        <f t="array" ref="B74">IF(C74="",0,IF(OR(C74=Country_Comparison!$S$10:$S$29),1,0))</f>
        <v>0</v>
      </c>
      <c r="C74" s="9" t="str">
        <f t="shared" si="21"/>
        <v/>
      </c>
      <c r="D74" s="6">
        <f t="shared" si="22"/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 t="shared" si="20"/>
        <v>0</v>
      </c>
    </row>
    <row r="75" spans="1:7" x14ac:dyDescent="0.25">
      <c r="A75" s="9">
        <f t="shared" si="19"/>
        <v>74</v>
      </c>
      <c r="B75" s="9">
        <f t="array" ref="B75">IF(C75="",0,IF(OR(C75=Country_Comparison!$S$10:$S$29),1,0))</f>
        <v>0</v>
      </c>
      <c r="C75" s="9" t="str">
        <f t="shared" si="21"/>
        <v/>
      </c>
      <c r="D75" s="6">
        <f t="shared" si="22"/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 t="shared" si="20"/>
        <v>0</v>
      </c>
    </row>
    <row r="76" spans="1:7" x14ac:dyDescent="0.25">
      <c r="A76" s="9">
        <f t="shared" si="19"/>
        <v>75</v>
      </c>
      <c r="B76" s="9">
        <f t="array" ref="B76">IF(C76="",0,IF(OR(C76=Country_Comparison!$S$10:$S$29),1,0))</f>
        <v>0</v>
      </c>
      <c r="C76" s="9" t="str">
        <f t="shared" si="21"/>
        <v/>
      </c>
      <c r="D76" s="6">
        <f t="shared" si="22"/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 t="shared" si="20"/>
        <v>0</v>
      </c>
    </row>
    <row r="77" spans="1:7" x14ac:dyDescent="0.25">
      <c r="A77" s="9">
        <f t="shared" si="19"/>
        <v>76</v>
      </c>
      <c r="B77" s="9">
        <f t="array" ref="B77">IF(C77="",0,IF(OR(C77=Country_Comparison!$S$10:$S$29),1,0))</f>
        <v>0</v>
      </c>
      <c r="C77" s="9" t="str">
        <f t="shared" si="21"/>
        <v/>
      </c>
      <c r="D77" s="6">
        <f t="shared" si="22"/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 t="shared" si="20"/>
        <v>0</v>
      </c>
    </row>
    <row r="78" spans="1:7" x14ac:dyDescent="0.25">
      <c r="A78" s="9">
        <f t="shared" si="19"/>
        <v>77</v>
      </c>
      <c r="B78" s="9">
        <f t="array" ref="B78">IF(C78="",0,IF(OR(C78=Country_Comparison!$S$10:$S$29),1,0))</f>
        <v>0</v>
      </c>
      <c r="C78" s="9" t="str">
        <f t="shared" si="21"/>
        <v/>
      </c>
      <c r="D78" s="6">
        <f t="shared" si="22"/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 t="shared" si="20"/>
        <v>0</v>
      </c>
    </row>
    <row r="79" spans="1:7" x14ac:dyDescent="0.25">
      <c r="A79" s="9">
        <f t="shared" si="19"/>
        <v>78</v>
      </c>
      <c r="B79" s="9">
        <f t="array" ref="B79">IF(C79="",0,IF(OR(C79=Country_Comparison!$S$10:$S$29),1,0))</f>
        <v>0</v>
      </c>
      <c r="C79" s="9" t="str">
        <f t="shared" si="21"/>
        <v/>
      </c>
      <c r="D79" s="6">
        <f t="shared" si="22"/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 t="shared" si="20"/>
        <v>0</v>
      </c>
    </row>
    <row r="80" spans="1:7" x14ac:dyDescent="0.25">
      <c r="A80" s="9">
        <f t="shared" si="19"/>
        <v>79</v>
      </c>
      <c r="B80" s="9">
        <f t="array" ref="B80">IF(C80="",0,IF(OR(C80=Country_Comparison!$S$10:$S$29),1,0))</f>
        <v>0</v>
      </c>
      <c r="C80" s="9" t="str">
        <f t="shared" si="21"/>
        <v/>
      </c>
      <c r="D80" s="6">
        <f t="shared" si="22"/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 t="shared" si="20"/>
        <v>0</v>
      </c>
    </row>
    <row r="81" spans="1:7" x14ac:dyDescent="0.25">
      <c r="A81" s="9">
        <f t="shared" si="19"/>
        <v>80</v>
      </c>
      <c r="B81" s="9">
        <f t="array" ref="B81">IF(C81="",0,IF(OR(C81=Country_Comparison!$S$10:$S$29),1,0))</f>
        <v>0</v>
      </c>
      <c r="C81" s="9" t="str">
        <f t="shared" si="21"/>
        <v/>
      </c>
      <c r="D81" s="6">
        <f t="shared" si="22"/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 t="shared" si="20"/>
        <v>0</v>
      </c>
    </row>
    <row r="82" spans="1:7" x14ac:dyDescent="0.25">
      <c r="A82" s="9">
        <f t="shared" si="19"/>
        <v>81</v>
      </c>
      <c r="B82" s="9">
        <f t="array" ref="B82">IF(C82="",0,IF(OR(C82=Country_Comparison!$S$10:$S$29),1,0))</f>
        <v>0</v>
      </c>
      <c r="C82" s="9" t="str">
        <f t="shared" si="21"/>
        <v/>
      </c>
      <c r="D82" s="6">
        <f t="shared" si="22"/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 t="shared" si="20"/>
        <v>0</v>
      </c>
    </row>
    <row r="83" spans="1:7" x14ac:dyDescent="0.25">
      <c r="A83" s="9">
        <f t="shared" si="19"/>
        <v>82</v>
      </c>
      <c r="B83" s="9">
        <f t="array" ref="B83">IF(C83="",0,IF(OR(C83=Country_Comparison!$S$10:$S$29),1,0))</f>
        <v>0</v>
      </c>
      <c r="C83" s="9" t="str">
        <f t="shared" si="21"/>
        <v/>
      </c>
      <c r="D83" s="6">
        <f t="shared" si="22"/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 t="shared" si="20"/>
        <v>0</v>
      </c>
    </row>
    <row r="84" spans="1:7" x14ac:dyDescent="0.25">
      <c r="A84" s="9">
        <f t="shared" si="19"/>
        <v>83</v>
      </c>
      <c r="B84" s="9">
        <f t="array" ref="B84">IF(C84="",0,IF(OR(C84=Country_Comparison!$S$10:$S$29),1,0))</f>
        <v>0</v>
      </c>
      <c r="C84" s="9" t="str">
        <f t="shared" si="21"/>
        <v/>
      </c>
      <c r="D84" s="6">
        <f t="shared" si="22"/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 t="shared" si="20"/>
        <v>0</v>
      </c>
    </row>
    <row r="85" spans="1:7" x14ac:dyDescent="0.25">
      <c r="A85" s="9">
        <f t="shared" si="19"/>
        <v>84</v>
      </c>
      <c r="B85" s="9">
        <f t="array" ref="B85">IF(C85="",0,IF(OR(C85=Country_Comparison!$S$10:$S$29),1,0))</f>
        <v>0</v>
      </c>
      <c r="C85" s="9" t="str">
        <f t="shared" si="21"/>
        <v/>
      </c>
      <c r="D85" s="6">
        <f t="shared" si="22"/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 t="shared" si="20"/>
        <v>0</v>
      </c>
    </row>
    <row r="86" spans="1:7" x14ac:dyDescent="0.25">
      <c r="A86" s="9">
        <f t="shared" si="19"/>
        <v>85</v>
      </c>
      <c r="B86" s="9">
        <f t="array" ref="B86">IF(C86="",0,IF(OR(C86=Country_Comparison!$S$10:$S$29),1,0))</f>
        <v>0</v>
      </c>
      <c r="C86" s="9" t="str">
        <f t="shared" si="21"/>
        <v/>
      </c>
      <c r="D86" s="6">
        <f t="shared" si="22"/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 t="shared" si="20"/>
        <v>0</v>
      </c>
    </row>
    <row r="87" spans="1:7" x14ac:dyDescent="0.25">
      <c r="A87" s="9">
        <f t="shared" si="19"/>
        <v>86</v>
      </c>
      <c r="B87" s="9">
        <f t="array" ref="B87">IF(C87="",0,IF(OR(C87=Country_Comparison!$S$10:$S$29),1,0))</f>
        <v>0</v>
      </c>
      <c r="C87" s="9" t="str">
        <f t="shared" si="21"/>
        <v/>
      </c>
      <c r="D87" s="6">
        <f t="shared" si="22"/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 t="shared" si="20"/>
        <v>0</v>
      </c>
    </row>
    <row r="88" spans="1:7" x14ac:dyDescent="0.25">
      <c r="A88" s="9">
        <f t="shared" si="19"/>
        <v>87</v>
      </c>
      <c r="B88" s="9">
        <f t="array" ref="B88">IF(C88="",0,IF(OR(C88=Country_Comparison!$S$10:$S$29),1,0))</f>
        <v>0</v>
      </c>
      <c r="C88" s="9" t="str">
        <f t="shared" si="21"/>
        <v/>
      </c>
      <c r="D88" s="6">
        <f t="shared" si="22"/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 t="shared" si="20"/>
        <v>0</v>
      </c>
    </row>
    <row r="89" spans="1:7" x14ac:dyDescent="0.25">
      <c r="A89" s="9">
        <f t="shared" si="19"/>
        <v>88</v>
      </c>
      <c r="B89" s="9">
        <f t="array" ref="B89">IF(C89="",0,IF(OR(C89=Country_Comparison!$S$10:$S$29),1,0))</f>
        <v>0</v>
      </c>
      <c r="C89" s="9" t="str">
        <f t="shared" si="21"/>
        <v/>
      </c>
      <c r="D89" s="6">
        <f t="shared" si="22"/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 t="shared" si="20"/>
        <v>0</v>
      </c>
    </row>
    <row r="90" spans="1:7" x14ac:dyDescent="0.25">
      <c r="A90" s="9">
        <f t="shared" si="19"/>
        <v>89</v>
      </c>
      <c r="B90" s="9">
        <f t="array" ref="B90">IF(C90="",0,IF(OR(C90=Country_Comparison!$S$10:$S$29),1,0))</f>
        <v>0</v>
      </c>
      <c r="C90" s="9" t="str">
        <f t="shared" si="21"/>
        <v/>
      </c>
      <c r="D90" s="6">
        <f t="shared" si="22"/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 t="shared" si="20"/>
        <v>0</v>
      </c>
    </row>
    <row r="91" spans="1:7" x14ac:dyDescent="0.25">
      <c r="A91" s="9">
        <f t="shared" si="19"/>
        <v>90</v>
      </c>
      <c r="B91" s="9">
        <f t="array" ref="B91">IF(C91="",0,IF(OR(C91=Country_Comparison!$S$10:$S$29),1,0))</f>
        <v>0</v>
      </c>
      <c r="C91" s="9" t="str">
        <f t="shared" si="21"/>
        <v/>
      </c>
      <c r="D91" s="6">
        <f t="shared" si="22"/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 t="shared" si="20"/>
        <v>0</v>
      </c>
    </row>
    <row r="92" spans="1:7" x14ac:dyDescent="0.25">
      <c r="A92" s="9">
        <f t="shared" si="19"/>
        <v>91</v>
      </c>
      <c r="B92" s="9">
        <f t="array" ref="B92">IF(C92="",0,IF(OR(C92=Country_Comparison!$S$10:$S$29),1,0))</f>
        <v>0</v>
      </c>
      <c r="C92" s="9" t="str">
        <f t="shared" si="21"/>
        <v/>
      </c>
      <c r="D92" s="6">
        <f t="shared" si="22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20"/>
        <v>0</v>
      </c>
    </row>
    <row r="93" spans="1:7" x14ac:dyDescent="0.25">
      <c r="A93" s="9">
        <f t="shared" si="19"/>
        <v>92</v>
      </c>
      <c r="B93" s="9">
        <f t="array" ref="B93">IF(C93="",0,IF(OR(C93=Country_Comparison!$S$10:$S$29),1,0))</f>
        <v>0</v>
      </c>
      <c r="C93" s="9" t="str">
        <f t="shared" si="21"/>
        <v/>
      </c>
      <c r="D93" s="6">
        <f t="shared" si="22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20"/>
        <v>0</v>
      </c>
    </row>
    <row r="94" spans="1:7" x14ac:dyDescent="0.25">
      <c r="A94" s="9">
        <f t="shared" si="19"/>
        <v>93</v>
      </c>
      <c r="B94" s="9">
        <f t="array" ref="B94">IF(C94="",0,IF(OR(C94=Country_Comparison!$S$10:$S$29),1,0))</f>
        <v>0</v>
      </c>
      <c r="C94" s="9" t="str">
        <f t="shared" si="21"/>
        <v/>
      </c>
      <c r="D94" s="6">
        <f t="shared" si="22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20"/>
        <v>0</v>
      </c>
    </row>
    <row r="95" spans="1:7" x14ac:dyDescent="0.25">
      <c r="A95" s="9">
        <f t="shared" si="19"/>
        <v>94</v>
      </c>
      <c r="B95" s="9">
        <f t="array" ref="B95">IF(C95="",0,IF(OR(C95=Country_Comparison!$S$10:$S$29),1,0))</f>
        <v>0</v>
      </c>
      <c r="C95" s="9" t="str">
        <f t="shared" si="21"/>
        <v/>
      </c>
      <c r="D95" s="6">
        <f t="shared" si="22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20"/>
        <v>0</v>
      </c>
    </row>
    <row r="96" spans="1:7" x14ac:dyDescent="0.25">
      <c r="A96" s="9">
        <f t="shared" si="19"/>
        <v>95</v>
      </c>
      <c r="B96" s="9">
        <f t="array" ref="B96">IF(C96="",0,IF(OR(C96=Country_Comparison!$S$10:$S$29),1,0))</f>
        <v>0</v>
      </c>
      <c r="C96" s="9" t="str">
        <f t="shared" si="21"/>
        <v/>
      </c>
      <c r="D96" s="6">
        <f t="shared" si="22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20"/>
        <v>0</v>
      </c>
    </row>
    <row r="97" spans="1:7" x14ac:dyDescent="0.25">
      <c r="A97" s="9">
        <f t="shared" si="19"/>
        <v>96</v>
      </c>
      <c r="B97" s="9">
        <f t="array" ref="B97">IF(C97="",0,IF(OR(C97=Country_Comparison!$S$10:$S$29),1,0))</f>
        <v>0</v>
      </c>
      <c r="C97" s="9" t="str">
        <f t="shared" si="21"/>
        <v/>
      </c>
      <c r="D97" s="6">
        <f t="shared" si="22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20"/>
        <v>0</v>
      </c>
    </row>
    <row r="98" spans="1:7" x14ac:dyDescent="0.25">
      <c r="A98" s="9">
        <f t="shared" ref="A98:A129" si="23">A97+1</f>
        <v>97</v>
      </c>
      <c r="B98" s="9">
        <f t="array" ref="B98">IF(C98="",0,IF(OR(C98=Country_Comparison!$S$10:$S$29),1,0))</f>
        <v>0</v>
      </c>
      <c r="C98" s="9" t="str">
        <f t="shared" si="21"/>
        <v/>
      </c>
      <c r="D98" s="6">
        <f t="shared" si="22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ref="G98:G129" si="24">IF(COUNTIF(I98:XFD98,"&gt;"&amp;0)=0,,(E98/F98)^(1/MIN(COUNTIF(I98:XFD98,"&gt;"&amp;0)-1,$F$1)))</f>
        <v>0</v>
      </c>
    </row>
    <row r="99" spans="1:7" x14ac:dyDescent="0.25">
      <c r="A99" s="9">
        <f t="shared" si="23"/>
        <v>98</v>
      </c>
      <c r="B99" s="9">
        <f t="array" ref="B99">IF(C99="",0,IF(OR(C99=Country_Comparison!$S$10:$S$29),1,0))</f>
        <v>0</v>
      </c>
      <c r="C99" s="9" t="str">
        <f t="shared" si="21"/>
        <v/>
      </c>
      <c r="D99" s="6">
        <f t="shared" si="22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24"/>
        <v>0</v>
      </c>
    </row>
    <row r="100" spans="1:7" x14ac:dyDescent="0.25">
      <c r="A100" s="9">
        <f t="shared" si="23"/>
        <v>99</v>
      </c>
      <c r="B100" s="9">
        <f t="array" ref="B100">IF(C100="",0,IF(OR(C100=Country_Comparison!$S$10:$S$29),1,0))</f>
        <v>0</v>
      </c>
      <c r="C100" s="9" t="str">
        <f t="shared" si="21"/>
        <v/>
      </c>
      <c r="D100" s="6">
        <f t="shared" si="22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24"/>
        <v>0</v>
      </c>
    </row>
    <row r="101" spans="1:7" x14ac:dyDescent="0.25">
      <c r="A101" s="9">
        <f t="shared" si="23"/>
        <v>100</v>
      </c>
      <c r="B101" s="9">
        <f t="array" ref="B101">IF(C101="",0,IF(OR(C101=Country_Comparison!$S$10:$S$29),1,0))</f>
        <v>0</v>
      </c>
      <c r="C101" s="9" t="str">
        <f t="shared" ref="C101:C132" si="25">IF(H101="","",H101)</f>
        <v/>
      </c>
      <c r="D101" s="6">
        <f t="shared" ref="D101:D132" si="26"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24"/>
        <v>0</v>
      </c>
    </row>
    <row r="102" spans="1:7" x14ac:dyDescent="0.25">
      <c r="A102" s="9">
        <f t="shared" si="23"/>
        <v>101</v>
      </c>
      <c r="B102" s="9">
        <f t="array" ref="B102">IF(C102="",0,IF(OR(C102=Country_Comparison!$S$10:$S$29),1,0))</f>
        <v>0</v>
      </c>
      <c r="C102" s="9" t="str">
        <f t="shared" si="25"/>
        <v/>
      </c>
      <c r="D102" s="6">
        <f t="shared" si="26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24"/>
        <v>0</v>
      </c>
    </row>
    <row r="103" spans="1:7" x14ac:dyDescent="0.25">
      <c r="A103" s="9">
        <f t="shared" si="23"/>
        <v>102</v>
      </c>
      <c r="B103" s="9">
        <f t="array" ref="B103">IF(C103="",0,IF(OR(C103=Country_Comparison!$S$10:$S$29),1,0))</f>
        <v>0</v>
      </c>
      <c r="C103" s="9" t="str">
        <f t="shared" si="25"/>
        <v/>
      </c>
      <c r="D103" s="6">
        <f t="shared" si="26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24"/>
        <v>0</v>
      </c>
    </row>
    <row r="104" spans="1:7" x14ac:dyDescent="0.25">
      <c r="A104" s="9">
        <f t="shared" si="23"/>
        <v>103</v>
      </c>
      <c r="B104" s="9">
        <f t="array" ref="B104">IF(C104="",0,IF(OR(C104=Country_Comparison!$S$10:$S$29),1,0))</f>
        <v>0</v>
      </c>
      <c r="C104" s="9" t="str">
        <f t="shared" si="25"/>
        <v/>
      </c>
      <c r="D104" s="6">
        <f t="shared" si="26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24"/>
        <v>0</v>
      </c>
    </row>
    <row r="105" spans="1:7" x14ac:dyDescent="0.25">
      <c r="A105" s="9">
        <f t="shared" si="23"/>
        <v>104</v>
      </c>
      <c r="B105" s="9">
        <f t="array" ref="B105">IF(C105="",0,IF(OR(C105=Country_Comparison!$S$10:$S$29),1,0))</f>
        <v>0</v>
      </c>
      <c r="C105" s="9" t="str">
        <f t="shared" si="25"/>
        <v/>
      </c>
      <c r="D105" s="6">
        <f t="shared" si="26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24"/>
        <v>0</v>
      </c>
    </row>
    <row r="106" spans="1:7" x14ac:dyDescent="0.25">
      <c r="A106" s="9">
        <f t="shared" si="23"/>
        <v>105</v>
      </c>
      <c r="B106" s="9">
        <f t="array" ref="B106">IF(C106="",0,IF(OR(C106=Country_Comparison!$S$10:$S$29),1,0))</f>
        <v>0</v>
      </c>
      <c r="C106" s="9" t="str">
        <f t="shared" si="25"/>
        <v/>
      </c>
      <c r="D106" s="6">
        <f t="shared" si="26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24"/>
        <v>0</v>
      </c>
    </row>
    <row r="107" spans="1:7" x14ac:dyDescent="0.25">
      <c r="A107" s="9">
        <f t="shared" si="23"/>
        <v>106</v>
      </c>
      <c r="B107" s="9">
        <f t="array" ref="B107">IF(C107="",0,IF(OR(C107=Country_Comparison!$S$10:$S$29),1,0))</f>
        <v>0</v>
      </c>
      <c r="C107" s="9" t="str">
        <f t="shared" si="25"/>
        <v/>
      </c>
      <c r="D107" s="6">
        <f t="shared" si="26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24"/>
        <v>0</v>
      </c>
    </row>
    <row r="108" spans="1:7" x14ac:dyDescent="0.25">
      <c r="A108" s="9">
        <f t="shared" si="23"/>
        <v>107</v>
      </c>
      <c r="B108" s="9">
        <f t="array" ref="B108">IF(C108="",0,IF(OR(C108=Country_Comparison!$S$10:$S$29),1,0))</f>
        <v>0</v>
      </c>
      <c r="C108" s="9" t="str">
        <f t="shared" si="25"/>
        <v/>
      </c>
      <c r="D108" s="6">
        <f t="shared" si="26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24"/>
        <v>0</v>
      </c>
    </row>
    <row r="109" spans="1:7" x14ac:dyDescent="0.25">
      <c r="A109" s="9">
        <f t="shared" si="23"/>
        <v>108</v>
      </c>
      <c r="B109" s="9">
        <f t="array" ref="B109">IF(C109="",0,IF(OR(C109=Country_Comparison!$S$10:$S$29),1,0))</f>
        <v>0</v>
      </c>
      <c r="C109" s="9" t="str">
        <f t="shared" si="25"/>
        <v/>
      </c>
      <c r="D109" s="6">
        <f t="shared" si="26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24"/>
        <v>0</v>
      </c>
    </row>
    <row r="110" spans="1:7" x14ac:dyDescent="0.25">
      <c r="A110" s="9">
        <f t="shared" si="23"/>
        <v>109</v>
      </c>
      <c r="B110" s="9">
        <f t="array" ref="B110">IF(C110="",0,IF(OR(C110=Country_Comparison!$S$10:$S$29),1,0))</f>
        <v>0</v>
      </c>
      <c r="C110" s="9" t="str">
        <f t="shared" si="25"/>
        <v/>
      </c>
      <c r="D110" s="6">
        <f t="shared" si="26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24"/>
        <v>0</v>
      </c>
    </row>
    <row r="111" spans="1:7" x14ac:dyDescent="0.25">
      <c r="A111" s="9">
        <f t="shared" si="23"/>
        <v>110</v>
      </c>
      <c r="B111" s="9">
        <f t="array" ref="B111">IF(C111="",0,IF(OR(C111=Country_Comparison!$S$10:$S$29),1,0))</f>
        <v>0</v>
      </c>
      <c r="C111" s="9" t="str">
        <f t="shared" si="25"/>
        <v/>
      </c>
      <c r="D111" s="6">
        <f t="shared" si="26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24"/>
        <v>0</v>
      </c>
    </row>
    <row r="112" spans="1:7" x14ac:dyDescent="0.25">
      <c r="A112" s="9">
        <f t="shared" si="23"/>
        <v>111</v>
      </c>
      <c r="B112" s="9">
        <f t="array" ref="B112">IF(C112="",0,IF(OR(C112=Country_Comparison!$S$10:$S$29),1,0))</f>
        <v>0</v>
      </c>
      <c r="C112" s="9" t="str">
        <f t="shared" si="25"/>
        <v/>
      </c>
      <c r="D112" s="6">
        <f t="shared" si="26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24"/>
        <v>0</v>
      </c>
    </row>
    <row r="113" spans="1:7" x14ac:dyDescent="0.25">
      <c r="A113" s="9">
        <f t="shared" si="23"/>
        <v>112</v>
      </c>
      <c r="B113" s="9">
        <f t="array" ref="B113">IF(C113="",0,IF(OR(C113=Country_Comparison!$S$10:$S$29),1,0))</f>
        <v>0</v>
      </c>
      <c r="C113" s="9" t="str">
        <f t="shared" si="25"/>
        <v/>
      </c>
      <c r="D113" s="6">
        <f t="shared" si="26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24"/>
        <v>0</v>
      </c>
    </row>
    <row r="114" spans="1:7" x14ac:dyDescent="0.25">
      <c r="A114" s="9">
        <f t="shared" si="23"/>
        <v>113</v>
      </c>
      <c r="B114" s="9">
        <f t="array" ref="B114">IF(C114="",0,IF(OR(C114=Country_Comparison!$S$10:$S$29),1,0))</f>
        <v>0</v>
      </c>
      <c r="C114" s="9" t="str">
        <f t="shared" si="25"/>
        <v/>
      </c>
      <c r="D114" s="6">
        <f t="shared" si="26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24"/>
        <v>0</v>
      </c>
    </row>
    <row r="115" spans="1:7" x14ac:dyDescent="0.25">
      <c r="A115" s="9">
        <f t="shared" si="23"/>
        <v>114</v>
      </c>
      <c r="B115" s="9">
        <f t="array" ref="B115">IF(C115="",0,IF(OR(C115=Country_Comparison!$S$10:$S$29),1,0))</f>
        <v>0</v>
      </c>
      <c r="C115" s="9" t="str">
        <f t="shared" si="25"/>
        <v/>
      </c>
      <c r="D115" s="6">
        <f t="shared" si="26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24"/>
        <v>0</v>
      </c>
    </row>
    <row r="116" spans="1:7" x14ac:dyDescent="0.25">
      <c r="A116" s="9">
        <f t="shared" si="23"/>
        <v>115</v>
      </c>
      <c r="B116" s="9">
        <f t="array" ref="B116">IF(C116="",0,IF(OR(C116=Country_Comparison!$S$10:$S$29),1,0))</f>
        <v>0</v>
      </c>
      <c r="C116" s="9" t="str">
        <f t="shared" si="25"/>
        <v/>
      </c>
      <c r="D116" s="6">
        <f t="shared" si="26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24"/>
        <v>0</v>
      </c>
    </row>
    <row r="117" spans="1:7" x14ac:dyDescent="0.25">
      <c r="A117" s="9">
        <f t="shared" si="23"/>
        <v>116</v>
      </c>
      <c r="B117" s="9">
        <f t="array" ref="B117">IF(C117="",0,IF(OR(C117=Country_Comparison!$S$10:$S$29),1,0))</f>
        <v>0</v>
      </c>
      <c r="C117" s="9" t="str">
        <f t="shared" si="25"/>
        <v/>
      </c>
      <c r="D117" s="6">
        <f t="shared" si="26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24"/>
        <v>0</v>
      </c>
    </row>
    <row r="118" spans="1:7" x14ac:dyDescent="0.25">
      <c r="A118" s="9">
        <f t="shared" si="23"/>
        <v>117</v>
      </c>
      <c r="B118" s="9">
        <f t="array" ref="B118">IF(C118="",0,IF(OR(C118=Country_Comparison!$S$10:$S$29),1,0))</f>
        <v>0</v>
      </c>
      <c r="C118" s="9" t="str">
        <f t="shared" si="25"/>
        <v/>
      </c>
      <c r="D118" s="6">
        <f t="shared" si="26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24"/>
        <v>0</v>
      </c>
    </row>
    <row r="119" spans="1:7" x14ac:dyDescent="0.25">
      <c r="A119" s="9">
        <f t="shared" si="23"/>
        <v>118</v>
      </c>
      <c r="B119" s="9">
        <f t="array" ref="B119">IF(C119="",0,IF(OR(C119=Country_Comparison!$S$10:$S$29),1,0))</f>
        <v>0</v>
      </c>
      <c r="C119" s="9" t="str">
        <f t="shared" si="25"/>
        <v/>
      </c>
      <c r="D119" s="6">
        <f t="shared" si="26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24"/>
        <v>0</v>
      </c>
    </row>
    <row r="120" spans="1:7" x14ac:dyDescent="0.25">
      <c r="A120" s="9">
        <f t="shared" si="23"/>
        <v>119</v>
      </c>
      <c r="B120" s="9">
        <f t="array" ref="B120">IF(C120="",0,IF(OR(C120=Country_Comparison!$S$10:$S$29),1,0))</f>
        <v>0</v>
      </c>
      <c r="C120" s="9" t="str">
        <f t="shared" si="25"/>
        <v/>
      </c>
      <c r="D120" s="6">
        <f t="shared" si="26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24"/>
        <v>0</v>
      </c>
    </row>
    <row r="121" spans="1:7" x14ac:dyDescent="0.25">
      <c r="A121" s="9">
        <f t="shared" si="23"/>
        <v>120</v>
      </c>
      <c r="B121" s="9">
        <f t="array" ref="B121">IF(C121="",0,IF(OR(C121=Country_Comparison!$S$10:$S$29),1,0))</f>
        <v>0</v>
      </c>
      <c r="C121" s="9" t="str">
        <f t="shared" si="25"/>
        <v/>
      </c>
      <c r="D121" s="6">
        <f t="shared" si="26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24"/>
        <v>0</v>
      </c>
    </row>
    <row r="122" spans="1:7" x14ac:dyDescent="0.25">
      <c r="A122" s="9">
        <f t="shared" si="23"/>
        <v>121</v>
      </c>
      <c r="B122" s="9">
        <f t="array" ref="B122">IF(C122="",0,IF(OR(C122=Country_Comparison!$S$10:$S$29),1,0))</f>
        <v>0</v>
      </c>
      <c r="C122" s="9" t="str">
        <f t="shared" si="25"/>
        <v/>
      </c>
      <c r="D122" s="6">
        <f t="shared" si="26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24"/>
        <v>0</v>
      </c>
    </row>
    <row r="123" spans="1:7" x14ac:dyDescent="0.25">
      <c r="A123" s="9">
        <f t="shared" si="23"/>
        <v>122</v>
      </c>
      <c r="B123" s="9">
        <f t="array" ref="B123">IF(C123="",0,IF(OR(C123=Country_Comparison!$S$10:$S$29),1,0))</f>
        <v>0</v>
      </c>
      <c r="C123" s="9" t="str">
        <f t="shared" si="25"/>
        <v/>
      </c>
      <c r="D123" s="6">
        <f t="shared" si="26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24"/>
        <v>0</v>
      </c>
    </row>
    <row r="124" spans="1:7" x14ac:dyDescent="0.25">
      <c r="A124" s="9">
        <f t="shared" si="23"/>
        <v>123</v>
      </c>
      <c r="B124" s="9">
        <f t="array" ref="B124">IF(C124="",0,IF(OR(C124=Country_Comparison!$S$10:$S$29),1,0))</f>
        <v>0</v>
      </c>
      <c r="C124" s="9" t="str">
        <f t="shared" si="25"/>
        <v/>
      </c>
      <c r="D124" s="6">
        <f t="shared" si="26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24"/>
        <v>0</v>
      </c>
    </row>
    <row r="125" spans="1:7" x14ac:dyDescent="0.25">
      <c r="A125" s="9">
        <f t="shared" si="23"/>
        <v>124</v>
      </c>
      <c r="B125" s="9">
        <f t="array" ref="B125">IF(C125="",0,IF(OR(C125=Country_Comparison!$S$10:$S$29),1,0))</f>
        <v>0</v>
      </c>
      <c r="C125" s="9" t="str">
        <f t="shared" si="25"/>
        <v/>
      </c>
      <c r="D125" s="6">
        <f t="shared" si="26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24"/>
        <v>0</v>
      </c>
    </row>
    <row r="126" spans="1:7" x14ac:dyDescent="0.25">
      <c r="A126" s="9">
        <f t="shared" si="23"/>
        <v>125</v>
      </c>
      <c r="B126" s="9">
        <f t="array" ref="B126">IF(C126="",0,IF(OR(C126=Country_Comparison!$S$10:$S$29),1,0))</f>
        <v>0</v>
      </c>
      <c r="C126" s="9" t="str">
        <f t="shared" si="25"/>
        <v/>
      </c>
      <c r="D126" s="6">
        <f t="shared" si="26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24"/>
        <v>0</v>
      </c>
    </row>
    <row r="127" spans="1:7" x14ac:dyDescent="0.25">
      <c r="A127" s="9">
        <f t="shared" si="23"/>
        <v>126</v>
      </c>
      <c r="B127" s="9">
        <f t="array" ref="B127">IF(C127="",0,IF(OR(C127=Country_Comparison!$S$10:$S$29),1,0))</f>
        <v>0</v>
      </c>
      <c r="C127" s="9" t="str">
        <f t="shared" si="25"/>
        <v/>
      </c>
      <c r="D127" s="6">
        <f t="shared" si="26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24"/>
        <v>0</v>
      </c>
    </row>
    <row r="128" spans="1:7" x14ac:dyDescent="0.25">
      <c r="A128" s="9">
        <f t="shared" si="23"/>
        <v>127</v>
      </c>
      <c r="B128" s="9">
        <f t="array" ref="B128">IF(C128="",0,IF(OR(C128=Country_Comparison!$S$10:$S$29),1,0))</f>
        <v>0</v>
      </c>
      <c r="C128" s="9" t="str">
        <f t="shared" si="25"/>
        <v/>
      </c>
      <c r="D128" s="6">
        <f t="shared" si="26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24"/>
        <v>0</v>
      </c>
    </row>
    <row r="129" spans="1:7" x14ac:dyDescent="0.25">
      <c r="A129" s="9">
        <f t="shared" si="23"/>
        <v>128</v>
      </c>
      <c r="B129" s="9">
        <f t="array" ref="B129">IF(C129="",0,IF(OR(C129=Country_Comparison!$S$10:$S$29),1,0))</f>
        <v>0</v>
      </c>
      <c r="C129" s="9" t="str">
        <f t="shared" si="25"/>
        <v/>
      </c>
      <c r="D129" s="6">
        <f t="shared" si="26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24"/>
        <v>0</v>
      </c>
    </row>
    <row r="130" spans="1:7" x14ac:dyDescent="0.25">
      <c r="A130" s="9">
        <f t="shared" ref="A130:A161" si="27">A129+1</f>
        <v>129</v>
      </c>
      <c r="B130" s="9">
        <f t="array" ref="B130">IF(C130="",0,IF(OR(C130=Country_Comparison!$S$10:$S$29),1,0))</f>
        <v>0</v>
      </c>
      <c r="C130" s="9" t="str">
        <f t="shared" si="25"/>
        <v/>
      </c>
      <c r="D130" s="6">
        <f t="shared" si="26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ref="G130:G161" si="28">IF(COUNTIF(I130:XFD130,"&gt;"&amp;0)=0,,(E130/F130)^(1/MIN(COUNTIF(I130:XFD130,"&gt;"&amp;0)-1,$F$1)))</f>
        <v>0</v>
      </c>
    </row>
    <row r="131" spans="1:7" x14ac:dyDescent="0.25">
      <c r="A131" s="9">
        <f t="shared" si="27"/>
        <v>130</v>
      </c>
      <c r="B131" s="9">
        <f t="array" ref="B131">IF(C131="",0,IF(OR(C131=Country_Comparison!$S$10:$S$29),1,0))</f>
        <v>0</v>
      </c>
      <c r="C131" s="9" t="str">
        <f t="shared" si="25"/>
        <v/>
      </c>
      <c r="D131" s="6">
        <f t="shared" si="26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28"/>
        <v>0</v>
      </c>
    </row>
    <row r="132" spans="1:7" x14ac:dyDescent="0.25">
      <c r="A132" s="9">
        <f t="shared" si="27"/>
        <v>131</v>
      </c>
      <c r="B132" s="9">
        <f t="array" ref="B132">IF(C132="",0,IF(OR(C132=Country_Comparison!$S$10:$S$29),1,0))</f>
        <v>0</v>
      </c>
      <c r="C132" s="9" t="str">
        <f t="shared" si="25"/>
        <v/>
      </c>
      <c r="D132" s="6">
        <f t="shared" si="26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28"/>
        <v>0</v>
      </c>
    </row>
    <row r="133" spans="1:7" x14ac:dyDescent="0.25">
      <c r="A133" s="9">
        <f t="shared" si="27"/>
        <v>132</v>
      </c>
      <c r="B133" s="9">
        <f t="array" ref="B133">IF(C133="",0,IF(OR(C133=Country_Comparison!$S$10:$S$29),1,0))</f>
        <v>0</v>
      </c>
      <c r="C133" s="9" t="str">
        <f t="shared" ref="C133:C164" si="29">IF(H133="","",H133)</f>
        <v/>
      </c>
      <c r="D133" s="6">
        <f t="shared" ref="D133:D164" si="30"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28"/>
        <v>0</v>
      </c>
    </row>
    <row r="134" spans="1:7" x14ac:dyDescent="0.25">
      <c r="A134" s="9">
        <f t="shared" si="27"/>
        <v>133</v>
      </c>
      <c r="B134" s="9">
        <f t="array" ref="B134">IF(C134="",0,IF(OR(C134=Country_Comparison!$S$10:$S$29),1,0))</f>
        <v>0</v>
      </c>
      <c r="C134" s="9" t="str">
        <f t="shared" si="29"/>
        <v/>
      </c>
      <c r="D134" s="6">
        <f t="shared" si="30"/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si="28"/>
        <v>0</v>
      </c>
    </row>
    <row r="135" spans="1:7" x14ac:dyDescent="0.25">
      <c r="A135" s="9">
        <f t="shared" si="27"/>
        <v>134</v>
      </c>
      <c r="B135" s="9">
        <f t="array" ref="B135">IF(C135="",0,IF(OR(C135=Country_Comparison!$S$10:$S$29),1,0))</f>
        <v>0</v>
      </c>
      <c r="C135" s="9" t="str">
        <f t="shared" si="29"/>
        <v/>
      </c>
      <c r="D135" s="6">
        <f t="shared" si="30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28"/>
        <v>0</v>
      </c>
    </row>
    <row r="136" spans="1:7" x14ac:dyDescent="0.25">
      <c r="A136" s="9">
        <f t="shared" si="27"/>
        <v>135</v>
      </c>
      <c r="B136" s="9">
        <f t="array" ref="B136">IF(C136="",0,IF(OR(C136=Country_Comparison!$S$10:$S$29),1,0))</f>
        <v>0</v>
      </c>
      <c r="C136" s="9" t="str">
        <f t="shared" si="29"/>
        <v/>
      </c>
      <c r="D136" s="6">
        <f t="shared" si="30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28"/>
        <v>0</v>
      </c>
    </row>
    <row r="137" spans="1:7" x14ac:dyDescent="0.25">
      <c r="A137" s="9">
        <f t="shared" si="27"/>
        <v>136</v>
      </c>
      <c r="B137" s="9">
        <f t="array" ref="B137">IF(C137="",0,IF(OR(C137=Country_Comparison!$S$10:$S$29),1,0))</f>
        <v>0</v>
      </c>
      <c r="C137" s="9" t="str">
        <f t="shared" si="29"/>
        <v/>
      </c>
      <c r="D137" s="6">
        <f t="shared" si="30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28"/>
        <v>0</v>
      </c>
    </row>
    <row r="138" spans="1:7" x14ac:dyDescent="0.25">
      <c r="A138" s="9">
        <f t="shared" si="27"/>
        <v>137</v>
      </c>
      <c r="B138" s="9">
        <f t="array" ref="B138">IF(C138="",0,IF(OR(C138=Country_Comparison!$S$10:$S$29),1,0))</f>
        <v>0</v>
      </c>
      <c r="C138" s="9" t="str">
        <f t="shared" si="29"/>
        <v/>
      </c>
      <c r="D138" s="6">
        <f t="shared" si="30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28"/>
        <v>0</v>
      </c>
    </row>
    <row r="139" spans="1:7" x14ac:dyDescent="0.25">
      <c r="A139" s="9">
        <f t="shared" si="27"/>
        <v>138</v>
      </c>
      <c r="B139" s="9">
        <f t="array" ref="B139">IF(C139="",0,IF(OR(C139=Country_Comparison!$S$10:$S$29),1,0))</f>
        <v>0</v>
      </c>
      <c r="C139" s="9" t="str">
        <f t="shared" si="29"/>
        <v/>
      </c>
      <c r="D139" s="6">
        <f t="shared" si="30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28"/>
        <v>0</v>
      </c>
    </row>
    <row r="140" spans="1:7" x14ac:dyDescent="0.25">
      <c r="A140" s="9">
        <f t="shared" si="27"/>
        <v>139</v>
      </c>
      <c r="B140" s="9">
        <f t="array" ref="B140">IF(C140="",0,IF(OR(C140=Country_Comparison!$S$10:$S$29),1,0))</f>
        <v>0</v>
      </c>
      <c r="C140" s="9" t="str">
        <f t="shared" si="29"/>
        <v/>
      </c>
      <c r="D140" s="6">
        <f t="shared" si="30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28"/>
        <v>0</v>
      </c>
    </row>
    <row r="141" spans="1:7" x14ac:dyDescent="0.25">
      <c r="A141" s="9">
        <f t="shared" si="27"/>
        <v>140</v>
      </c>
      <c r="B141" s="9">
        <f t="array" ref="B141">IF(C141="",0,IF(OR(C141=Country_Comparison!$S$10:$S$29),1,0))</f>
        <v>0</v>
      </c>
      <c r="C141" s="9" t="str">
        <f t="shared" si="29"/>
        <v/>
      </c>
      <c r="D141" s="6">
        <f t="shared" si="30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28"/>
        <v>0</v>
      </c>
    </row>
    <row r="142" spans="1:7" x14ac:dyDescent="0.25">
      <c r="A142" s="9">
        <f t="shared" si="27"/>
        <v>141</v>
      </c>
      <c r="B142" s="9">
        <f t="array" ref="B142">IF(C142="",0,IF(OR(C142=Country_Comparison!$S$10:$S$29),1,0))</f>
        <v>0</v>
      </c>
      <c r="C142" s="9" t="str">
        <f t="shared" si="29"/>
        <v/>
      </c>
      <c r="D142" s="6">
        <f t="shared" si="30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28"/>
        <v>0</v>
      </c>
    </row>
    <row r="143" spans="1:7" x14ac:dyDescent="0.25">
      <c r="A143" s="9">
        <f t="shared" si="27"/>
        <v>142</v>
      </c>
      <c r="B143" s="9">
        <f t="array" ref="B143">IF(C143="",0,IF(OR(C143=Country_Comparison!$S$10:$S$29),1,0))</f>
        <v>0</v>
      </c>
      <c r="C143" s="9" t="str">
        <f t="shared" si="29"/>
        <v/>
      </c>
      <c r="D143" s="6">
        <f t="shared" si="30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28"/>
        <v>0</v>
      </c>
    </row>
    <row r="144" spans="1:7" x14ac:dyDescent="0.25">
      <c r="A144" s="9">
        <f t="shared" si="27"/>
        <v>143</v>
      </c>
      <c r="B144" s="9">
        <f t="array" ref="B144">IF(C144="",0,IF(OR(C144=Country_Comparison!$S$10:$S$29),1,0))</f>
        <v>0</v>
      </c>
      <c r="C144" s="9" t="str">
        <f t="shared" si="29"/>
        <v/>
      </c>
      <c r="D144" s="6">
        <f t="shared" si="30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28"/>
        <v>0</v>
      </c>
    </row>
    <row r="145" spans="1:7" x14ac:dyDescent="0.25">
      <c r="A145" s="9">
        <f t="shared" si="27"/>
        <v>144</v>
      </c>
      <c r="B145" s="9">
        <f t="array" ref="B145">IF(C145="",0,IF(OR(C145=Country_Comparison!$S$10:$S$29),1,0))</f>
        <v>0</v>
      </c>
      <c r="C145" s="9" t="str">
        <f t="shared" si="29"/>
        <v/>
      </c>
      <c r="D145" s="6">
        <f t="shared" si="30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28"/>
        <v>0</v>
      </c>
    </row>
    <row r="146" spans="1:7" x14ac:dyDescent="0.25">
      <c r="A146" s="9">
        <f t="shared" si="27"/>
        <v>145</v>
      </c>
      <c r="B146" s="9">
        <f t="array" ref="B146">IF(C146="",0,IF(OR(C146=Country_Comparison!$S$10:$S$29),1,0))</f>
        <v>0</v>
      </c>
      <c r="C146" s="9" t="str">
        <f t="shared" si="29"/>
        <v/>
      </c>
      <c r="D146" s="6">
        <f t="shared" si="30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28"/>
        <v>0</v>
      </c>
    </row>
    <row r="147" spans="1:7" x14ac:dyDescent="0.25">
      <c r="A147" s="9">
        <f t="shared" si="27"/>
        <v>146</v>
      </c>
      <c r="B147" s="9">
        <f t="array" ref="B147">IF(C147="",0,IF(OR(C147=Country_Comparison!$S$10:$S$29),1,0))</f>
        <v>0</v>
      </c>
      <c r="C147" s="9" t="str">
        <f t="shared" si="29"/>
        <v/>
      </c>
      <c r="D147" s="6">
        <f t="shared" si="30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28"/>
        <v>0</v>
      </c>
    </row>
    <row r="148" spans="1:7" x14ac:dyDescent="0.25">
      <c r="A148" s="9">
        <f t="shared" si="27"/>
        <v>147</v>
      </c>
      <c r="B148" s="9">
        <f t="array" ref="B148">IF(C148="",0,IF(OR(C148=Country_Comparison!$S$10:$S$29),1,0))</f>
        <v>0</v>
      </c>
      <c r="C148" s="9" t="str">
        <f t="shared" si="29"/>
        <v/>
      </c>
      <c r="D148" s="6">
        <f t="shared" si="30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28"/>
        <v>0</v>
      </c>
    </row>
    <row r="149" spans="1:7" x14ac:dyDescent="0.25">
      <c r="A149" s="9">
        <f t="shared" si="27"/>
        <v>148</v>
      </c>
      <c r="B149" s="9">
        <f t="array" ref="B149">IF(C149="",0,IF(OR(C149=Country_Comparison!$S$10:$S$29),1,0))</f>
        <v>0</v>
      </c>
      <c r="C149" s="9" t="str">
        <f t="shared" si="29"/>
        <v/>
      </c>
      <c r="D149" s="6">
        <f t="shared" si="30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28"/>
        <v>0</v>
      </c>
    </row>
    <row r="150" spans="1:7" x14ac:dyDescent="0.25">
      <c r="A150" s="9">
        <f t="shared" si="27"/>
        <v>149</v>
      </c>
      <c r="B150" s="9">
        <f t="array" ref="B150">IF(C150="",0,IF(OR(C150=Country_Comparison!$S$10:$S$29),1,0))</f>
        <v>0</v>
      </c>
      <c r="C150" s="9" t="str">
        <f t="shared" si="29"/>
        <v/>
      </c>
      <c r="D150" s="6">
        <f t="shared" si="30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28"/>
        <v>0</v>
      </c>
    </row>
    <row r="151" spans="1:7" x14ac:dyDescent="0.25">
      <c r="A151" s="9">
        <f t="shared" si="27"/>
        <v>150</v>
      </c>
      <c r="B151" s="9">
        <f t="array" ref="B151">IF(C151="",0,IF(OR(C151=Country_Comparison!$S$10:$S$29),1,0))</f>
        <v>0</v>
      </c>
      <c r="C151" s="9" t="str">
        <f t="shared" si="29"/>
        <v/>
      </c>
      <c r="D151" s="6">
        <f t="shared" si="30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28"/>
        <v>0</v>
      </c>
    </row>
    <row r="152" spans="1:7" x14ac:dyDescent="0.25">
      <c r="A152" s="9">
        <f t="shared" si="27"/>
        <v>151</v>
      </c>
      <c r="B152" s="9">
        <f t="array" ref="B152">IF(C152="",0,IF(OR(C152=Country_Comparison!$S$10:$S$29),1,0))</f>
        <v>0</v>
      </c>
      <c r="C152" s="9" t="str">
        <f t="shared" si="29"/>
        <v/>
      </c>
      <c r="D152" s="6">
        <f t="shared" si="30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28"/>
        <v>0</v>
      </c>
    </row>
    <row r="153" spans="1:7" x14ac:dyDescent="0.25">
      <c r="A153" s="9">
        <f t="shared" si="27"/>
        <v>152</v>
      </c>
      <c r="B153" s="9">
        <f t="array" ref="B153">IF(C153="",0,IF(OR(C153=Country_Comparison!$S$10:$S$29),1,0))</f>
        <v>0</v>
      </c>
      <c r="C153" s="9" t="str">
        <f t="shared" si="29"/>
        <v/>
      </c>
      <c r="D153" s="6">
        <f t="shared" si="30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28"/>
        <v>0</v>
      </c>
    </row>
    <row r="154" spans="1:7" x14ac:dyDescent="0.25">
      <c r="A154" s="9">
        <f t="shared" si="27"/>
        <v>153</v>
      </c>
      <c r="B154" s="9">
        <f t="array" ref="B154">IF(C154="",0,IF(OR(C154=Country_Comparison!$S$10:$S$29),1,0))</f>
        <v>0</v>
      </c>
      <c r="C154" s="9" t="str">
        <f t="shared" si="29"/>
        <v/>
      </c>
      <c r="D154" s="6">
        <f t="shared" si="30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28"/>
        <v>0</v>
      </c>
    </row>
    <row r="155" spans="1:7" x14ac:dyDescent="0.25">
      <c r="A155" s="9">
        <f t="shared" si="27"/>
        <v>154</v>
      </c>
      <c r="B155" s="9">
        <f t="array" ref="B155">IF(C155="",0,IF(OR(C155=Country_Comparison!$S$10:$S$29),1,0))</f>
        <v>0</v>
      </c>
      <c r="C155" s="9" t="str">
        <f t="shared" si="29"/>
        <v/>
      </c>
      <c r="D155" s="6">
        <f t="shared" si="30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28"/>
        <v>0</v>
      </c>
    </row>
    <row r="156" spans="1:7" x14ac:dyDescent="0.25">
      <c r="A156" s="9">
        <f t="shared" si="27"/>
        <v>155</v>
      </c>
      <c r="B156" s="9">
        <f t="array" ref="B156">IF(C156="",0,IF(OR(C156=Country_Comparison!$S$10:$S$29),1,0))</f>
        <v>0</v>
      </c>
      <c r="C156" s="9" t="str">
        <f t="shared" si="29"/>
        <v/>
      </c>
      <c r="D156" s="6">
        <f t="shared" si="30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28"/>
        <v>0</v>
      </c>
    </row>
    <row r="157" spans="1:7" x14ac:dyDescent="0.25">
      <c r="A157" s="9">
        <f t="shared" si="27"/>
        <v>156</v>
      </c>
      <c r="B157" s="9">
        <f t="array" ref="B157">IF(C157="",0,IF(OR(C157=Country_Comparison!$S$10:$S$29),1,0))</f>
        <v>0</v>
      </c>
      <c r="C157" s="9" t="str">
        <f t="shared" si="29"/>
        <v/>
      </c>
      <c r="D157" s="6">
        <f t="shared" si="30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28"/>
        <v>0</v>
      </c>
    </row>
    <row r="158" spans="1:7" x14ac:dyDescent="0.25">
      <c r="A158" s="9">
        <f t="shared" si="27"/>
        <v>157</v>
      </c>
      <c r="B158" s="9">
        <f t="array" ref="B158">IF(C158="",0,IF(OR(C158=Country_Comparison!$S$10:$S$29),1,0))</f>
        <v>0</v>
      </c>
      <c r="C158" s="9" t="str">
        <f t="shared" si="29"/>
        <v/>
      </c>
      <c r="D158" s="6">
        <f t="shared" si="30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28"/>
        <v>0</v>
      </c>
    </row>
    <row r="159" spans="1:7" x14ac:dyDescent="0.25">
      <c r="A159" s="9">
        <f t="shared" si="27"/>
        <v>158</v>
      </c>
      <c r="B159" s="9">
        <f t="array" ref="B159">IF(C159="",0,IF(OR(C159=Country_Comparison!$S$10:$S$29),1,0))</f>
        <v>0</v>
      </c>
      <c r="C159" s="9" t="str">
        <f t="shared" si="29"/>
        <v/>
      </c>
      <c r="D159" s="6">
        <f t="shared" si="30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28"/>
        <v>0</v>
      </c>
    </row>
    <row r="160" spans="1:7" x14ac:dyDescent="0.25">
      <c r="A160" s="9">
        <f t="shared" si="27"/>
        <v>159</v>
      </c>
      <c r="B160" s="9">
        <f t="array" ref="B160">IF(C160="",0,IF(OR(C160=Country_Comparison!$S$10:$S$29),1,0))</f>
        <v>0</v>
      </c>
      <c r="C160" s="9" t="str">
        <f t="shared" si="29"/>
        <v/>
      </c>
      <c r="D160" s="6">
        <f t="shared" si="30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28"/>
        <v>0</v>
      </c>
    </row>
    <row r="161" spans="1:7" x14ac:dyDescent="0.25">
      <c r="A161" s="9">
        <f t="shared" si="27"/>
        <v>160</v>
      </c>
      <c r="B161" s="9">
        <f t="array" ref="B161">IF(C161="",0,IF(OR(C161=Country_Comparison!$S$10:$S$29),1,0))</f>
        <v>0</v>
      </c>
      <c r="C161" s="9" t="str">
        <f t="shared" si="29"/>
        <v/>
      </c>
      <c r="D161" s="6">
        <f t="shared" si="30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28"/>
        <v>0</v>
      </c>
    </row>
    <row r="162" spans="1:7" x14ac:dyDescent="0.25">
      <c r="A162" s="9">
        <f t="shared" ref="A162:A193" si="31">A161+1</f>
        <v>161</v>
      </c>
      <c r="B162" s="9">
        <f t="array" ref="B162">IF(C162="",0,IF(OR(C162=Country_Comparison!$S$10:$S$29),1,0))</f>
        <v>0</v>
      </c>
      <c r="C162" s="9" t="str">
        <f t="shared" si="29"/>
        <v/>
      </c>
      <c r="D162" s="6">
        <f t="shared" si="30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ref="G162:G193" si="32">IF(COUNTIF(I162:XFD162,"&gt;"&amp;0)=0,,(E162/F162)^(1/MIN(COUNTIF(I162:XFD162,"&gt;"&amp;0)-1,$F$1)))</f>
        <v>0</v>
      </c>
    </row>
    <row r="163" spans="1:7" x14ac:dyDescent="0.25">
      <c r="A163" s="9">
        <f t="shared" si="31"/>
        <v>162</v>
      </c>
      <c r="B163" s="9">
        <f t="array" ref="B163">IF(C163="",0,IF(OR(C163=Country_Comparison!$S$10:$S$29),1,0))</f>
        <v>0</v>
      </c>
      <c r="C163" s="9" t="str">
        <f t="shared" si="29"/>
        <v/>
      </c>
      <c r="D163" s="6">
        <f t="shared" si="30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32"/>
        <v>0</v>
      </c>
    </row>
    <row r="164" spans="1:7" x14ac:dyDescent="0.25">
      <c r="A164" s="9">
        <f t="shared" si="31"/>
        <v>163</v>
      </c>
      <c r="B164" s="9">
        <f t="array" ref="B164">IF(C164="",0,IF(OR(C164=Country_Comparison!$S$10:$S$29),1,0))</f>
        <v>0</v>
      </c>
      <c r="C164" s="9" t="str">
        <f t="shared" si="29"/>
        <v/>
      </c>
      <c r="D164" s="6">
        <f t="shared" si="30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32"/>
        <v>0</v>
      </c>
    </row>
    <row r="165" spans="1:7" x14ac:dyDescent="0.25">
      <c r="A165" s="9">
        <f t="shared" si="31"/>
        <v>164</v>
      </c>
      <c r="B165" s="9">
        <f t="array" ref="B165">IF(C165="",0,IF(OR(C165=Country_Comparison!$S$10:$S$29),1,0))</f>
        <v>0</v>
      </c>
      <c r="C165" s="9" t="str">
        <f t="shared" ref="C165:C200" si="33">IF(H165="","",H165)</f>
        <v/>
      </c>
      <c r="D165" s="6">
        <f t="shared" ref="D165:D200" si="34"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32"/>
        <v>0</v>
      </c>
    </row>
    <row r="166" spans="1:7" x14ac:dyDescent="0.25">
      <c r="A166" s="9">
        <f t="shared" si="31"/>
        <v>165</v>
      </c>
      <c r="B166" s="9">
        <f t="array" ref="B166">IF(C166="",0,IF(OR(C166=Country_Comparison!$S$10:$S$29),1,0))</f>
        <v>0</v>
      </c>
      <c r="C166" s="9" t="str">
        <f t="shared" si="33"/>
        <v/>
      </c>
      <c r="D166" s="6">
        <f t="shared" si="34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32"/>
        <v>0</v>
      </c>
    </row>
    <row r="167" spans="1:7" x14ac:dyDescent="0.25">
      <c r="A167" s="9">
        <f t="shared" si="31"/>
        <v>166</v>
      </c>
      <c r="B167" s="9">
        <f t="array" ref="B167">IF(C167="",0,IF(OR(C167=Country_Comparison!$S$10:$S$29),1,0))</f>
        <v>0</v>
      </c>
      <c r="C167" s="9" t="str">
        <f t="shared" si="33"/>
        <v/>
      </c>
      <c r="D167" s="6">
        <f t="shared" si="34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32"/>
        <v>0</v>
      </c>
    </row>
    <row r="168" spans="1:7" x14ac:dyDescent="0.25">
      <c r="A168" s="9">
        <f t="shared" si="31"/>
        <v>167</v>
      </c>
      <c r="B168" s="9">
        <f t="array" ref="B168">IF(C168="",0,IF(OR(C168=Country_Comparison!$S$10:$S$29),1,0))</f>
        <v>0</v>
      </c>
      <c r="C168" s="9" t="str">
        <f t="shared" si="33"/>
        <v/>
      </c>
      <c r="D168" s="6">
        <f t="shared" si="34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32"/>
        <v>0</v>
      </c>
    </row>
    <row r="169" spans="1:7" x14ac:dyDescent="0.25">
      <c r="A169" s="9">
        <f t="shared" si="31"/>
        <v>168</v>
      </c>
      <c r="B169" s="9">
        <f t="array" ref="B169">IF(C169="",0,IF(OR(C169=Country_Comparison!$S$10:$S$29),1,0))</f>
        <v>0</v>
      </c>
      <c r="C169" s="9" t="str">
        <f t="shared" si="33"/>
        <v/>
      </c>
      <c r="D169" s="6">
        <f t="shared" si="34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32"/>
        <v>0</v>
      </c>
    </row>
    <row r="170" spans="1:7" x14ac:dyDescent="0.25">
      <c r="A170" s="9">
        <f t="shared" si="31"/>
        <v>169</v>
      </c>
      <c r="B170" s="9">
        <f t="array" ref="B170">IF(C170="",0,IF(OR(C170=Country_Comparison!$S$10:$S$29),1,0))</f>
        <v>0</v>
      </c>
      <c r="C170" s="9" t="str">
        <f t="shared" si="33"/>
        <v/>
      </c>
      <c r="D170" s="6">
        <f t="shared" si="34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32"/>
        <v>0</v>
      </c>
    </row>
    <row r="171" spans="1:7" x14ac:dyDescent="0.25">
      <c r="A171" s="9">
        <f t="shared" si="31"/>
        <v>170</v>
      </c>
      <c r="B171" s="9">
        <f t="array" ref="B171">IF(C171="",0,IF(OR(C171=Country_Comparison!$S$10:$S$29),1,0))</f>
        <v>0</v>
      </c>
      <c r="C171" s="9" t="str">
        <f t="shared" si="33"/>
        <v/>
      </c>
      <c r="D171" s="6">
        <f t="shared" si="34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32"/>
        <v>0</v>
      </c>
    </row>
    <row r="172" spans="1:7" x14ac:dyDescent="0.25">
      <c r="A172" s="9">
        <f t="shared" si="31"/>
        <v>171</v>
      </c>
      <c r="B172" s="9">
        <f t="array" ref="B172">IF(C172="",0,IF(OR(C172=Country_Comparison!$S$10:$S$29),1,0))</f>
        <v>0</v>
      </c>
      <c r="C172" s="9" t="str">
        <f t="shared" si="33"/>
        <v/>
      </c>
      <c r="D172" s="6">
        <f t="shared" si="34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32"/>
        <v>0</v>
      </c>
    </row>
    <row r="173" spans="1:7" x14ac:dyDescent="0.25">
      <c r="A173" s="9">
        <f t="shared" si="31"/>
        <v>172</v>
      </c>
      <c r="B173" s="9">
        <f t="array" ref="B173">IF(C173="",0,IF(OR(C173=Country_Comparison!$S$10:$S$29),1,0))</f>
        <v>0</v>
      </c>
      <c r="C173" s="9" t="str">
        <f t="shared" si="33"/>
        <v/>
      </c>
      <c r="D173" s="6">
        <f t="shared" si="34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32"/>
        <v>0</v>
      </c>
    </row>
    <row r="174" spans="1:7" x14ac:dyDescent="0.25">
      <c r="A174" s="9">
        <f t="shared" si="31"/>
        <v>173</v>
      </c>
      <c r="B174" s="9">
        <f t="array" ref="B174">IF(C174="",0,IF(OR(C174=Country_Comparison!$S$10:$S$29),1,0))</f>
        <v>0</v>
      </c>
      <c r="C174" s="9" t="str">
        <f t="shared" si="33"/>
        <v/>
      </c>
      <c r="D174" s="6">
        <f t="shared" si="34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32"/>
        <v>0</v>
      </c>
    </row>
    <row r="175" spans="1:7" x14ac:dyDescent="0.25">
      <c r="A175" s="9">
        <f t="shared" si="31"/>
        <v>174</v>
      </c>
      <c r="B175" s="9">
        <f t="array" ref="B175">IF(C175="",0,IF(OR(C175=Country_Comparison!$S$10:$S$29),1,0))</f>
        <v>0</v>
      </c>
      <c r="C175" s="9" t="str">
        <f t="shared" si="33"/>
        <v/>
      </c>
      <c r="D175" s="6">
        <f t="shared" si="34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32"/>
        <v>0</v>
      </c>
    </row>
    <row r="176" spans="1:7" x14ac:dyDescent="0.25">
      <c r="A176" s="9">
        <f t="shared" si="31"/>
        <v>175</v>
      </c>
      <c r="B176" s="9">
        <f t="array" ref="B176">IF(C176="",0,IF(OR(C176=Country_Comparison!$S$10:$S$29),1,0))</f>
        <v>0</v>
      </c>
      <c r="C176" s="9" t="str">
        <f t="shared" si="33"/>
        <v/>
      </c>
      <c r="D176" s="6">
        <f t="shared" si="34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32"/>
        <v>0</v>
      </c>
    </row>
    <row r="177" spans="1:7" x14ac:dyDescent="0.25">
      <c r="A177" s="9">
        <f t="shared" si="31"/>
        <v>176</v>
      </c>
      <c r="B177" s="9">
        <f t="array" ref="B177">IF(C177="",0,IF(OR(C177=Country_Comparison!$S$10:$S$29),1,0))</f>
        <v>0</v>
      </c>
      <c r="C177" s="9" t="str">
        <f t="shared" si="33"/>
        <v/>
      </c>
      <c r="D177" s="6">
        <f t="shared" si="34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32"/>
        <v>0</v>
      </c>
    </row>
    <row r="178" spans="1:7" x14ac:dyDescent="0.25">
      <c r="A178" s="9">
        <f t="shared" si="31"/>
        <v>177</v>
      </c>
      <c r="B178" s="9">
        <f t="array" ref="B178">IF(C178="",0,IF(OR(C178=Country_Comparison!$S$10:$S$29),1,0))</f>
        <v>0</v>
      </c>
      <c r="C178" s="9" t="str">
        <f t="shared" si="33"/>
        <v/>
      </c>
      <c r="D178" s="6">
        <f t="shared" si="34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32"/>
        <v>0</v>
      </c>
    </row>
    <row r="179" spans="1:7" x14ac:dyDescent="0.25">
      <c r="A179" s="9">
        <f t="shared" si="31"/>
        <v>178</v>
      </c>
      <c r="B179" s="9">
        <f t="array" ref="B179">IF(C179="",0,IF(OR(C179=Country_Comparison!$S$10:$S$29),1,0))</f>
        <v>0</v>
      </c>
      <c r="C179" s="9" t="str">
        <f t="shared" si="33"/>
        <v/>
      </c>
      <c r="D179" s="6">
        <f t="shared" si="34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32"/>
        <v>0</v>
      </c>
    </row>
    <row r="180" spans="1:7" x14ac:dyDescent="0.25">
      <c r="A180" s="9">
        <f t="shared" si="31"/>
        <v>179</v>
      </c>
      <c r="B180" s="9">
        <f t="array" ref="B180">IF(C180="",0,IF(OR(C180=Country_Comparison!$S$10:$S$29),1,0))</f>
        <v>0</v>
      </c>
      <c r="C180" s="9" t="str">
        <f t="shared" si="33"/>
        <v/>
      </c>
      <c r="D180" s="6">
        <f t="shared" si="34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32"/>
        <v>0</v>
      </c>
    </row>
    <row r="181" spans="1:7" x14ac:dyDescent="0.25">
      <c r="A181" s="9">
        <f t="shared" si="31"/>
        <v>180</v>
      </c>
      <c r="B181" s="9">
        <f t="array" ref="B181">IF(C181="",0,IF(OR(C181=Country_Comparison!$S$10:$S$29),1,0))</f>
        <v>0</v>
      </c>
      <c r="C181" s="9" t="str">
        <f t="shared" si="33"/>
        <v/>
      </c>
      <c r="D181" s="6">
        <f t="shared" si="34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32"/>
        <v>0</v>
      </c>
    </row>
    <row r="182" spans="1:7" x14ac:dyDescent="0.25">
      <c r="A182" s="9">
        <f t="shared" si="31"/>
        <v>181</v>
      </c>
      <c r="B182" s="9">
        <f t="array" ref="B182">IF(C182="",0,IF(OR(C182=Country_Comparison!$S$10:$S$29),1,0))</f>
        <v>0</v>
      </c>
      <c r="C182" s="9" t="str">
        <f t="shared" si="33"/>
        <v/>
      </c>
      <c r="D182" s="6">
        <f t="shared" si="34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32"/>
        <v>0</v>
      </c>
    </row>
    <row r="183" spans="1:7" x14ac:dyDescent="0.25">
      <c r="A183" s="9">
        <f t="shared" si="31"/>
        <v>182</v>
      </c>
      <c r="B183" s="9">
        <f t="array" ref="B183">IF(C183="",0,IF(OR(C183=Country_Comparison!$S$10:$S$29),1,0))</f>
        <v>0</v>
      </c>
      <c r="C183" s="9" t="str">
        <f t="shared" si="33"/>
        <v/>
      </c>
      <c r="D183" s="6">
        <f t="shared" si="34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32"/>
        <v>0</v>
      </c>
    </row>
    <row r="184" spans="1:7" x14ac:dyDescent="0.25">
      <c r="A184" s="9">
        <f t="shared" si="31"/>
        <v>183</v>
      </c>
      <c r="B184" s="9">
        <f t="array" ref="B184">IF(C184="",0,IF(OR(C184=Country_Comparison!$S$10:$S$29),1,0))</f>
        <v>0</v>
      </c>
      <c r="C184" s="9" t="str">
        <f t="shared" si="33"/>
        <v/>
      </c>
      <c r="D184" s="6">
        <f t="shared" si="34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32"/>
        <v>0</v>
      </c>
    </row>
    <row r="185" spans="1:7" x14ac:dyDescent="0.25">
      <c r="A185" s="9">
        <f t="shared" si="31"/>
        <v>184</v>
      </c>
      <c r="B185" s="9">
        <f t="array" ref="B185">IF(C185="",0,IF(OR(C185=Country_Comparison!$S$10:$S$29),1,0))</f>
        <v>0</v>
      </c>
      <c r="C185" s="9" t="str">
        <f t="shared" si="33"/>
        <v/>
      </c>
      <c r="D185" s="6">
        <f t="shared" si="34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32"/>
        <v>0</v>
      </c>
    </row>
    <row r="186" spans="1:7" x14ac:dyDescent="0.25">
      <c r="A186" s="9">
        <f t="shared" si="31"/>
        <v>185</v>
      </c>
      <c r="B186" s="9">
        <f t="array" ref="B186">IF(C186="",0,IF(OR(C186=Country_Comparison!$S$10:$S$29),1,0))</f>
        <v>0</v>
      </c>
      <c r="C186" s="9" t="str">
        <f t="shared" si="33"/>
        <v/>
      </c>
      <c r="D186" s="6">
        <f t="shared" si="34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32"/>
        <v>0</v>
      </c>
    </row>
    <row r="187" spans="1:7" x14ac:dyDescent="0.25">
      <c r="A187" s="9">
        <f t="shared" si="31"/>
        <v>186</v>
      </c>
      <c r="B187" s="9">
        <f t="array" ref="B187">IF(C187="",0,IF(OR(C187=Country_Comparison!$S$10:$S$29),1,0))</f>
        <v>0</v>
      </c>
      <c r="C187" s="9" t="str">
        <f t="shared" si="33"/>
        <v/>
      </c>
      <c r="D187" s="6">
        <f t="shared" si="34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32"/>
        <v>0</v>
      </c>
    </row>
    <row r="188" spans="1:7" x14ac:dyDescent="0.25">
      <c r="A188" s="9">
        <f t="shared" si="31"/>
        <v>187</v>
      </c>
      <c r="B188" s="9">
        <f t="array" ref="B188">IF(C188="",0,IF(OR(C188=Country_Comparison!$S$10:$S$29),1,0))</f>
        <v>0</v>
      </c>
      <c r="C188" s="9" t="str">
        <f t="shared" si="33"/>
        <v/>
      </c>
      <c r="D188" s="6">
        <f t="shared" si="34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32"/>
        <v>0</v>
      </c>
    </row>
    <row r="189" spans="1:7" x14ac:dyDescent="0.25">
      <c r="A189" s="9">
        <f t="shared" si="31"/>
        <v>188</v>
      </c>
      <c r="B189" s="9">
        <f t="array" ref="B189">IF(C189="",0,IF(OR(C189=Country_Comparison!$S$10:$S$29),1,0))</f>
        <v>0</v>
      </c>
      <c r="C189" s="9" t="str">
        <f t="shared" si="33"/>
        <v/>
      </c>
      <c r="D189" s="6">
        <f t="shared" si="34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32"/>
        <v>0</v>
      </c>
    </row>
    <row r="190" spans="1:7" x14ac:dyDescent="0.25">
      <c r="A190" s="9">
        <f t="shared" si="31"/>
        <v>189</v>
      </c>
      <c r="B190" s="9">
        <f t="array" ref="B190">IF(C190="",0,IF(OR(C190=Country_Comparison!$S$10:$S$29),1,0))</f>
        <v>0</v>
      </c>
      <c r="C190" s="9" t="str">
        <f t="shared" si="33"/>
        <v/>
      </c>
      <c r="D190" s="6">
        <f t="shared" si="34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32"/>
        <v>0</v>
      </c>
    </row>
    <row r="191" spans="1:7" x14ac:dyDescent="0.25">
      <c r="A191" s="9">
        <f t="shared" si="31"/>
        <v>190</v>
      </c>
      <c r="B191" s="9">
        <f t="array" ref="B191">IF(C191="",0,IF(OR(C191=Country_Comparison!$S$10:$S$29),1,0))</f>
        <v>0</v>
      </c>
      <c r="C191" s="9" t="str">
        <f t="shared" si="33"/>
        <v/>
      </c>
      <c r="D191" s="6">
        <f t="shared" si="34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32"/>
        <v>0</v>
      </c>
    </row>
    <row r="192" spans="1:7" x14ac:dyDescent="0.25">
      <c r="A192" s="9">
        <f t="shared" si="31"/>
        <v>191</v>
      </c>
      <c r="B192" s="9">
        <f t="array" ref="B192">IF(C192="",0,IF(OR(C192=Country_Comparison!$S$10:$S$29),1,0))</f>
        <v>0</v>
      </c>
      <c r="C192" s="9" t="str">
        <f t="shared" si="33"/>
        <v/>
      </c>
      <c r="D192" s="6">
        <f t="shared" si="34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32"/>
        <v>0</v>
      </c>
    </row>
    <row r="193" spans="1:7" x14ac:dyDescent="0.25">
      <c r="A193" s="9">
        <f t="shared" si="31"/>
        <v>192</v>
      </c>
      <c r="B193" s="9">
        <f t="array" ref="B193">IF(C193="",0,IF(OR(C193=Country_Comparison!$S$10:$S$29),1,0))</f>
        <v>0</v>
      </c>
      <c r="C193" s="9" t="str">
        <f t="shared" si="33"/>
        <v/>
      </c>
      <c r="D193" s="6">
        <f t="shared" si="34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32"/>
        <v>0</v>
      </c>
    </row>
    <row r="194" spans="1:7" x14ac:dyDescent="0.25">
      <c r="A194" s="9">
        <f t="shared" ref="A194:A200" si="35">A193+1</f>
        <v>193</v>
      </c>
      <c r="B194" s="9">
        <f t="array" ref="B194">IF(C194="",0,IF(OR(C194=Country_Comparison!$S$10:$S$29),1,0))</f>
        <v>0</v>
      </c>
      <c r="C194" s="9" t="str">
        <f t="shared" si="33"/>
        <v/>
      </c>
      <c r="D194" s="6">
        <f t="shared" si="34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ref="G194:G225" si="36">IF(COUNTIF(I194:XFD194,"&gt;"&amp;0)=0,,(E194/F194)^(1/MIN(COUNTIF(I194:XFD194,"&gt;"&amp;0)-1,$F$1)))</f>
        <v>0</v>
      </c>
    </row>
    <row r="195" spans="1:7" x14ac:dyDescent="0.25">
      <c r="A195" s="9">
        <f t="shared" si="35"/>
        <v>194</v>
      </c>
      <c r="B195" s="9">
        <f t="array" ref="B195">IF(C195="",0,IF(OR(C195=Country_Comparison!$S$10:$S$29),1,0))</f>
        <v>0</v>
      </c>
      <c r="C195" s="9" t="str">
        <f t="shared" si="33"/>
        <v/>
      </c>
      <c r="D195" s="6">
        <f t="shared" si="34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36"/>
        <v>0</v>
      </c>
    </row>
    <row r="196" spans="1:7" x14ac:dyDescent="0.25">
      <c r="A196" s="9">
        <f t="shared" si="35"/>
        <v>195</v>
      </c>
      <c r="B196" s="9">
        <f t="array" ref="B196">IF(C196="",0,IF(OR(C196=Country_Comparison!$S$10:$S$29),1,0))</f>
        <v>0</v>
      </c>
      <c r="C196" s="9" t="str">
        <f t="shared" si="33"/>
        <v/>
      </c>
      <c r="D196" s="6">
        <f t="shared" si="34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36"/>
        <v>0</v>
      </c>
    </row>
    <row r="197" spans="1:7" x14ac:dyDescent="0.25">
      <c r="A197" s="9">
        <f t="shared" si="35"/>
        <v>196</v>
      </c>
      <c r="B197" s="9">
        <f t="array" ref="B197">IF(C197="",0,IF(OR(C197=Country_Comparison!$S$10:$S$29),1,0))</f>
        <v>0</v>
      </c>
      <c r="C197" s="9" t="str">
        <f t="shared" si="33"/>
        <v/>
      </c>
      <c r="D197" s="6">
        <f t="shared" si="34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36"/>
        <v>0</v>
      </c>
    </row>
    <row r="198" spans="1:7" x14ac:dyDescent="0.25">
      <c r="A198" s="9">
        <f t="shared" si="35"/>
        <v>197</v>
      </c>
      <c r="B198" s="9">
        <f t="array" ref="B198">IF(C198="",0,IF(OR(C198=Country_Comparison!$S$10:$S$29),1,0))</f>
        <v>0</v>
      </c>
      <c r="C198" s="9" t="str">
        <f t="shared" si="33"/>
        <v/>
      </c>
      <c r="D198" s="6">
        <f t="shared" si="34"/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si="36"/>
        <v>0</v>
      </c>
    </row>
    <row r="199" spans="1:7" x14ac:dyDescent="0.25">
      <c r="A199" s="9">
        <f t="shared" si="35"/>
        <v>198</v>
      </c>
      <c r="B199" s="9">
        <f t="array" ref="B199">IF(C199="",0,IF(OR(C199=Country_Comparison!$S$10:$S$29),1,0))</f>
        <v>0</v>
      </c>
      <c r="C199" s="9" t="str">
        <f t="shared" si="33"/>
        <v/>
      </c>
      <c r="D199" s="6">
        <f t="shared" si="34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36"/>
        <v>0</v>
      </c>
    </row>
    <row r="200" spans="1:7" x14ac:dyDescent="0.25">
      <c r="A200" s="9">
        <f t="shared" si="35"/>
        <v>199</v>
      </c>
      <c r="B200" s="9">
        <f t="array" ref="B200">IF(C200="",0,IF(OR(C200=Country_Comparison!$S$10:$S$29),1,0))</f>
        <v>0</v>
      </c>
      <c r="C200" s="9" t="str">
        <f t="shared" si="33"/>
        <v/>
      </c>
      <c r="D200" s="6">
        <f t="shared" si="34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36"/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81782</v>
      </c>
      <c r="G2" s="41">
        <f>MAX(CumulativeDead!2:2)</f>
        <v>3291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4.0241128854760215E-2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80589</v>
      </c>
      <c r="G3" s="41">
        <f>MAX(CumulativeDead!3:3)</f>
        <v>8215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0.10193698891908325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29406</v>
      </c>
      <c r="G4" s="41">
        <f>MAX(CumulativeDead!4:4)</f>
        <v>2234</v>
      </c>
      <c r="J4" s="41">
        <v>83992949</v>
      </c>
      <c r="K4" s="52">
        <v>0</v>
      </c>
      <c r="L4" s="41">
        <v>0</v>
      </c>
      <c r="M4" s="69">
        <f t="shared" si="0"/>
        <v>7.5970890294497717E-2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9241</v>
      </c>
      <c r="G5" s="41">
        <f>MAX(CumulativeDead!5:5)</f>
        <v>131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1.4175954983226923E-2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57786</v>
      </c>
      <c r="G6" s="41">
        <f>MAX(CumulativeDead!6:6)</f>
        <v>4365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7.5537327380334335E-2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43938</v>
      </c>
      <c r="G7" s="41">
        <f>MAX(CumulativeDead!7:7)</f>
        <v>267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6.0767445036187355E-3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29551</v>
      </c>
      <c r="G8" s="41">
        <f>MAX(CumulativeDead!8:8)</f>
        <v>1698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5.7459984433690908E-2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83836</v>
      </c>
      <c r="G9" s="41">
        <f>MAX(CumulativeDead!9:9)</f>
        <v>1209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1.4421012452884203E-2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11811</v>
      </c>
      <c r="G10" s="41">
        <f>MAX(CumulativeDead!10:10)</f>
        <v>191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1.6171365676064687E-2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3369</v>
      </c>
      <c r="G11" s="41">
        <f>MAX(CumulativeDead!11:11)</f>
        <v>14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4.1555357672899973E-3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2840</v>
      </c>
      <c r="G12" s="41">
        <f>MAX(CumulativeDead!12:12)</f>
        <v>77</v>
      </c>
      <c r="J12" s="41">
        <v>10099265</v>
      </c>
      <c r="K12" s="52">
        <v>5.8</v>
      </c>
      <c r="L12" s="41">
        <v>585.75736999999992</v>
      </c>
      <c r="M12" s="69">
        <f t="shared" si="0"/>
        <v>2.7112676056338027E-2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2023</v>
      </c>
      <c r="G13" s="41">
        <f>MAX(CumulativeDead!13:13)</f>
        <v>41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2.0266930301532378E-2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7468</v>
      </c>
      <c r="G14" s="41">
        <f>MAX(CumulativeDead!14:14)</f>
        <v>435</v>
      </c>
      <c r="J14" s="41">
        <v>17134872</v>
      </c>
      <c r="K14" s="52">
        <v>0</v>
      </c>
      <c r="L14" s="41">
        <v>0</v>
      </c>
      <c r="M14" s="69">
        <f t="shared" si="0"/>
        <v>5.8248527048741297E-2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11812</v>
      </c>
      <c r="G15" s="41">
        <f>MAX(CumulativeDead!15:15)</f>
        <v>580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4.9102607517778528E-2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1387</v>
      </c>
      <c r="G16" s="41">
        <f>MAX(CumulativeDead!16:16)</f>
        <v>47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3.3886085075702954E-2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6235</v>
      </c>
      <c r="G18" s="41">
        <f>MAX(CumulativeDead!18:18)</f>
        <v>220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3.5284683239775461E-2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6909</v>
      </c>
      <c r="G19" s="41">
        <f>MAX(CumulativeDead!19:19)</f>
        <v>49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7.0921985815602835E-3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549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2810</v>
      </c>
      <c r="G21" s="41">
        <f>MAX(CumulativeDead!21:21)</f>
        <v>13</v>
      </c>
      <c r="J21" s="41">
        <v>25499884</v>
      </c>
      <c r="K21" s="52">
        <v>0</v>
      </c>
      <c r="L21" s="41">
        <v>0</v>
      </c>
      <c r="M21" s="69">
        <f t="shared" si="0"/>
        <v>4.6263345195729534E-3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683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2.9282576866764276E-3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2031</v>
      </c>
      <c r="G23" s="41">
        <f>MAX(CumulativeDead!23:23)</f>
        <v>23</v>
      </c>
      <c r="J23" s="41">
        <v>32365999</v>
      </c>
      <c r="K23" s="52">
        <v>0</v>
      </c>
      <c r="L23" s="41">
        <v>0</v>
      </c>
      <c r="M23" s="69">
        <f t="shared" si="0"/>
        <v>1.1324470704086657E-2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4042</v>
      </c>
      <c r="G24" s="41">
        <f>MAX(CumulativeDead!24:24)</f>
        <v>38</v>
      </c>
      <c r="J24" s="41">
        <v>37742154</v>
      </c>
      <c r="K24" s="52">
        <v>0</v>
      </c>
      <c r="L24" s="41">
        <v>0</v>
      </c>
      <c r="M24" s="69">
        <f t="shared" si="0"/>
        <v>9.4012864918357249E-3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892</v>
      </c>
      <c r="G25" s="41">
        <f>MAX(CumulativeDead!25:25)</f>
        <v>26</v>
      </c>
      <c r="J25" s="41">
        <v>10423054</v>
      </c>
      <c r="K25" s="52">
        <v>6</v>
      </c>
      <c r="L25" s="41">
        <v>625.38324</v>
      </c>
      <c r="M25" s="69">
        <f t="shared" si="0"/>
        <v>2.914798206278027E-2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458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8.7336244541484712E-3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2693</v>
      </c>
      <c r="G27" s="41">
        <f>MAX(CumulativeDead!27:27)</f>
        <v>8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2.9706646862235424E-3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958</v>
      </c>
      <c r="G28" s="41">
        <f>MAX(CumulativeDead!28:28)</f>
        <v>5</v>
      </c>
      <c r="J28" s="41">
        <v>5540720</v>
      </c>
      <c r="K28" s="52">
        <v>6.1</v>
      </c>
      <c r="L28" s="41">
        <v>337.98392000000001</v>
      </c>
      <c r="M28" s="69">
        <f t="shared" si="0"/>
        <v>5.2192066805845511E-3</v>
      </c>
      <c r="N28" s="52" t="e">
        <f>VLOOKUP(C28,Deaths_since_10!H:I,2,FALSE)</f>
        <v>#N/A</v>
      </c>
      <c r="O28" s="56" t="e">
        <f ca="1">OFFSET(CumulativeDead!B28,-A28,MATCH(Country_Data!N28,CumulativeDead!C28:BU28,0))</f>
        <v>#N/A</v>
      </c>
      <c r="P28" s="52" t="e">
        <f t="shared" ca="1" si="1"/>
        <v>#N/A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2985</v>
      </c>
      <c r="G29" s="41">
        <f>MAX(CumulativeDead!29:29)</f>
        <v>77</v>
      </c>
      <c r="J29" s="41">
        <v>212559417</v>
      </c>
      <c r="K29" s="52">
        <v>0</v>
      </c>
      <c r="L29" s="41">
        <v>0</v>
      </c>
      <c r="M29" s="69">
        <f t="shared" si="0"/>
        <v>2.579564489112228E-2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1925</v>
      </c>
      <c r="G30" s="41">
        <f>MAX(CumulativeDead!30:30)</f>
        <v>9</v>
      </c>
      <c r="J30" s="41">
        <v>10708981</v>
      </c>
      <c r="K30" s="52">
        <v>11.6</v>
      </c>
      <c r="L30" s="41">
        <v>1242.241796</v>
      </c>
      <c r="M30" s="69">
        <f t="shared" si="0"/>
        <v>4.6753246753246753E-3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562</v>
      </c>
      <c r="G31" s="41">
        <f>MAX(CumulativeDead!31:31)</f>
        <v>6</v>
      </c>
      <c r="J31" s="41">
        <v>2078938</v>
      </c>
      <c r="K31" s="52">
        <v>6.4</v>
      </c>
      <c r="L31" s="41">
        <v>133.05203200000003</v>
      </c>
      <c r="M31" s="69">
        <f t="shared" si="0"/>
        <v>1.0676156583629894E-2</v>
      </c>
      <c r="N31" s="52" t="e">
        <f>VLOOKUP(C31,Deaths_since_10!H:I,2,FALSE)</f>
        <v>#N/A</v>
      </c>
      <c r="O31" s="56" t="e">
        <f ca="1">OFFSET(CumulativeDead!B31,-A31,MATCH(Country_Data!N31,CumulativeDead!C31:BU31,0))</f>
        <v>#N/A</v>
      </c>
      <c r="P31" s="52" t="e">
        <f t="shared" ca="1" si="1"/>
        <v>#N/A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802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6.2344139650872821E-3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3544</v>
      </c>
      <c r="G33" s="41">
        <f>MAX(CumulativeDead!33:33)</f>
        <v>60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1.6930022573363433E-2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382</v>
      </c>
      <c r="G34" s="41">
        <f>MAX(CumulativeDead!34:34)</f>
        <v>36</v>
      </c>
      <c r="J34" s="41">
        <v>40222493</v>
      </c>
      <c r="K34" s="52">
        <v>0</v>
      </c>
      <c r="L34" s="41">
        <v>0</v>
      </c>
      <c r="M34" s="69">
        <f t="shared" ref="M34:M65" si="2">G34/F34</f>
        <v>9.4240837696335081E-2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1819</v>
      </c>
      <c r="G35" s="41">
        <f>MAX(CumulativeDead!35:35)</f>
        <v>19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1.0445299615173173E-2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1029</v>
      </c>
      <c r="G36" s="41">
        <f>MAX(CumulativeDead!36:36)</f>
        <v>23</v>
      </c>
      <c r="J36" s="41">
        <v>19237691</v>
      </c>
      <c r="K36" s="52">
        <v>21.4</v>
      </c>
      <c r="L36" s="41">
        <v>4116.8658740000001</v>
      </c>
      <c r="M36" s="69">
        <f t="shared" si="2"/>
        <v>2.2351797862001945E-2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1012</v>
      </c>
      <c r="G37" s="41">
        <f>MAX(CumulativeDead!37:37)</f>
        <v>3</v>
      </c>
      <c r="J37" s="41">
        <v>34813871</v>
      </c>
      <c r="K37" s="52">
        <v>0</v>
      </c>
      <c r="L37" s="41">
        <v>0</v>
      </c>
      <c r="M37" s="69">
        <f t="shared" si="2"/>
        <v>2.9644268774703555E-3</v>
      </c>
      <c r="N37" s="52" t="e">
        <f>VLOOKUP(C37,Deaths_since_10!H:I,2,FALSE)</f>
        <v>#N/A</v>
      </c>
      <c r="O37" s="56" t="e">
        <f ca="1">OFFSET(CumulativeDead!B37,-A37,MATCH(Country_Data!N37,CumulativeDead!C37:BU37,0))</f>
        <v>#N/A</v>
      </c>
      <c r="P37" s="52" t="e">
        <f t="shared" ca="1" si="3"/>
        <v>#N/A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333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6.006006006006006E-3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727</v>
      </c>
      <c r="G39" s="41">
        <f>MAX(CumulativeDead!39:39)</f>
        <v>20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2.7510316368638238E-2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495</v>
      </c>
      <c r="G40" s="41">
        <f>MAX(CumulativeDead!40:40)</f>
        <v>24</v>
      </c>
      <c r="J40" s="41">
        <v>102334404</v>
      </c>
      <c r="K40" s="52">
        <v>0</v>
      </c>
      <c r="L40" s="41">
        <v>0</v>
      </c>
      <c r="M40" s="69">
        <f t="shared" si="2"/>
        <v>4.8484848484848485E-2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208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208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0.10096153846153846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538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1.8587360594795538E-3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368</v>
      </c>
      <c r="G44" s="41">
        <f>MAX(CumulativeDead!44:44)</f>
        <v>6</v>
      </c>
      <c r="J44" s="41">
        <v>6825445</v>
      </c>
      <c r="K44" s="52">
        <v>0</v>
      </c>
      <c r="L44" s="41">
        <v>0</v>
      </c>
      <c r="M44" s="69">
        <f t="shared" si="2"/>
        <v>1.6304347826086956E-2</v>
      </c>
      <c r="N44" s="52" t="e">
        <f>VLOOKUP(C44,Deaths_since_10!H:I,2,FALSE)</f>
        <v>#N/A</v>
      </c>
      <c r="O44" s="56" t="e">
        <f ca="1">OFFSET(CumulativeDead!B44,-A44,MATCH(Country_Data!N44,CumulativeDead!C44:BU44,0))</f>
        <v>#N/A</v>
      </c>
      <c r="P44" s="52" t="e">
        <f t="shared" ca="1" si="3"/>
        <v>#N/A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1045</v>
      </c>
      <c r="G45" s="41">
        <f>MAX(CumulativeDead!45:45)</f>
        <v>4</v>
      </c>
      <c r="J45" s="41">
        <v>69799978</v>
      </c>
      <c r="K45" s="52">
        <v>0</v>
      </c>
      <c r="L45" s="41">
        <v>0</v>
      </c>
      <c r="M45" s="69">
        <f t="shared" si="2"/>
        <v>3.8277511961722489E-3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893</v>
      </c>
      <c r="G46" s="41">
        <f>MAX(CumulativeDead!46:46)</f>
        <v>78</v>
      </c>
      <c r="J46" s="41">
        <v>273523615</v>
      </c>
      <c r="K46" s="52">
        <v>0</v>
      </c>
      <c r="L46" s="41">
        <v>0</v>
      </c>
      <c r="M46" s="69">
        <f t="shared" si="2"/>
        <v>8.7346024636058228E-2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1221</v>
      </c>
      <c r="G47" s="41">
        <f>MAX(CumulativeDead!47:47)</f>
        <v>16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1.3104013104013105E-2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707</v>
      </c>
      <c r="G48" s="41">
        <f>MAX(CumulativeDead!48:48)</f>
        <v>45</v>
      </c>
      <c r="J48" s="41">
        <v>109581078</v>
      </c>
      <c r="K48" s="52">
        <v>0</v>
      </c>
      <c r="L48" s="41">
        <v>0</v>
      </c>
      <c r="M48" s="69">
        <f t="shared" si="2"/>
        <v>6.3649222065063654E-2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252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7.9365079365079361E-3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153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840</v>
      </c>
      <c r="G51" s="41">
        <f>MAX(CumulativeDead!51:51)</f>
        <v>3</v>
      </c>
      <c r="J51" s="41">
        <v>145934462</v>
      </c>
      <c r="K51" s="52">
        <v>0</v>
      </c>
      <c r="L51" s="41">
        <v>0</v>
      </c>
      <c r="M51" s="69">
        <f t="shared" si="2"/>
        <v>3.5714285714285713E-3</v>
      </c>
      <c r="N51" s="52" t="e">
        <f>VLOOKUP(C51,Deaths_since_10!H:I,2,FALSE)</f>
        <v>#N/A</v>
      </c>
      <c r="O51" s="56" t="e">
        <f ca="1">OFFSET(CumulativeDead!B51,-A51,MATCH(Country_Data!N51,CumulativeDead!C51:BU51,0))</f>
        <v>#N/A</v>
      </c>
      <c r="P51" s="52" t="e">
        <f t="shared" ca="1" si="3"/>
        <v>#N/A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1306</v>
      </c>
      <c r="G52" s="41">
        <f>MAX(CumulativeDead!52:52)</f>
        <v>4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3.0627871362940277E-3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114</v>
      </c>
      <c r="G53" s="41">
        <f>MAX(CumulativeDead!53:53)</f>
        <v>0</v>
      </c>
      <c r="J53" s="41">
        <v>437479</v>
      </c>
      <c r="K53" s="52" t="s">
        <v>512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384</v>
      </c>
      <c r="G54" s="41">
        <f>MAX(CumulativeDead!54:54)</f>
        <v>4</v>
      </c>
      <c r="J54" s="41">
        <v>8737371</v>
      </c>
      <c r="K54" s="52" t="s">
        <v>512</v>
      </c>
      <c r="L54" s="41" t="e">
        <v>#VALUE!</v>
      </c>
      <c r="M54" s="69">
        <f t="shared" si="2"/>
        <v>1.0416666666666666E-2</v>
      </c>
      <c r="N54" s="52" t="e">
        <f>VLOOKUP(C54,Deaths_since_10!H:I,2,FALSE)</f>
        <v>#N/A</v>
      </c>
      <c r="O54" s="56" t="e">
        <f ca="1">OFFSET(CumulativeDead!B54,-A54,MATCH(Country_Data!N54,CumulativeDead!C54:BU54,0))</f>
        <v>#N/A</v>
      </c>
      <c r="P54" s="52" t="e">
        <f t="shared" ca="1" si="3"/>
        <v>#N/A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1453</v>
      </c>
      <c r="G55" s="41">
        <f>MAX(CumulativeDead!55:55)</f>
        <v>9</v>
      </c>
      <c r="J55" s="41">
        <v>625978</v>
      </c>
      <c r="K55" s="52">
        <v>24.8</v>
      </c>
      <c r="L55" s="41">
        <v>155.24254400000001</v>
      </c>
      <c r="M55" s="69">
        <f t="shared" si="2"/>
        <v>6.1940812112869928E-3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174</v>
      </c>
      <c r="G56" s="41">
        <f>MAX(CumulativeDead!56:56)</f>
        <v>6</v>
      </c>
      <c r="J56" s="41">
        <v>2877797</v>
      </c>
      <c r="K56" s="52" t="s">
        <v>512</v>
      </c>
      <c r="L56" s="41" t="e">
        <v>#VALUE!</v>
      </c>
      <c r="M56" s="69">
        <f t="shared" si="2"/>
        <v>3.4482758620689655E-2</v>
      </c>
      <c r="N56" s="52" t="e">
        <f>VLOOKUP(C56,Deaths_since_10!H:I,2,FALSE)</f>
        <v>#N/A</v>
      </c>
      <c r="O56" s="56" t="e">
        <f ca="1">OFFSET(CumulativeDead!B56,-A56,MATCH(Country_Data!N56,CumulativeDead!C56:BU56,0))</f>
        <v>#N/A</v>
      </c>
      <c r="P56" s="52" t="e">
        <f t="shared" ca="1" si="3"/>
        <v>#N/A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495</v>
      </c>
      <c r="G57" s="41">
        <f>MAX(CumulativeDead!57:57)</f>
        <v>3</v>
      </c>
      <c r="J57" s="41">
        <v>4105267</v>
      </c>
      <c r="K57" s="52">
        <v>14.7</v>
      </c>
      <c r="L57" s="41">
        <v>603.47424899999999</v>
      </c>
      <c r="M57" s="69">
        <f t="shared" si="2"/>
        <v>6.0606060606060606E-3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226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4.4247787610619468E-3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502</v>
      </c>
      <c r="G59" s="41">
        <f>MAX(CumulativeDead!59:59)</f>
        <v>9</v>
      </c>
      <c r="J59" s="41">
        <v>45195774</v>
      </c>
      <c r="K59" s="52" t="s">
        <v>512</v>
      </c>
      <c r="L59" s="41" t="e">
        <v>#VALUE!</v>
      </c>
      <c r="M59" s="69">
        <f t="shared" si="2"/>
        <v>1.7928286852589643E-2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1201</v>
      </c>
      <c r="G60" s="41">
        <f>MAX(CumulativeDead!60:60)</f>
        <v>9</v>
      </c>
      <c r="J60" s="41">
        <v>220892340</v>
      </c>
      <c r="K60" s="52">
        <v>0</v>
      </c>
      <c r="L60" s="41">
        <v>0</v>
      </c>
      <c r="M60" s="69">
        <f t="shared" si="2"/>
        <v>7.4937552039966698E-3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580</v>
      </c>
      <c r="G61" s="41">
        <f>MAX(CumulativeDead!61:61)</f>
        <v>9</v>
      </c>
      <c r="J61" s="41">
        <v>32971854</v>
      </c>
      <c r="K61" s="52">
        <v>0</v>
      </c>
      <c r="L61" s="41">
        <v>0</v>
      </c>
      <c r="M61" s="69">
        <f t="shared" si="2"/>
        <v>1.5517241379310345E-2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86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558</v>
      </c>
      <c r="G63" s="41">
        <f>MAX(CumulativeDead!63:63)</f>
        <v>8</v>
      </c>
      <c r="J63" s="41">
        <v>4314767</v>
      </c>
      <c r="K63" s="52" t="s">
        <v>512</v>
      </c>
      <c r="L63" s="41" t="e">
        <v>#VALUE!</v>
      </c>
      <c r="M63" s="69">
        <f t="shared" si="2"/>
        <v>1.4336917562724014E-2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367</v>
      </c>
      <c r="G64" s="41">
        <f>MAX(CumulativeDead!64:64)</f>
        <v>25</v>
      </c>
      <c r="J64" s="41">
        <v>43851044</v>
      </c>
      <c r="K64" s="52" t="s">
        <v>512</v>
      </c>
      <c r="L64" s="41" t="e">
        <v>#VALUE!</v>
      </c>
      <c r="M64" s="69">
        <f t="shared" si="2"/>
        <v>6.8119891008174394E-2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79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927</v>
      </c>
      <c r="G66" s="41">
        <f>MAX(CumulativeDead!66:66)</f>
        <v>0</v>
      </c>
      <c r="J66" s="41">
        <v>59308690</v>
      </c>
      <c r="K66" s="52">
        <v>0</v>
      </c>
      <c r="L66" s="41">
        <v>0</v>
      </c>
      <c r="M66" s="69">
        <f t="shared" ref="M66:M97" si="4">G66/F66</f>
        <v>0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264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1.1363636363636364E-2</v>
      </c>
      <c r="N67" s="52" t="e">
        <f>VLOOKUP(C67,Deaths_since_10!H:I,2,FALSE)</f>
        <v>#N/A</v>
      </c>
      <c r="O67" s="56" t="e">
        <f ca="1">OFFSET(CumulativeDead!B67,-A67,MATCH(Country_Data!N67,CumulativeDead!C67:BU67,0))</f>
        <v>#N/A</v>
      </c>
      <c r="P67" s="52" t="e">
        <f t="shared" ca="1" si="5"/>
        <v>#N/A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231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8.658008658008658E-3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261</v>
      </c>
      <c r="G69" s="41">
        <f>MAX(CumulativeDead!69:69)</f>
        <v>10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3.8314176245210725E-2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109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1403</v>
      </c>
      <c r="G71" s="41">
        <f>MAX(CumulativeDead!71:71)</f>
        <v>34</v>
      </c>
      <c r="J71" s="41">
        <v>17643054</v>
      </c>
      <c r="K71" s="52">
        <v>0</v>
      </c>
      <c r="L71" s="41">
        <v>0</v>
      </c>
      <c r="M71" s="69">
        <f t="shared" si="4"/>
        <v>2.4233784746970778E-2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244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197</v>
      </c>
      <c r="G73" s="41">
        <f>MAX(CumulativeDead!73:73)</f>
        <v>6</v>
      </c>
      <c r="J73" s="41">
        <v>11818619</v>
      </c>
      <c r="K73" s="52" t="s">
        <v>512</v>
      </c>
      <c r="L73" s="41" t="e">
        <v>#VALUE!</v>
      </c>
      <c r="M73" s="69">
        <f t="shared" si="4"/>
        <v>3.0456852791878174E-2</v>
      </c>
      <c r="N73" s="52" t="e">
        <f>VLOOKUP(C73,Deaths_since_10!H:I,2,FALSE)</f>
        <v>#N/A</v>
      </c>
      <c r="O73" s="56" t="e">
        <f ca="1">OFFSET(CumulativeDead!B73,-A73,MATCH(Country_Data!N73,CumulativeDead!C73:BU73,0))</f>
        <v>#N/A</v>
      </c>
      <c r="P73" s="52" t="e">
        <f t="shared" ca="1" si="5"/>
        <v>#N/A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122</v>
      </c>
      <c r="G74" s="41">
        <f>MAX(CumulativeDead!74:74)</f>
        <v>3</v>
      </c>
      <c r="J74" s="41">
        <v>10139177</v>
      </c>
      <c r="K74" s="52" t="s">
        <v>512</v>
      </c>
      <c r="L74" s="41" t="e">
        <v>#VALUE!</v>
      </c>
      <c r="M74" s="69">
        <f t="shared" si="4"/>
        <v>2.4590163934426229E-2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146</v>
      </c>
      <c r="G75" s="41">
        <f>MAX(CumulativeDead!75:75)</f>
        <v>3</v>
      </c>
      <c r="J75" s="41">
        <v>1207359</v>
      </c>
      <c r="K75" s="52">
        <v>11.4</v>
      </c>
      <c r="L75" s="41">
        <v>137.638926</v>
      </c>
      <c r="M75" s="69">
        <f t="shared" si="4"/>
        <v>2.0547945205479451E-2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201</v>
      </c>
      <c r="G76" s="41">
        <f>MAX(CumulativeDead!76:76)</f>
        <v>3</v>
      </c>
      <c r="J76" s="41">
        <v>2083374</v>
      </c>
      <c r="K76" s="52" t="s">
        <v>512</v>
      </c>
      <c r="L76" s="41" t="e">
        <v>#VALUE!</v>
      </c>
      <c r="M76" s="69">
        <f t="shared" si="4"/>
        <v>1.4925373134328358E-2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191</v>
      </c>
      <c r="G77" s="41">
        <f>MAX(CumulativeDead!77:77)</f>
        <v>3</v>
      </c>
      <c r="J77" s="41">
        <v>3280819</v>
      </c>
      <c r="K77" s="52" t="s">
        <v>512</v>
      </c>
      <c r="L77" s="41" t="e">
        <v>#VALUE!</v>
      </c>
      <c r="M77" s="69">
        <f t="shared" si="4"/>
        <v>1.5706806282722512E-2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491</v>
      </c>
      <c r="G78" s="41">
        <f>MAX(CumulativeDead!78:78)</f>
        <v>6</v>
      </c>
      <c r="J78" s="41">
        <v>50882891</v>
      </c>
      <c r="K78" s="52" t="s">
        <v>512</v>
      </c>
      <c r="L78" s="41" t="e">
        <v>#VALUE!</v>
      </c>
      <c r="M78" s="69">
        <f t="shared" si="4"/>
        <v>1.2219959266802444E-2</v>
      </c>
      <c r="N78" s="52" t="e">
        <f>VLOOKUP(C78,Deaths_since_10!H:I,2,FALSE)</f>
        <v>#N/A</v>
      </c>
      <c r="O78" s="56" t="e">
        <f ca="1">OFFSET(CumulativeDead!B78,-A78,MATCH(Country_Data!N78,CumulativeDead!C78:BU78,0))</f>
        <v>#N/A</v>
      </c>
      <c r="P78" s="52" t="e">
        <f t="shared" ca="1" si="5"/>
        <v>#N/A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134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475</v>
      </c>
      <c r="G80" s="41">
        <f>MAX(CumulativeDead!80:80)</f>
        <v>6</v>
      </c>
      <c r="J80" s="41">
        <v>128932753</v>
      </c>
      <c r="K80" s="52" t="s">
        <v>512</v>
      </c>
      <c r="L80" s="41" t="e">
        <v>#VALUE!</v>
      </c>
      <c r="M80" s="69">
        <f t="shared" si="4"/>
        <v>1.2631578947368421E-2</v>
      </c>
      <c r="N80" s="52" t="e">
        <f>VLOOKUP(C80,Deaths_since_10!H:I,2,FALSE)</f>
        <v>#N/A</v>
      </c>
      <c r="O80" s="56" t="e">
        <f ca="1">OFFSET(CumulativeDead!B80,-A80,MATCH(Country_Data!N80,CumulativeDead!C80:BU80,0))</f>
        <v>#N/A</v>
      </c>
      <c r="P80" s="52" t="e">
        <f t="shared" ca="1" si="5"/>
        <v>#N/A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105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13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290</v>
      </c>
      <c r="G83" s="41">
        <f>MAX(CumulativeDead!83:83)</f>
        <v>1</v>
      </c>
      <c r="J83" s="41">
        <v>2963243</v>
      </c>
      <c r="K83" s="52" t="s">
        <v>512</v>
      </c>
      <c r="L83" s="41" t="e">
        <v>#VALUE!</v>
      </c>
      <c r="M83" s="69">
        <f t="shared" si="4"/>
        <v>3.4482758620689655E-3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26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3.8461538461538464E-2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 t="e">
        <f>VLOOKUP(C85,Days_Since_100!H:I,2,FALSE)</f>
        <v>#N/A</v>
      </c>
      <c r="E85" s="56" t="e">
        <f ca="1">OFFSET(CumulativeConfirmed!A85,-A85,MATCH(Country_Data!D85,CumulativeConfirmed!B85:BU85,0))</f>
        <v>#N/A</v>
      </c>
      <c r="F85" s="41">
        <f>MAX(CumulativeConfirmed!85:85)</f>
        <v>94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4.2553191489361701E-2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275</v>
      </c>
      <c r="G86" s="41">
        <f>MAX(CumulativeDead!86:86)</f>
        <v>11</v>
      </c>
      <c r="J86" s="41">
        <v>36910560</v>
      </c>
      <c r="K86" s="52" t="s">
        <v>512</v>
      </c>
      <c r="L86" s="41" t="e">
        <v>#VALUE!</v>
      </c>
      <c r="M86" s="69">
        <f t="shared" si="4"/>
        <v>0.04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299</v>
      </c>
      <c r="G87" s="41">
        <f>MAX(CumulativeDead!87:87)</f>
        <v>4</v>
      </c>
      <c r="J87" s="41">
        <v>2722289</v>
      </c>
      <c r="K87" s="52">
        <v>15.5</v>
      </c>
      <c r="L87" s="41">
        <v>421.95479499999999</v>
      </c>
      <c r="M87" s="69">
        <f t="shared" si="4"/>
        <v>1.3377926421404682E-2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177</v>
      </c>
      <c r="G88" s="41">
        <f>MAX(CumulativeDead!88:88)</f>
        <v>1</v>
      </c>
      <c r="J88" s="41">
        <v>4033963</v>
      </c>
      <c r="K88" s="52" t="s">
        <v>512</v>
      </c>
      <c r="L88" s="41" t="e">
        <v>#VALUE!</v>
      </c>
      <c r="M88" s="69">
        <f t="shared" si="4"/>
        <v>5.6497175141242938E-3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41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7.3170731707317069E-2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106</v>
      </c>
      <c r="G90" s="41">
        <f>MAX(CumulativeDead!90:90)</f>
        <v>0</v>
      </c>
      <c r="J90" s="41">
        <v>21413249</v>
      </c>
      <c r="K90" s="52" t="s">
        <v>512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 t="e">
        <f>VLOOKUP(C91,Days_Since_100!H:I,2,FALSE)</f>
        <v>#N/A</v>
      </c>
      <c r="E91" s="56" t="e">
        <f ca="1">OFFSET(CumulativeConfirmed!A91,-A91,MATCH(Country_Data!D91,CumulativeConfirmed!B91:BU91,0))</f>
        <v>#N/A</v>
      </c>
      <c r="F91" s="41">
        <f>MAX(CumulativeConfirmed!91:91)</f>
        <v>96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488</v>
      </c>
      <c r="G92" s="41">
        <f>MAX(CumulativeDead!92:92)</f>
        <v>10</v>
      </c>
      <c r="J92" s="41">
        <v>10847910</v>
      </c>
      <c r="K92" s="52" t="s">
        <v>512</v>
      </c>
      <c r="L92" s="41" t="e">
        <v>#VALUE!</v>
      </c>
      <c r="M92" s="69">
        <f t="shared" si="4"/>
        <v>2.0491803278688523E-2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283</v>
      </c>
      <c r="G94" s="41">
        <f>MAX(CumulativeDead!94:94)</f>
        <v>0</v>
      </c>
      <c r="J94" s="41">
        <v>4822233</v>
      </c>
      <c r="K94" s="52" t="s">
        <v>512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3629</v>
      </c>
      <c r="G96" s="41">
        <f>MAX(CumulativeDead!96:96)</f>
        <v>75</v>
      </c>
      <c r="J96" s="41">
        <v>84339067</v>
      </c>
      <c r="K96" s="52" t="s">
        <v>512</v>
      </c>
      <c r="L96" s="41" t="e">
        <v>#VALUE!</v>
      </c>
      <c r="M96" s="69">
        <f t="shared" si="4"/>
        <v>2.0666850372003307E-2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 t="e">
        <f>VLOOKUP(C97,Days_Since_100!H:I,2,FALSE)</f>
        <v>#N/A</v>
      </c>
      <c r="E97" s="56" t="e">
        <f ca="1">OFFSET(CumulativeConfirmed!A97,-A97,MATCH(Country_Data!D97,CumulativeConfirmed!B97:BU97,0))</f>
        <v>#N/A</v>
      </c>
      <c r="F97" s="41">
        <f>MAX(CumulativeConfirmed!97:97)</f>
        <v>67</v>
      </c>
      <c r="G97" s="41">
        <f>MAX(CumulativeDead!97:97)</f>
        <v>2</v>
      </c>
      <c r="J97" s="41">
        <v>11326616</v>
      </c>
      <c r="K97" s="52" t="s">
        <v>512</v>
      </c>
      <c r="L97" s="41" t="e">
        <v>#VALUE!</v>
      </c>
      <c r="M97" s="69">
        <f t="shared" si="4"/>
        <v>2.9850746268656716E-2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111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2.7027027027027029E-2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44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0.11363636363636363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43</v>
      </c>
      <c r="G100" s="41">
        <f>MAX(CumulativeDead!100:100)</f>
        <v>0</v>
      </c>
      <c r="J100" s="41">
        <v>11673021</v>
      </c>
      <c r="K100" s="52" t="s">
        <v>512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196</v>
      </c>
      <c r="G102" s="41">
        <f>MAX(CumulativeDead!102:102)</f>
        <v>5</v>
      </c>
      <c r="J102" s="41">
        <v>43733762</v>
      </c>
      <c r="K102" s="52" t="s">
        <v>512</v>
      </c>
      <c r="L102" s="41" t="e">
        <v>#VALUE!</v>
      </c>
      <c r="M102" s="69">
        <f t="shared" si="6"/>
        <v>2.5510204081632654E-2</v>
      </c>
      <c r="N102" s="52" t="e">
        <f>VLOOKUP(C102,Deaths_since_10!H:I,2,FALSE)</f>
        <v>#N/A</v>
      </c>
      <c r="O102" s="56" t="e">
        <f ca="1">OFFSET(CumulativeDead!B102,-A102,MATCH(Country_Data!N102,CumulativeDead!C102:BU102,0))</f>
        <v>#N/A</v>
      </c>
      <c r="P102" s="52" t="e">
        <f t="shared" ca="1" si="7"/>
        <v>#N/A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152</v>
      </c>
      <c r="G104" s="41">
        <f>MAX(CumulativeDead!104:104)</f>
        <v>7</v>
      </c>
      <c r="J104" s="41">
        <v>20903273</v>
      </c>
      <c r="K104" s="52" t="s">
        <v>512</v>
      </c>
      <c r="L104" s="41" t="e">
        <v>#VALUE!</v>
      </c>
      <c r="M104" s="69">
        <f t="shared" si="6"/>
        <v>4.6052631578947366E-2</v>
      </c>
      <c r="N104" s="52" t="e">
        <f>VLOOKUP(C104,Deaths_since_10!H:I,2,FALSE)</f>
        <v>#N/A</v>
      </c>
      <c r="O104" s="56" t="e">
        <f ca="1">OFFSET(CumulativeDead!B104,-A104,MATCH(Country_Data!N104,CumulativeDead!C104:BU104,0))</f>
        <v>#N/A</v>
      </c>
      <c r="P104" s="52" t="e">
        <f t="shared" ca="1" si="7"/>
        <v>#N/A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 t="e">
        <f>VLOOKUP(C105,Days_Since_100!H:I,2,FALSE)</f>
        <v>#N/A</v>
      </c>
      <c r="E105" s="56" t="e">
        <f ca="1">OFFSET(CumulativeConfirmed!A105,-A105,MATCH(Country_Data!D105,CumulativeConfirmed!B105:BU105,0))</f>
        <v>#N/A</v>
      </c>
      <c r="F105" s="41">
        <f>MAX(CumulativeConfirmed!105:105)</f>
        <v>75</v>
      </c>
      <c r="G105" s="41">
        <f>MAX(CumulativeDead!105:105)</f>
        <v>1</v>
      </c>
      <c r="J105" s="41">
        <v>26545863</v>
      </c>
      <c r="K105" s="52" t="s">
        <v>512</v>
      </c>
      <c r="L105" s="41" t="e">
        <v>#VALUE!</v>
      </c>
      <c r="M105" s="69">
        <f t="shared" si="6"/>
        <v>1.3333333333333334E-2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51</v>
      </c>
      <c r="G106" s="41">
        <f>MAX(CumulativeDead!106:106)</f>
        <v>3</v>
      </c>
      <c r="K106" s="52" t="s">
        <v>512</v>
      </c>
      <c r="L106" s="41" t="e">
        <v>#N/A</v>
      </c>
      <c r="M106" s="69">
        <f t="shared" si="6"/>
        <v>5.8823529411764705E-2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 t="e">
        <f>VLOOKUP(C107,Days_Since_100!H:I,2,FALSE)</f>
        <v>#N/A</v>
      </c>
      <c r="E107" s="56" t="e">
        <f ca="1">OFFSET(CumulativeConfirmed!A107,-A107,MATCH(Country_Data!D107,CumulativeConfirmed!B107:BU107,0))</f>
        <v>#N/A</v>
      </c>
      <c r="F107" s="41">
        <f>MAX(CumulativeConfirmed!107:107)</f>
        <v>52</v>
      </c>
      <c r="G107" s="41">
        <f>MAX(CumulativeDead!107:107)</f>
        <v>1</v>
      </c>
      <c r="J107" s="41">
        <v>9904607</v>
      </c>
      <c r="K107" s="52" t="s">
        <v>512</v>
      </c>
      <c r="L107" s="41" t="e">
        <v>#VALUE!</v>
      </c>
      <c r="M107" s="69">
        <f t="shared" si="6"/>
        <v>1.9230769230769232E-2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33</v>
      </c>
      <c r="G108" s="41">
        <f>MAX(CumulativeDead!108:108)</f>
        <v>0</v>
      </c>
      <c r="J108" s="41">
        <v>39242</v>
      </c>
      <c r="K108" s="52" t="s">
        <v>512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 t="e">
        <f>VLOOKUP(C109,Days_Since_100!H:I,2,FALSE)</f>
        <v>#N/A</v>
      </c>
      <c r="E109" s="56" t="e">
        <f ca="1">OFFSET(CumulativeConfirmed!A109,-A109,MATCH(Country_Data!D109,CumulativeConfirmed!B109:BU109,0))</f>
        <v>#N/A</v>
      </c>
      <c r="F109" s="41">
        <f>MAX(CumulativeConfirmed!109:109)</f>
        <v>65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1.5384615384615385E-2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224</v>
      </c>
      <c r="G110" s="41">
        <f>MAX(CumulativeDead!110:110)</f>
        <v>3</v>
      </c>
      <c r="J110" s="41">
        <v>77265</v>
      </c>
      <c r="K110" s="52" t="s">
        <v>512</v>
      </c>
      <c r="L110" s="41" t="e">
        <v>#VALUE!</v>
      </c>
      <c r="M110" s="69">
        <f t="shared" si="6"/>
        <v>1.3392857142857142E-2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2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 t="e">
        <f>VLOOKUP(C114,Days_Since_100!H:I,2,FALSE)</f>
        <v>#N/A</v>
      </c>
      <c r="E114" s="56" t="e">
        <f ca="1">OFFSET(CumulativeConfirmed!A114,-A114,MATCH(Country_Data!D114,CumulativeConfirmed!B114:BU114,0))</f>
        <v>#N/A</v>
      </c>
      <c r="F114" s="41">
        <f>MAX(CumulativeConfirmed!114:114)</f>
        <v>96</v>
      </c>
      <c r="G114" s="41">
        <f>MAX(CumulativeDead!114:114)</f>
        <v>0</v>
      </c>
      <c r="K114" s="52" t="s">
        <v>512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12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4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212</v>
      </c>
      <c r="G120" s="41">
        <f>MAX(CumulativeDead!120:120)</f>
        <v>0</v>
      </c>
      <c r="J120" s="41">
        <v>10203134</v>
      </c>
      <c r="K120" s="52" t="s">
        <v>512</v>
      </c>
      <c r="L120" s="41" t="e">
        <v>#VALUE!</v>
      </c>
      <c r="M120" s="69">
        <f t="shared" si="6"/>
        <v>0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31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3.2258064516129031E-2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11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3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0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23944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3664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16470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1266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154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80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2297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23944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1" activeCellId="1" sqref="B127:BU133 B1:C1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0</v>
      </c>
      <c r="BQ2">
        <f>SUMIF(ConfirmedRaw!$B:$B,$B2,ConfirmedRaw!BS:BS)</f>
        <v>0</v>
      </c>
      <c r="BR2">
        <f>SUMIF(ConfirmedRaw!$B:$B,$B2,ConfirmedRaw!BT:BT)</f>
        <v>0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0</v>
      </c>
      <c r="BQ3">
        <f>SUMIF(ConfirmedRaw!$B:$B,$B3,ConfirmedRaw!BS:BS)</f>
        <v>0</v>
      </c>
      <c r="BR3">
        <f>SUMIF(ConfirmedRaw!$B:$B,$B3,ConfirmedRaw!BT:BT)</f>
        <v>0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0</v>
      </c>
      <c r="BQ4">
        <f>SUMIF(ConfirmedRaw!$B:$B,$B4,ConfirmedRaw!BS:BS)</f>
        <v>0</v>
      </c>
      <c r="BR4">
        <f>SUMIF(ConfirmedRaw!$B:$B,$B4,ConfirmedRaw!BT:BT)</f>
        <v>0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0</v>
      </c>
      <c r="BQ5">
        <f>SUMIF(ConfirmedRaw!$B:$B,$B5,ConfirmedRaw!BS:BS)</f>
        <v>0</v>
      </c>
      <c r="BR5">
        <f>SUMIF(ConfirmedRaw!$B:$B,$B5,ConfirmedRaw!BT:BT)</f>
        <v>0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0</v>
      </c>
      <c r="BQ6">
        <f>SUMIF(ConfirmedRaw!$B:$B,$B6,ConfirmedRaw!BS:BS)</f>
        <v>0</v>
      </c>
      <c r="BR6">
        <f>SUMIF(ConfirmedRaw!$B:$B,$B6,ConfirmedRaw!BT:BT)</f>
        <v>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0</v>
      </c>
      <c r="BQ7">
        <f>SUMIF(ConfirmedRaw!$B:$B,$B7,ConfirmedRaw!BS:BS)</f>
        <v>0</v>
      </c>
      <c r="BR7">
        <f>SUMIF(ConfirmedRaw!$B:$B,$B7,ConfirmedRaw!BT:BT)</f>
        <v>0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0</v>
      </c>
      <c r="BQ8">
        <f>SUMIF(ConfirmedRaw!$B:$B,$B8,ConfirmedRaw!BS:BS)</f>
        <v>0</v>
      </c>
      <c r="BR8">
        <f>SUMIF(ConfirmedRaw!$B:$B,$B8,ConfirmedRaw!BT:BT)</f>
        <v>0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0</v>
      </c>
      <c r="BQ9">
        <f>SUMIF(ConfirmedRaw!$B:$B,$B9,ConfirmedRaw!BS:BS)</f>
        <v>0</v>
      </c>
      <c r="BR9">
        <f>SUMIF(ConfirmedRaw!$B:$B,$B9,ConfirmedRaw!BT:BT)</f>
        <v>0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0</v>
      </c>
      <c r="BQ10">
        <f>SUMIF(ConfirmedRaw!$B:$B,$B10,ConfirmedRaw!BS:BS)</f>
        <v>0</v>
      </c>
      <c r="BR10">
        <f>SUMIF(ConfirmedRaw!$B:$B,$B10,ConfirmedRaw!BT:BT)</f>
        <v>0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0</v>
      </c>
      <c r="BQ11">
        <f>SUMIF(ConfirmedRaw!$B:$B,$B11,ConfirmedRaw!BS:BS)</f>
        <v>0</v>
      </c>
      <c r="BR11">
        <f>SUMIF(ConfirmedRaw!$B:$B,$B11,ConfirmedRaw!BT:BT)</f>
        <v>0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0</v>
      </c>
      <c r="BQ12">
        <f>SUMIF(ConfirmedRaw!$B:$B,$B12,ConfirmedRaw!BS:BS)</f>
        <v>0</v>
      </c>
      <c r="BR12">
        <f>SUMIF(ConfirmedRaw!$B:$B,$B12,ConfirmedRaw!BT:BT)</f>
        <v>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0</v>
      </c>
      <c r="BQ13">
        <f>SUMIF(ConfirmedRaw!$B:$B,$B13,ConfirmedRaw!BS:BS)</f>
        <v>0</v>
      </c>
      <c r="BR13">
        <f>SUMIF(ConfirmedRaw!$B:$B,$B13,ConfirmedRaw!BT:BT)</f>
        <v>0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0</v>
      </c>
      <c r="BQ14">
        <f>SUMIF(ConfirmedRaw!$B:$B,$B14,ConfirmedRaw!BS:BS)</f>
        <v>0</v>
      </c>
      <c r="BR14">
        <f>SUMIF(ConfirmedRaw!$B:$B,$B14,ConfirmedRaw!BT:BT)</f>
        <v>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0</v>
      </c>
      <c r="BQ15">
        <f>SUMIF(ConfirmedRaw!$B:$B,$B15,ConfirmedRaw!BS:BS)</f>
        <v>0</v>
      </c>
      <c r="BR15">
        <f>SUMIF(ConfirmedRaw!$B:$B,$B15,ConfirmedRaw!BT:BT)</f>
        <v>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0</v>
      </c>
      <c r="BQ16">
        <f>SUMIF(ConfirmedRaw!$B:$B,$B16,ConfirmedRaw!BS:BS)</f>
        <v>0</v>
      </c>
      <c r="BR16">
        <f>SUMIF(ConfirmedRaw!$B:$B,$B16,ConfirmedRaw!BT:BT)</f>
        <v>0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0</v>
      </c>
      <c r="BQ18">
        <f>SUMIF(ConfirmedRaw!$B:$B,$B18,ConfirmedRaw!BS:BS)</f>
        <v>0</v>
      </c>
      <c r="BR18">
        <f>SUMIF(ConfirmedRaw!$B:$B,$B18,ConfirmedRaw!BT:BT)</f>
        <v>0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0</v>
      </c>
      <c r="BQ19">
        <f>SUMIF(ConfirmedRaw!$B:$B,$B19,ConfirmedRaw!BS:BS)</f>
        <v>0</v>
      </c>
      <c r="BR19">
        <f>SUMIF(ConfirmedRaw!$B:$B,$B19,ConfirmedRaw!BT:BT)</f>
        <v>0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0</v>
      </c>
      <c r="BQ20">
        <f>SUMIF(ConfirmedRaw!$B:$B,$B20,ConfirmedRaw!BS:BS)</f>
        <v>0</v>
      </c>
      <c r="BR20">
        <f>SUMIF(ConfirmedRaw!$B:$B,$B20,ConfirmedRaw!BT:BT)</f>
        <v>0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0</v>
      </c>
      <c r="BQ21">
        <f>SUMIF(ConfirmedRaw!$B:$B,$B21,ConfirmedRaw!BS:BS)</f>
        <v>0</v>
      </c>
      <c r="BR21">
        <f>SUMIF(ConfirmedRaw!$B:$B,$B21,ConfirmedRaw!BT:BT)</f>
        <v>0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0</v>
      </c>
      <c r="BQ22">
        <f>SUMIF(ConfirmedRaw!$B:$B,$B22,ConfirmedRaw!BS:BS)</f>
        <v>0</v>
      </c>
      <c r="BR22">
        <f>SUMIF(ConfirmedRaw!$B:$B,$B22,ConfirmedRaw!BT:BT)</f>
        <v>0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0</v>
      </c>
      <c r="BQ23">
        <f>SUMIF(ConfirmedRaw!$B:$B,$B23,ConfirmedRaw!BS:BS)</f>
        <v>0</v>
      </c>
      <c r="BR23">
        <f>SUMIF(ConfirmedRaw!$B:$B,$B23,ConfirmedRaw!BT:BT)</f>
        <v>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0</v>
      </c>
      <c r="BQ24">
        <f>SUMIF(ConfirmedRaw!$B:$B,$B24,ConfirmedRaw!BS:BS)</f>
        <v>0</v>
      </c>
      <c r="BR24">
        <f>SUMIF(ConfirmedRaw!$B:$B,$B24,ConfirmedRaw!BT:BT)</f>
        <v>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0</v>
      </c>
      <c r="BQ25">
        <f>SUMIF(ConfirmedRaw!$B:$B,$B25,ConfirmedRaw!BS:BS)</f>
        <v>0</v>
      </c>
      <c r="BR25">
        <f>SUMIF(ConfirmedRaw!$B:$B,$B25,ConfirmedRaw!BT:BT)</f>
        <v>0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0</v>
      </c>
      <c r="BQ26">
        <f>SUMIF(ConfirmedRaw!$B:$B,$B26,ConfirmedRaw!BS:BS)</f>
        <v>0</v>
      </c>
      <c r="BR26">
        <f>SUMIF(ConfirmedRaw!$B:$B,$B26,ConfirmedRaw!BT:BT)</f>
        <v>0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0</v>
      </c>
      <c r="BQ27">
        <f>SUMIF(ConfirmedRaw!$B:$B,$B27,ConfirmedRaw!BS:BS)</f>
        <v>0</v>
      </c>
      <c r="BR27">
        <f>SUMIF(ConfirmedRaw!$B:$B,$B27,ConfirmedRaw!BT:BT)</f>
        <v>0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0</v>
      </c>
      <c r="BQ28">
        <f>SUMIF(ConfirmedRaw!$B:$B,$B28,ConfirmedRaw!BS:BS)</f>
        <v>0</v>
      </c>
      <c r="BR28">
        <f>SUMIF(ConfirmedRaw!$B:$B,$B28,ConfirmedRaw!BT:BT)</f>
        <v>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0</v>
      </c>
      <c r="BQ29">
        <f>SUMIF(ConfirmedRaw!$B:$B,$B29,ConfirmedRaw!BS:BS)</f>
        <v>0</v>
      </c>
      <c r="BR29">
        <f>SUMIF(ConfirmedRaw!$B:$B,$B29,ConfirmedRaw!BT:BT)</f>
        <v>0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0</v>
      </c>
      <c r="BQ30">
        <f>SUMIF(ConfirmedRaw!$B:$B,$B30,ConfirmedRaw!BS:BS)</f>
        <v>0</v>
      </c>
      <c r="BR30">
        <f>SUMIF(ConfirmedRaw!$B:$B,$B30,ConfirmedRaw!BT:BT)</f>
        <v>0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0</v>
      </c>
      <c r="BQ31">
        <f>SUMIF(ConfirmedRaw!$B:$B,$B31,ConfirmedRaw!BS:BS)</f>
        <v>0</v>
      </c>
      <c r="BR31">
        <f>SUMIF(ConfirmedRaw!$B:$B,$B31,ConfirmedRaw!BT:BT)</f>
        <v>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0</v>
      </c>
      <c r="BQ32">
        <f>SUMIF(ConfirmedRaw!$B:$B,$B32,ConfirmedRaw!BS:BS)</f>
        <v>0</v>
      </c>
      <c r="BR32">
        <f>SUMIF(ConfirmedRaw!$B:$B,$B32,ConfirmedRaw!BT:BT)</f>
        <v>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0</v>
      </c>
      <c r="BQ33">
        <f>SUMIF(ConfirmedRaw!$B:$B,$B33,ConfirmedRaw!BS:BS)</f>
        <v>0</v>
      </c>
      <c r="BR33">
        <f>SUMIF(ConfirmedRaw!$B:$B,$B33,ConfirmedRaw!BT:BT)</f>
        <v>0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0</v>
      </c>
      <c r="BQ34">
        <f>SUMIF(ConfirmedRaw!$B:$B,$B34,ConfirmedRaw!BS:BS)</f>
        <v>0</v>
      </c>
      <c r="BR34">
        <f>SUMIF(ConfirmedRaw!$B:$B,$B34,ConfirmedRaw!BT:BT)</f>
        <v>0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0</v>
      </c>
      <c r="BQ35">
        <f>SUMIF(ConfirmedRaw!$B:$B,$B35,ConfirmedRaw!BS:BS)</f>
        <v>0</v>
      </c>
      <c r="BR35">
        <f>SUMIF(ConfirmedRaw!$B:$B,$B35,ConfirmedRaw!BT:BT)</f>
        <v>0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0</v>
      </c>
      <c r="BQ36">
        <f>SUMIF(ConfirmedRaw!$B:$B,$B36,ConfirmedRaw!BS:BS)</f>
        <v>0</v>
      </c>
      <c r="BR36">
        <f>SUMIF(ConfirmedRaw!$B:$B,$B36,ConfirmedRaw!BT:BT)</f>
        <v>0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0</v>
      </c>
      <c r="BQ37">
        <f>SUMIF(ConfirmedRaw!$B:$B,$B37,ConfirmedRaw!BS:BS)</f>
        <v>0</v>
      </c>
      <c r="BR37">
        <f>SUMIF(ConfirmedRaw!$B:$B,$B37,ConfirmedRaw!BT:BT)</f>
        <v>0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0</v>
      </c>
      <c r="BQ38">
        <f>SUMIF(ConfirmedRaw!$B:$B,$B38,ConfirmedRaw!BS:BS)</f>
        <v>0</v>
      </c>
      <c r="BR38">
        <f>SUMIF(ConfirmedRaw!$B:$B,$B38,ConfirmedRaw!BT:BT)</f>
        <v>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0</v>
      </c>
      <c r="BQ39">
        <f>SUMIF(ConfirmedRaw!$B:$B,$B39,ConfirmedRaw!BS:BS)</f>
        <v>0</v>
      </c>
      <c r="BR39">
        <f>SUMIF(ConfirmedRaw!$B:$B,$B39,ConfirmedRaw!BT:BT)</f>
        <v>0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0</v>
      </c>
      <c r="BQ40">
        <f>SUMIF(ConfirmedRaw!$B:$B,$B40,ConfirmedRaw!BS:BS)</f>
        <v>0</v>
      </c>
      <c r="BR40">
        <f>SUMIF(ConfirmedRaw!$B:$B,$B40,ConfirmedRaw!BT:BT)</f>
        <v>0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0</v>
      </c>
      <c r="BQ41">
        <f>SUMIF(ConfirmedRaw!$B:$B,$B41,ConfirmedRaw!BS:BS)</f>
        <v>0</v>
      </c>
      <c r="BR41">
        <f>SUMIF(ConfirmedRaw!$B:$B,$B41,ConfirmedRaw!BT:BT)</f>
        <v>0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0</v>
      </c>
      <c r="BQ42">
        <f>SUMIF(ConfirmedRaw!$B:$B,$B42,ConfirmedRaw!BS:BS)</f>
        <v>0</v>
      </c>
      <c r="BR42">
        <f>SUMIF(ConfirmedRaw!$B:$B,$B42,ConfirmedRaw!BT:BT)</f>
        <v>0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0</v>
      </c>
      <c r="BQ43">
        <f>SUMIF(ConfirmedRaw!$B:$B,$B43,ConfirmedRaw!BS:BS)</f>
        <v>0</v>
      </c>
      <c r="BR43">
        <f>SUMIF(ConfirmedRaw!$B:$B,$B43,ConfirmedRaw!BT:BT)</f>
        <v>0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0</v>
      </c>
      <c r="BQ44">
        <f>SUMIF(ConfirmedRaw!$B:$B,$B44,ConfirmedRaw!BS:BS)</f>
        <v>0</v>
      </c>
      <c r="BR44">
        <f>SUMIF(ConfirmedRaw!$B:$B,$B44,ConfirmedRaw!BT:BT)</f>
        <v>0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0</v>
      </c>
      <c r="BQ45">
        <f>SUMIF(ConfirmedRaw!$B:$B,$B45,ConfirmedRaw!BS:BS)</f>
        <v>0</v>
      </c>
      <c r="BR45">
        <f>SUMIF(ConfirmedRaw!$B:$B,$B45,ConfirmedRaw!BT:BT)</f>
        <v>0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0</v>
      </c>
      <c r="BQ46">
        <f>SUMIF(ConfirmedRaw!$B:$B,$B46,ConfirmedRaw!BS:BS)</f>
        <v>0</v>
      </c>
      <c r="BR46">
        <f>SUMIF(ConfirmedRaw!$B:$B,$B46,ConfirmedRaw!BT:BT)</f>
        <v>0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0</v>
      </c>
      <c r="BQ47">
        <f>SUMIF(ConfirmedRaw!$B:$B,$B47,ConfirmedRaw!BS:BS)</f>
        <v>0</v>
      </c>
      <c r="BR47">
        <f>SUMIF(ConfirmedRaw!$B:$B,$B47,ConfirmedRaw!BT:BT)</f>
        <v>0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0</v>
      </c>
      <c r="BQ48">
        <f>SUMIF(ConfirmedRaw!$B:$B,$B48,ConfirmedRaw!BS:BS)</f>
        <v>0</v>
      </c>
      <c r="BR48">
        <f>SUMIF(ConfirmedRaw!$B:$B,$B48,ConfirmedRaw!BT:BT)</f>
        <v>0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0</v>
      </c>
      <c r="BQ49">
        <f>SUMIF(ConfirmedRaw!$B:$B,$B49,ConfirmedRaw!BS:BS)</f>
        <v>0</v>
      </c>
      <c r="BR49">
        <f>SUMIF(ConfirmedRaw!$B:$B,$B49,ConfirmedRaw!BT:BT)</f>
        <v>0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0</v>
      </c>
      <c r="BQ50">
        <f>SUMIF(ConfirmedRaw!$B:$B,$B50,ConfirmedRaw!BS:BS)</f>
        <v>0</v>
      </c>
      <c r="BR50">
        <f>SUMIF(ConfirmedRaw!$B:$B,$B50,ConfirmedRaw!BT:BT)</f>
        <v>0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0</v>
      </c>
      <c r="BQ51">
        <f>SUMIF(ConfirmedRaw!$B:$B,$B51,ConfirmedRaw!BS:BS)</f>
        <v>0</v>
      </c>
      <c r="BR51">
        <f>SUMIF(ConfirmedRaw!$B:$B,$B51,ConfirmedRaw!BT:BT)</f>
        <v>0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0</v>
      </c>
      <c r="BQ52">
        <f>SUMIF(ConfirmedRaw!$B:$B,$B52,ConfirmedRaw!BS:BS)</f>
        <v>0</v>
      </c>
      <c r="BR52">
        <f>SUMIF(ConfirmedRaw!$B:$B,$B52,ConfirmedRaw!BT:BT)</f>
        <v>0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0</v>
      </c>
      <c r="BQ53">
        <f>SUMIF(ConfirmedRaw!$B:$B,$B53,ConfirmedRaw!BS:BS)</f>
        <v>0</v>
      </c>
      <c r="BR53">
        <f>SUMIF(ConfirmedRaw!$B:$B,$B53,ConfirmedRaw!BT:BT)</f>
        <v>0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0</v>
      </c>
      <c r="BQ54">
        <f>SUMIF(ConfirmedRaw!$B:$B,$B54,ConfirmedRaw!BS:BS)</f>
        <v>0</v>
      </c>
      <c r="BR54">
        <f>SUMIF(ConfirmedRaw!$B:$B,$B54,ConfirmedRaw!BT:BT)</f>
        <v>0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0</v>
      </c>
      <c r="BQ55">
        <f>SUMIF(ConfirmedRaw!$B:$B,$B55,ConfirmedRaw!BS:BS)</f>
        <v>0</v>
      </c>
      <c r="BR55">
        <f>SUMIF(ConfirmedRaw!$B:$B,$B55,ConfirmedRaw!BT:BT)</f>
        <v>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0</v>
      </c>
      <c r="BQ56">
        <f>SUMIF(ConfirmedRaw!$B:$B,$B56,ConfirmedRaw!BS:BS)</f>
        <v>0</v>
      </c>
      <c r="BR56">
        <f>SUMIF(ConfirmedRaw!$B:$B,$B56,ConfirmedRaw!BT:BT)</f>
        <v>0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0</v>
      </c>
      <c r="BQ57">
        <f>SUMIF(ConfirmedRaw!$B:$B,$B57,ConfirmedRaw!BS:BS)</f>
        <v>0</v>
      </c>
      <c r="BR57">
        <f>SUMIF(ConfirmedRaw!$B:$B,$B57,ConfirmedRaw!BT:BT)</f>
        <v>0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0</v>
      </c>
      <c r="BQ58">
        <f>SUMIF(ConfirmedRaw!$B:$B,$B58,ConfirmedRaw!BS:BS)</f>
        <v>0</v>
      </c>
      <c r="BR58">
        <f>SUMIF(ConfirmedRaw!$B:$B,$B58,ConfirmedRaw!BT:BT)</f>
        <v>0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0</v>
      </c>
      <c r="BQ59">
        <f>SUMIF(ConfirmedRaw!$B:$B,$B59,ConfirmedRaw!BS:BS)</f>
        <v>0</v>
      </c>
      <c r="BR59">
        <f>SUMIF(ConfirmedRaw!$B:$B,$B59,ConfirmedRaw!BT:BT)</f>
        <v>0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0</v>
      </c>
      <c r="BQ60">
        <f>SUMIF(ConfirmedRaw!$B:$B,$B60,ConfirmedRaw!BS:BS)</f>
        <v>0</v>
      </c>
      <c r="BR60">
        <f>SUMIF(ConfirmedRaw!$B:$B,$B60,ConfirmedRaw!BT:BT)</f>
        <v>0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0</v>
      </c>
      <c r="BQ61">
        <f>SUMIF(ConfirmedRaw!$B:$B,$B61,ConfirmedRaw!BS:BS)</f>
        <v>0</v>
      </c>
      <c r="BR61">
        <f>SUMIF(ConfirmedRaw!$B:$B,$B61,ConfirmedRaw!BT:BT)</f>
        <v>0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0</v>
      </c>
      <c r="BQ62">
        <f>SUMIF(ConfirmedRaw!$B:$B,$B62,ConfirmedRaw!BS:BS)</f>
        <v>0</v>
      </c>
      <c r="BR62">
        <f>SUMIF(ConfirmedRaw!$B:$B,$B62,ConfirmedRaw!BT:BT)</f>
        <v>0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0</v>
      </c>
      <c r="BQ63">
        <f>SUMIF(ConfirmedRaw!$B:$B,$B63,ConfirmedRaw!BS:BS)</f>
        <v>0</v>
      </c>
      <c r="BR63">
        <f>SUMIF(ConfirmedRaw!$B:$B,$B63,ConfirmedRaw!BT:BT)</f>
        <v>0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0</v>
      </c>
      <c r="BQ64">
        <f>SUMIF(ConfirmedRaw!$B:$B,$B64,ConfirmedRaw!BS:BS)</f>
        <v>0</v>
      </c>
      <c r="BR64">
        <f>SUMIF(ConfirmedRaw!$B:$B,$B64,ConfirmedRaw!BT:BT)</f>
        <v>0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0</v>
      </c>
      <c r="BQ65">
        <f>SUMIF(ConfirmedRaw!$B:$B,$B65,ConfirmedRaw!BS:BS)</f>
        <v>0</v>
      </c>
      <c r="BR65">
        <f>SUMIF(ConfirmedRaw!$B:$B,$B65,ConfirmedRaw!BT:BT)</f>
        <v>0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0</v>
      </c>
      <c r="BQ66">
        <f>SUMIF(ConfirmedRaw!$B:$B,$B66,ConfirmedRaw!BS:BS)</f>
        <v>0</v>
      </c>
      <c r="BR66">
        <f>SUMIF(ConfirmedRaw!$B:$B,$B66,ConfirmedRaw!BT:BT)</f>
        <v>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0</v>
      </c>
      <c r="BQ67">
        <f>SUMIF(ConfirmedRaw!$B:$B,$B67,ConfirmedRaw!BS:BS)</f>
        <v>0</v>
      </c>
      <c r="BR67">
        <f>SUMIF(ConfirmedRaw!$B:$B,$B67,ConfirmedRaw!BT:BT)</f>
        <v>0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0</v>
      </c>
      <c r="BQ68">
        <f>SUMIF(ConfirmedRaw!$B:$B,$B68,ConfirmedRaw!BS:BS)</f>
        <v>0</v>
      </c>
      <c r="BR68">
        <f>SUMIF(ConfirmedRaw!$B:$B,$B68,ConfirmedRaw!BT:BT)</f>
        <v>0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0</v>
      </c>
      <c r="BQ69">
        <f>SUMIF(ConfirmedRaw!$B:$B,$B69,ConfirmedRaw!BS:BS)</f>
        <v>0</v>
      </c>
      <c r="BR69">
        <f>SUMIF(ConfirmedRaw!$B:$B,$B69,ConfirmedRaw!BT:BT)</f>
        <v>0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0</v>
      </c>
      <c r="BQ70">
        <f>SUMIF(ConfirmedRaw!$B:$B,$B70,ConfirmedRaw!BS:BS)</f>
        <v>0</v>
      </c>
      <c r="BR70">
        <f>SUMIF(ConfirmedRaw!$B:$B,$B70,ConfirmedRaw!BT:BT)</f>
        <v>0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0</v>
      </c>
      <c r="BQ71">
        <f>SUMIF(ConfirmedRaw!$B:$B,$B71,ConfirmedRaw!BS:BS)</f>
        <v>0</v>
      </c>
      <c r="BR71">
        <f>SUMIF(ConfirmedRaw!$B:$B,$B71,ConfirmedRaw!BT:BT)</f>
        <v>0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0</v>
      </c>
      <c r="BQ72">
        <f>SUMIF(ConfirmedRaw!$B:$B,$B72,ConfirmedRaw!BS:BS)</f>
        <v>0</v>
      </c>
      <c r="BR72">
        <f>SUMIF(ConfirmedRaw!$B:$B,$B72,ConfirmedRaw!BT:BT)</f>
        <v>0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0</v>
      </c>
      <c r="BQ73">
        <f>SUMIF(ConfirmedRaw!$B:$B,$B73,ConfirmedRaw!BS:BS)</f>
        <v>0</v>
      </c>
      <c r="BR73">
        <f>SUMIF(ConfirmedRaw!$B:$B,$B73,ConfirmedRaw!BT:BT)</f>
        <v>0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0</v>
      </c>
      <c r="BQ74">
        <f>SUMIF(ConfirmedRaw!$B:$B,$B74,ConfirmedRaw!BS:BS)</f>
        <v>0</v>
      </c>
      <c r="BR74">
        <f>SUMIF(ConfirmedRaw!$B:$B,$B74,ConfirmedRaw!BT:BT)</f>
        <v>0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0</v>
      </c>
      <c r="BQ75">
        <f>SUMIF(ConfirmedRaw!$B:$B,$B75,ConfirmedRaw!BS:BS)</f>
        <v>0</v>
      </c>
      <c r="BR75">
        <f>SUMIF(ConfirmedRaw!$B:$B,$B75,ConfirmedRaw!BT:BT)</f>
        <v>0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0</v>
      </c>
      <c r="BQ76">
        <f>SUMIF(ConfirmedRaw!$B:$B,$B76,ConfirmedRaw!BS:BS)</f>
        <v>0</v>
      </c>
      <c r="BR76">
        <f>SUMIF(ConfirmedRaw!$B:$B,$B76,ConfirmedRaw!BT:BT)</f>
        <v>0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0</v>
      </c>
      <c r="BQ77">
        <f>SUMIF(ConfirmedRaw!$B:$B,$B77,ConfirmedRaw!BS:BS)</f>
        <v>0</v>
      </c>
      <c r="BR77">
        <f>SUMIF(ConfirmedRaw!$B:$B,$B77,ConfirmedRaw!BT:BT)</f>
        <v>0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0</v>
      </c>
      <c r="BQ78">
        <f>SUMIF(ConfirmedRaw!$B:$B,$B78,ConfirmedRaw!BS:BS)</f>
        <v>0</v>
      </c>
      <c r="BR78">
        <f>SUMIF(ConfirmedRaw!$B:$B,$B78,ConfirmedRaw!BT:BT)</f>
        <v>0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0</v>
      </c>
      <c r="BQ79">
        <f>SUMIF(ConfirmedRaw!$B:$B,$B79,ConfirmedRaw!BS:BS)</f>
        <v>0</v>
      </c>
      <c r="BR79">
        <f>SUMIF(ConfirmedRaw!$B:$B,$B79,ConfirmedRaw!BT:BT)</f>
        <v>0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0</v>
      </c>
      <c r="BQ80">
        <f>SUMIF(ConfirmedRaw!$B:$B,$B80,ConfirmedRaw!BS:BS)</f>
        <v>0</v>
      </c>
      <c r="BR80">
        <f>SUMIF(ConfirmedRaw!$B:$B,$B80,ConfirmedRaw!BT:BT)</f>
        <v>0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0</v>
      </c>
      <c r="BQ81">
        <f>SUMIF(ConfirmedRaw!$B:$B,$B81,ConfirmedRaw!BS:BS)</f>
        <v>0</v>
      </c>
      <c r="BR81">
        <f>SUMIF(ConfirmedRaw!$B:$B,$B81,ConfirmedRaw!BT:BT)</f>
        <v>0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0</v>
      </c>
      <c r="BQ82">
        <f>SUMIF(ConfirmedRaw!$B:$B,$B82,ConfirmedRaw!BS:BS)</f>
        <v>0</v>
      </c>
      <c r="BR82">
        <f>SUMIF(ConfirmedRaw!$B:$B,$B82,ConfirmedRaw!BT:BT)</f>
        <v>0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0</v>
      </c>
      <c r="BQ83">
        <f>SUMIF(ConfirmedRaw!$B:$B,$B83,ConfirmedRaw!BS:BS)</f>
        <v>0</v>
      </c>
      <c r="BR83">
        <f>SUMIF(ConfirmedRaw!$B:$B,$B83,ConfirmedRaw!BT:BT)</f>
        <v>0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0</v>
      </c>
      <c r="BQ84">
        <f>SUMIF(ConfirmedRaw!$B:$B,$B84,ConfirmedRaw!BS:BS)</f>
        <v>0</v>
      </c>
      <c r="BR84">
        <f>SUMIF(ConfirmedRaw!$B:$B,$B84,ConfirmedRaw!BT:BT)</f>
        <v>0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0</v>
      </c>
      <c r="BQ85">
        <f>SUMIF(ConfirmedRaw!$B:$B,$B85,ConfirmedRaw!BS:BS)</f>
        <v>0</v>
      </c>
      <c r="BR85">
        <f>SUMIF(ConfirmedRaw!$B:$B,$B85,ConfirmedRaw!BT:BT)</f>
        <v>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0</v>
      </c>
      <c r="BQ86">
        <f>SUMIF(ConfirmedRaw!$B:$B,$B86,ConfirmedRaw!BS:BS)</f>
        <v>0</v>
      </c>
      <c r="BR86">
        <f>SUMIF(ConfirmedRaw!$B:$B,$B86,ConfirmedRaw!BT:BT)</f>
        <v>0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0</v>
      </c>
      <c r="BQ87">
        <f>SUMIF(ConfirmedRaw!$B:$B,$B87,ConfirmedRaw!BS:BS)</f>
        <v>0</v>
      </c>
      <c r="BR87">
        <f>SUMIF(ConfirmedRaw!$B:$B,$B87,ConfirmedRaw!BT:BT)</f>
        <v>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0</v>
      </c>
      <c r="BQ88">
        <f>SUMIF(ConfirmedRaw!$B:$B,$B88,ConfirmedRaw!BS:BS)</f>
        <v>0</v>
      </c>
      <c r="BR88">
        <f>SUMIF(ConfirmedRaw!$B:$B,$B88,ConfirmedRaw!BT:BT)</f>
        <v>0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0</v>
      </c>
      <c r="BQ89">
        <f>SUMIF(ConfirmedRaw!$B:$B,$B89,ConfirmedRaw!BS:BS)</f>
        <v>0</v>
      </c>
      <c r="BR89">
        <f>SUMIF(ConfirmedRaw!$B:$B,$B89,ConfirmedRaw!BT:BT)</f>
        <v>0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0</v>
      </c>
      <c r="BQ90">
        <f>SUMIF(ConfirmedRaw!$B:$B,$B90,ConfirmedRaw!BS:BS)</f>
        <v>0</v>
      </c>
      <c r="BR90">
        <f>SUMIF(ConfirmedRaw!$B:$B,$B90,ConfirmedRaw!BT:BT)</f>
        <v>0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0</v>
      </c>
      <c r="BQ91">
        <f>SUMIF(ConfirmedRaw!$B:$B,$B91,ConfirmedRaw!BS:BS)</f>
        <v>0</v>
      </c>
      <c r="BR91">
        <f>SUMIF(ConfirmedRaw!$B:$B,$B91,ConfirmedRaw!BT:BT)</f>
        <v>0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0</v>
      </c>
      <c r="BQ92">
        <f>SUMIF(ConfirmedRaw!$B:$B,$B92,ConfirmedRaw!BS:BS)</f>
        <v>0</v>
      </c>
      <c r="BR92">
        <f>SUMIF(ConfirmedRaw!$B:$B,$B92,ConfirmedRaw!BT:BT)</f>
        <v>0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0</v>
      </c>
      <c r="BQ94">
        <f>SUMIF(ConfirmedRaw!$B:$B,$B94,ConfirmedRaw!BS:BS)</f>
        <v>0</v>
      </c>
      <c r="BR94">
        <f>SUMIF(ConfirmedRaw!$B:$B,$B94,ConfirmedRaw!BT:BT)</f>
        <v>0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0</v>
      </c>
      <c r="BQ96">
        <f>SUMIF(ConfirmedRaw!$B:$B,$B96,ConfirmedRaw!BS:BS)</f>
        <v>0</v>
      </c>
      <c r="BR96">
        <f>SUMIF(ConfirmedRaw!$B:$B,$B96,ConfirmedRaw!BT:BT)</f>
        <v>0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0</v>
      </c>
      <c r="BQ97">
        <f>SUMIF(ConfirmedRaw!$B:$B,$B97,ConfirmedRaw!BS:BS)</f>
        <v>0</v>
      </c>
      <c r="BR97">
        <f>SUMIF(ConfirmedRaw!$B:$B,$B97,ConfirmedRaw!BT:BT)</f>
        <v>0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0</v>
      </c>
      <c r="BQ98">
        <f>SUMIF(ConfirmedRaw!$B:$B,$B98,ConfirmedRaw!BS:BS)</f>
        <v>0</v>
      </c>
      <c r="BR98">
        <f>SUMIF(ConfirmedRaw!$B:$B,$B98,ConfirmedRaw!BT:BT)</f>
        <v>0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0</v>
      </c>
      <c r="BQ99">
        <f>SUMIF(ConfirmedRaw!$B:$B,$B99,ConfirmedRaw!BS:BS)</f>
        <v>0</v>
      </c>
      <c r="BR99">
        <f>SUMIF(ConfirmedRaw!$B:$B,$B99,ConfirmedRaw!BT:BT)</f>
        <v>0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0</v>
      </c>
      <c r="BQ100">
        <f>SUMIF(ConfirmedRaw!$B:$B,$B100,ConfirmedRaw!BS:BS)</f>
        <v>0</v>
      </c>
      <c r="BR100">
        <f>SUMIF(ConfirmedRaw!$B:$B,$B100,ConfirmedRaw!BT:BT)</f>
        <v>0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0</v>
      </c>
      <c r="BQ102">
        <f>SUMIF(ConfirmedRaw!$B:$B,$B102,ConfirmedRaw!BS:BS)</f>
        <v>0</v>
      </c>
      <c r="BR102">
        <f>SUMIF(ConfirmedRaw!$B:$B,$B102,ConfirmedRaw!BT:BT)</f>
        <v>0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0</v>
      </c>
      <c r="BQ104">
        <f>SUMIF(ConfirmedRaw!$B:$B,$B104,ConfirmedRaw!BS:BS)</f>
        <v>0</v>
      </c>
      <c r="BR104">
        <f>SUMIF(ConfirmedRaw!$B:$B,$B104,ConfirmedRaw!BT:BT)</f>
        <v>0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0</v>
      </c>
      <c r="BQ105">
        <f>SUMIF(ConfirmedRaw!$B:$B,$B105,ConfirmedRaw!BS:BS)</f>
        <v>0</v>
      </c>
      <c r="BR105">
        <f>SUMIF(ConfirmedRaw!$B:$B,$B105,ConfirmedRaw!BT:BT)</f>
        <v>0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0</v>
      </c>
      <c r="BQ106">
        <f>SUMIF(ConfirmedRaw!$B:$B,$B106,ConfirmedRaw!BS:BS)</f>
        <v>0</v>
      </c>
      <c r="BR106">
        <f>SUMIF(ConfirmedRaw!$B:$B,$B106,ConfirmedRaw!BT:BT)</f>
        <v>0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0</v>
      </c>
      <c r="BQ107">
        <f>SUMIF(ConfirmedRaw!$B:$B,$B107,ConfirmedRaw!BS:BS)</f>
        <v>0</v>
      </c>
      <c r="BR107">
        <f>SUMIF(ConfirmedRaw!$B:$B,$B107,ConfirmedRaw!BT:BT)</f>
        <v>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0</v>
      </c>
      <c r="BQ108">
        <f>SUMIF(ConfirmedRaw!$B:$B,$B108,ConfirmedRaw!BS:BS)</f>
        <v>0</v>
      </c>
      <c r="BR108">
        <f>SUMIF(ConfirmedRaw!$B:$B,$B108,ConfirmedRaw!BT:BT)</f>
        <v>0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0</v>
      </c>
      <c r="BQ109">
        <f>SUMIF(ConfirmedRaw!$B:$B,$B109,ConfirmedRaw!BS:BS)</f>
        <v>0</v>
      </c>
      <c r="BR109">
        <f>SUMIF(ConfirmedRaw!$B:$B,$B109,ConfirmedRaw!BT:BT)</f>
        <v>0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0</v>
      </c>
      <c r="BQ110">
        <f>SUMIF(ConfirmedRaw!$B:$B,$B110,ConfirmedRaw!BS:BS)</f>
        <v>0</v>
      </c>
      <c r="BR110">
        <f>SUMIF(ConfirmedRaw!$B:$B,$B110,ConfirmedRaw!BT:BT)</f>
        <v>0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0</v>
      </c>
      <c r="BQ111">
        <f>SUMIF(ConfirmedRaw!$B:$B,$B111,ConfirmedRaw!BS:BS)</f>
        <v>0</v>
      </c>
      <c r="BR111">
        <f>SUMIF(ConfirmedRaw!$B:$B,$B111,ConfirmedRaw!BT:BT)</f>
        <v>0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0</v>
      </c>
      <c r="BQ112">
        <f>SUMIF(ConfirmedRaw!$B:$B,$B112,ConfirmedRaw!BS:BS)</f>
        <v>0</v>
      </c>
      <c r="BR112">
        <f>SUMIF(ConfirmedRaw!$B:$B,$B112,ConfirmedRaw!BT:BT)</f>
        <v>0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0</v>
      </c>
      <c r="BQ114">
        <f>SUMIF(ConfirmedRaw!$B:$B,$B114,ConfirmedRaw!BS:BS)</f>
        <v>0</v>
      </c>
      <c r="BR114">
        <f>SUMIF(ConfirmedRaw!$B:$B,$B114,ConfirmedRaw!BT:BT)</f>
        <v>0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0</v>
      </c>
      <c r="BQ115">
        <f>SUMIF(ConfirmedRaw!$B:$B,$B115,ConfirmedRaw!BS:BS)</f>
        <v>0</v>
      </c>
      <c r="BR115">
        <f>SUMIF(ConfirmedRaw!$B:$B,$B115,ConfirmedRaw!BT:BT)</f>
        <v>0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0</v>
      </c>
      <c r="BQ117">
        <f>SUMIF(ConfirmedRaw!$B:$B,$B117,ConfirmedRaw!BS:BS)</f>
        <v>0</v>
      </c>
      <c r="BR117">
        <f>SUMIF(ConfirmedRaw!$B:$B,$B117,ConfirmedRaw!BT:BT)</f>
        <v>0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0</v>
      </c>
      <c r="BQ118">
        <f>SUMIF(ConfirmedRaw!$B:$B,$B118,ConfirmedRaw!BS:BS)</f>
        <v>0</v>
      </c>
      <c r="BR118">
        <f>SUMIF(ConfirmedRaw!$B:$B,$B118,ConfirmedRaw!BT:BT)</f>
        <v>0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0</v>
      </c>
      <c r="BQ119">
        <f>SUMIF(ConfirmedRaw!$B:$B,$B119,ConfirmedRaw!BS:BS)</f>
        <v>0</v>
      </c>
      <c r="BR119">
        <f>SUMIF(ConfirmedRaw!$B:$B,$B119,ConfirmedRaw!BT:BT)</f>
        <v>0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0</v>
      </c>
      <c r="BQ120">
        <f>SUMIF(ConfirmedRaw!$B:$B,$B120,ConfirmedRaw!BS:BS)</f>
        <v>0</v>
      </c>
      <c r="BR120">
        <f>SUMIF(ConfirmedRaw!$B:$B,$B120,ConfirmedRaw!BT:BT)</f>
        <v>0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0</v>
      </c>
      <c r="BQ121">
        <f>SUMIF(ConfirmedRaw!$B:$B,$B121,ConfirmedRaw!BS:BS)</f>
        <v>0</v>
      </c>
      <c r="BR121">
        <f>SUMIF(ConfirmedRaw!$B:$B,$B121,ConfirmedRaw!BT:BT)</f>
        <v>0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0</v>
      </c>
      <c r="BQ122">
        <f>SUMIF(ConfirmedRaw!$B:$B,$B122,ConfirmedRaw!BS:BS)</f>
        <v>0</v>
      </c>
      <c r="BR122">
        <f>SUMIF(ConfirmedRaw!$B:$B,$B122,ConfirmedRaw!BT:BT)</f>
        <v>0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0</v>
      </c>
      <c r="BQ123">
        <f>SUMIF(ConfirmedRaw!$B:$B,$B123,ConfirmedRaw!BS:BS)</f>
        <v>0</v>
      </c>
      <c r="BR123">
        <f>SUMIF(ConfirmedRaw!$B:$B,$B123,ConfirmedRaw!BT:BT)</f>
        <v>0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0</v>
      </c>
      <c r="BQ124">
        <f>SUMIF(ConfirmedRaw!$B:$B,$B124,ConfirmedRaw!BS:BS)</f>
        <v>0</v>
      </c>
      <c r="BR124">
        <f>SUMIF(ConfirmedRaw!$B:$B,$B124,ConfirmedRaw!BT:BT)</f>
        <v>0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0</v>
      </c>
      <c r="BQ125">
        <f>SUMIF(ConfirmedRaw!$B:$B,$B125,ConfirmedRaw!BS:BS)</f>
        <v>0</v>
      </c>
      <c r="BR125">
        <f>SUMIF(ConfirmedRaw!$B:$B,$B125,ConfirmedRaw!BT:BT)</f>
        <v>0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0</v>
      </c>
      <c r="BQ126">
        <f>SUMIF(ConfirmedRaw!$B:$B,$B126,ConfirmedRaw!BS:BS)</f>
        <v>0</v>
      </c>
      <c r="BR126">
        <f>SUMIF(ConfirmedRaw!$B:$B,$B126,ConfirmedRaw!BT:BT)</f>
        <v>0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CT127" si="2">SUM(BO2:BO126)</f>
        <v>527572</v>
      </c>
      <c r="BP127">
        <f t="shared" si="2"/>
        <v>0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0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0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0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0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0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0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0</v>
      </c>
      <c r="BQ2">
        <f>SUMIF(DeadRaw!$B:$B,$B2,DeadRaw!BS:BS)</f>
        <v>0</v>
      </c>
      <c r="BR2">
        <f>SUMIF(DeadRaw!$B:$B,$B2,DeadRaw!BT:BT)</f>
        <v>0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0</v>
      </c>
      <c r="BQ3">
        <f>SUMIF(DeadRaw!$B:$B,$B3,DeadRaw!BS:BS)</f>
        <v>0</v>
      </c>
      <c r="BR3">
        <f>SUMIF(DeadRaw!$B:$B,$B3,DeadRaw!BT:BT)</f>
        <v>0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0</v>
      </c>
      <c r="BQ4">
        <f>SUMIF(DeadRaw!$B:$B,$B4,DeadRaw!BS:BS)</f>
        <v>0</v>
      </c>
      <c r="BR4">
        <f>SUMIF(DeadRaw!$B:$B,$B4,DeadRaw!BT:BT)</f>
        <v>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0</v>
      </c>
      <c r="BQ5">
        <f>SUMIF(DeadRaw!$B:$B,$B5,DeadRaw!BS:BS)</f>
        <v>0</v>
      </c>
      <c r="BR5">
        <f>SUMIF(DeadRaw!$B:$B,$B5,DeadRaw!BT:BT)</f>
        <v>0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0</v>
      </c>
      <c r="BQ6">
        <f>SUMIF(DeadRaw!$B:$B,$B6,DeadRaw!BS:BS)</f>
        <v>0</v>
      </c>
      <c r="BR6">
        <f>SUMIF(DeadRaw!$B:$B,$B6,DeadRaw!BT:BT)</f>
        <v>0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0</v>
      </c>
      <c r="BQ7">
        <f>SUMIF(DeadRaw!$B:$B,$B7,DeadRaw!BS:BS)</f>
        <v>0</v>
      </c>
      <c r="BR7">
        <f>SUMIF(DeadRaw!$B:$B,$B7,DeadRaw!BT:BT)</f>
        <v>0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0</v>
      </c>
      <c r="BQ8">
        <f>SUMIF(DeadRaw!$B:$B,$B8,DeadRaw!BS:BS)</f>
        <v>0</v>
      </c>
      <c r="BR8">
        <f>SUMIF(DeadRaw!$B:$B,$B8,DeadRaw!BT:BT)</f>
        <v>0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0</v>
      </c>
      <c r="BQ9">
        <f>SUMIF(DeadRaw!$B:$B,$B9,DeadRaw!BS:BS)</f>
        <v>0</v>
      </c>
      <c r="BR9">
        <f>SUMIF(DeadRaw!$B:$B,$B9,DeadRaw!BT:BT)</f>
        <v>0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0</v>
      </c>
      <c r="BQ10">
        <f>SUMIF(DeadRaw!$B:$B,$B10,DeadRaw!BS:BS)</f>
        <v>0</v>
      </c>
      <c r="BR10">
        <f>SUMIF(DeadRaw!$B:$B,$B10,DeadRaw!BT:BT)</f>
        <v>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0</v>
      </c>
      <c r="BQ11">
        <f>SUMIF(DeadRaw!$B:$B,$B11,DeadRaw!BS:BS)</f>
        <v>0</v>
      </c>
      <c r="BR11">
        <f>SUMIF(DeadRaw!$B:$B,$B11,DeadRaw!BT:BT)</f>
        <v>0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0</v>
      </c>
      <c r="BQ12">
        <f>SUMIF(DeadRaw!$B:$B,$B12,DeadRaw!BS:BS)</f>
        <v>0</v>
      </c>
      <c r="BR12">
        <f>SUMIF(DeadRaw!$B:$B,$B12,DeadRaw!BT:BT)</f>
        <v>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0</v>
      </c>
      <c r="BQ13">
        <f>SUMIF(DeadRaw!$B:$B,$B13,DeadRaw!BS:BS)</f>
        <v>0</v>
      </c>
      <c r="BR13">
        <f>SUMIF(DeadRaw!$B:$B,$B13,DeadRaw!BT:BT)</f>
        <v>0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0</v>
      </c>
      <c r="BQ14">
        <f>SUMIF(DeadRaw!$B:$B,$B14,DeadRaw!BS:BS)</f>
        <v>0</v>
      </c>
      <c r="BR14">
        <f>SUMIF(DeadRaw!$B:$B,$B14,DeadRaw!BT:BT)</f>
        <v>0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0</v>
      </c>
      <c r="BQ15">
        <f>SUMIF(DeadRaw!$B:$B,$B15,DeadRaw!BS:BS)</f>
        <v>0</v>
      </c>
      <c r="BR15">
        <f>SUMIF(DeadRaw!$B:$B,$B15,DeadRaw!BT:BT)</f>
        <v>0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0</v>
      </c>
      <c r="BQ16">
        <f>SUMIF(DeadRaw!$B:$B,$B16,DeadRaw!BS:BS)</f>
        <v>0</v>
      </c>
      <c r="BR16">
        <f>SUMIF(DeadRaw!$B:$B,$B16,DeadRaw!BT:BT)</f>
        <v>0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0</v>
      </c>
      <c r="BQ18">
        <f>SUMIF(DeadRaw!$B:$B,$B18,DeadRaw!BS:BS)</f>
        <v>0</v>
      </c>
      <c r="BR18">
        <f>SUMIF(DeadRaw!$B:$B,$B18,DeadRaw!BT:BT)</f>
        <v>0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0</v>
      </c>
      <c r="BQ19">
        <f>SUMIF(DeadRaw!$B:$B,$B19,DeadRaw!BS:BS)</f>
        <v>0</v>
      </c>
      <c r="BR19">
        <f>SUMIF(DeadRaw!$B:$B,$B19,DeadRaw!BT:BT)</f>
        <v>0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0</v>
      </c>
      <c r="BR20">
        <f>SUMIF(DeadRaw!$B:$B,$B20,DeadRaw!BT:BT)</f>
        <v>0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0</v>
      </c>
      <c r="BQ21">
        <f>SUMIF(DeadRaw!$B:$B,$B21,DeadRaw!BS:BS)</f>
        <v>0</v>
      </c>
      <c r="BR21">
        <f>SUMIF(DeadRaw!$B:$B,$B21,DeadRaw!BT:BT)</f>
        <v>0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0</v>
      </c>
      <c r="BQ22">
        <f>SUMIF(DeadRaw!$B:$B,$B22,DeadRaw!BS:BS)</f>
        <v>0</v>
      </c>
      <c r="BR22">
        <f>SUMIF(DeadRaw!$B:$B,$B22,DeadRaw!BT:BT)</f>
        <v>0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0</v>
      </c>
      <c r="BQ23">
        <f>SUMIF(DeadRaw!$B:$B,$B23,DeadRaw!BS:BS)</f>
        <v>0</v>
      </c>
      <c r="BR23">
        <f>SUMIF(DeadRaw!$B:$B,$B23,DeadRaw!BT:BT)</f>
        <v>0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0</v>
      </c>
      <c r="BQ24">
        <f>SUMIF(DeadRaw!$B:$B,$B24,DeadRaw!BS:BS)</f>
        <v>0</v>
      </c>
      <c r="BR24">
        <f>SUMIF(DeadRaw!$B:$B,$B24,DeadRaw!BT:BT)</f>
        <v>0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0</v>
      </c>
      <c r="BQ25">
        <f>SUMIF(DeadRaw!$B:$B,$B25,DeadRaw!BS:BS)</f>
        <v>0</v>
      </c>
      <c r="BR25">
        <f>SUMIF(DeadRaw!$B:$B,$B25,DeadRaw!BT:BT)</f>
        <v>0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0</v>
      </c>
      <c r="BQ26">
        <f>SUMIF(DeadRaw!$B:$B,$B26,DeadRaw!BS:BS)</f>
        <v>0</v>
      </c>
      <c r="BR26">
        <f>SUMIF(DeadRaw!$B:$B,$B26,DeadRaw!BT:BT)</f>
        <v>0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0</v>
      </c>
      <c r="BQ27">
        <f>SUMIF(DeadRaw!$B:$B,$B27,DeadRaw!BS:BS)</f>
        <v>0</v>
      </c>
      <c r="BR27">
        <f>SUMIF(DeadRaw!$B:$B,$B27,DeadRaw!BT:BT)</f>
        <v>0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0</v>
      </c>
      <c r="BQ28">
        <f>SUMIF(DeadRaw!$B:$B,$B28,DeadRaw!BS:BS)</f>
        <v>0</v>
      </c>
      <c r="BR28">
        <f>SUMIF(DeadRaw!$B:$B,$B28,DeadRaw!BT:BT)</f>
        <v>0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0</v>
      </c>
      <c r="BQ29">
        <f>SUMIF(DeadRaw!$B:$B,$B29,DeadRaw!BS:BS)</f>
        <v>0</v>
      </c>
      <c r="BR29">
        <f>SUMIF(DeadRaw!$B:$B,$B29,DeadRaw!BT:BT)</f>
        <v>0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0</v>
      </c>
      <c r="BQ30">
        <f>SUMIF(DeadRaw!$B:$B,$B30,DeadRaw!BS:BS)</f>
        <v>0</v>
      </c>
      <c r="BR30">
        <f>SUMIF(DeadRaw!$B:$B,$B30,DeadRaw!BT:BT)</f>
        <v>0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0</v>
      </c>
      <c r="BQ31">
        <f>SUMIF(DeadRaw!$B:$B,$B31,DeadRaw!BS:BS)</f>
        <v>0</v>
      </c>
      <c r="BR31">
        <f>SUMIF(DeadRaw!$B:$B,$B31,DeadRaw!BT:BT)</f>
        <v>0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0</v>
      </c>
      <c r="BQ32">
        <f>SUMIF(DeadRaw!$B:$B,$B32,DeadRaw!BS:BS)</f>
        <v>0</v>
      </c>
      <c r="BR32">
        <f>SUMIF(DeadRaw!$B:$B,$B32,DeadRaw!BT:BT)</f>
        <v>0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0</v>
      </c>
      <c r="BQ33">
        <f>SUMIF(DeadRaw!$B:$B,$B33,DeadRaw!BS:BS)</f>
        <v>0</v>
      </c>
      <c r="BR33">
        <f>SUMIF(DeadRaw!$B:$B,$B33,DeadRaw!BT:BT)</f>
        <v>0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0</v>
      </c>
      <c r="BQ34">
        <f>SUMIF(DeadRaw!$B:$B,$B34,DeadRaw!BS:BS)</f>
        <v>0</v>
      </c>
      <c r="BR34">
        <f>SUMIF(DeadRaw!$B:$B,$B34,DeadRaw!BT:BT)</f>
        <v>0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0</v>
      </c>
      <c r="BQ35">
        <f>SUMIF(DeadRaw!$B:$B,$B35,DeadRaw!BS:BS)</f>
        <v>0</v>
      </c>
      <c r="BR35">
        <f>SUMIF(DeadRaw!$B:$B,$B35,DeadRaw!BT:BT)</f>
        <v>0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0</v>
      </c>
      <c r="BQ36">
        <f>SUMIF(DeadRaw!$B:$B,$B36,DeadRaw!BS:BS)</f>
        <v>0</v>
      </c>
      <c r="BR36">
        <f>SUMIF(DeadRaw!$B:$B,$B36,DeadRaw!BT:BT)</f>
        <v>0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0</v>
      </c>
      <c r="BQ37">
        <f>SUMIF(DeadRaw!$B:$B,$B37,DeadRaw!BS:BS)</f>
        <v>0</v>
      </c>
      <c r="BR37">
        <f>SUMIF(DeadRaw!$B:$B,$B37,DeadRaw!BT:BT)</f>
        <v>0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0</v>
      </c>
      <c r="BQ38">
        <f>SUMIF(DeadRaw!$B:$B,$B38,DeadRaw!BS:BS)</f>
        <v>0</v>
      </c>
      <c r="BR38">
        <f>SUMIF(DeadRaw!$B:$B,$B38,DeadRaw!BT:BT)</f>
        <v>0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0</v>
      </c>
      <c r="BQ39">
        <f>SUMIF(DeadRaw!$B:$B,$B39,DeadRaw!BS:BS)</f>
        <v>0</v>
      </c>
      <c r="BR39">
        <f>SUMIF(DeadRaw!$B:$B,$B39,DeadRaw!BT:BT)</f>
        <v>0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0</v>
      </c>
      <c r="BQ40">
        <f>SUMIF(DeadRaw!$B:$B,$B40,DeadRaw!BS:BS)</f>
        <v>0</v>
      </c>
      <c r="BR40">
        <f>SUMIF(DeadRaw!$B:$B,$B40,DeadRaw!BT:BT)</f>
        <v>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0</v>
      </c>
      <c r="BQ42">
        <f>SUMIF(DeadRaw!$B:$B,$B42,DeadRaw!BS:BS)</f>
        <v>0</v>
      </c>
      <c r="BR42">
        <f>SUMIF(DeadRaw!$B:$B,$B42,DeadRaw!BT:BT)</f>
        <v>0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0</v>
      </c>
      <c r="BQ43">
        <f>SUMIF(DeadRaw!$B:$B,$B43,DeadRaw!BS:BS)</f>
        <v>0</v>
      </c>
      <c r="BR43">
        <f>SUMIF(DeadRaw!$B:$B,$B43,DeadRaw!BT:BT)</f>
        <v>0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0</v>
      </c>
      <c r="BQ44">
        <f>SUMIF(DeadRaw!$B:$B,$B44,DeadRaw!BS:BS)</f>
        <v>0</v>
      </c>
      <c r="BR44">
        <f>SUMIF(DeadRaw!$B:$B,$B44,DeadRaw!BT:BT)</f>
        <v>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0</v>
      </c>
      <c r="BQ45">
        <f>SUMIF(DeadRaw!$B:$B,$B45,DeadRaw!BS:BS)</f>
        <v>0</v>
      </c>
      <c r="BR45">
        <f>SUMIF(DeadRaw!$B:$B,$B45,DeadRaw!BT:BT)</f>
        <v>0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0</v>
      </c>
      <c r="BQ46">
        <f>SUMIF(DeadRaw!$B:$B,$B46,DeadRaw!BS:BS)</f>
        <v>0</v>
      </c>
      <c r="BR46">
        <f>SUMIF(DeadRaw!$B:$B,$B46,DeadRaw!BT:BT)</f>
        <v>0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0</v>
      </c>
      <c r="BQ47">
        <f>SUMIF(DeadRaw!$B:$B,$B47,DeadRaw!BS:BS)</f>
        <v>0</v>
      </c>
      <c r="BR47">
        <f>SUMIF(DeadRaw!$B:$B,$B47,DeadRaw!BT:BT)</f>
        <v>0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0</v>
      </c>
      <c r="BQ48">
        <f>SUMIF(DeadRaw!$B:$B,$B48,DeadRaw!BS:BS)</f>
        <v>0</v>
      </c>
      <c r="BR48">
        <f>SUMIF(DeadRaw!$B:$B,$B48,DeadRaw!BT:BT)</f>
        <v>0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0</v>
      </c>
      <c r="BQ49">
        <f>SUMIF(DeadRaw!$B:$B,$B49,DeadRaw!BS:BS)</f>
        <v>0</v>
      </c>
      <c r="BR49">
        <f>SUMIF(DeadRaw!$B:$B,$B49,DeadRaw!BT:BT)</f>
        <v>0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0</v>
      </c>
      <c r="BQ51">
        <f>SUMIF(DeadRaw!$B:$B,$B51,DeadRaw!BS:BS)</f>
        <v>0</v>
      </c>
      <c r="BR51">
        <f>SUMIF(DeadRaw!$B:$B,$B51,DeadRaw!BT:BT)</f>
        <v>0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0</v>
      </c>
      <c r="BQ52">
        <f>SUMIF(DeadRaw!$B:$B,$B52,DeadRaw!BS:BS)</f>
        <v>0</v>
      </c>
      <c r="BR52">
        <f>SUMIF(DeadRaw!$B:$B,$B52,DeadRaw!BT:BT)</f>
        <v>0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0</v>
      </c>
      <c r="BR53">
        <f>SUMIF(DeadRaw!$B:$B,$B53,DeadRaw!BT:BT)</f>
        <v>0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0</v>
      </c>
      <c r="BQ54">
        <f>SUMIF(DeadRaw!$B:$B,$B54,DeadRaw!BS:BS)</f>
        <v>0</v>
      </c>
      <c r="BR54">
        <f>SUMIF(DeadRaw!$B:$B,$B54,DeadRaw!BT:BT)</f>
        <v>0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0</v>
      </c>
      <c r="BQ55">
        <f>SUMIF(DeadRaw!$B:$B,$B55,DeadRaw!BS:BS)</f>
        <v>0</v>
      </c>
      <c r="BR55">
        <f>SUMIF(DeadRaw!$B:$B,$B55,DeadRaw!BT:BT)</f>
        <v>0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0</v>
      </c>
      <c r="BQ56">
        <f>SUMIF(DeadRaw!$B:$B,$B56,DeadRaw!BS:BS)</f>
        <v>0</v>
      </c>
      <c r="BR56">
        <f>SUMIF(DeadRaw!$B:$B,$B56,DeadRaw!BT:BT)</f>
        <v>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0</v>
      </c>
      <c r="BQ57">
        <f>SUMIF(DeadRaw!$B:$B,$B57,DeadRaw!BS:BS)</f>
        <v>0</v>
      </c>
      <c r="BR57">
        <f>SUMIF(DeadRaw!$B:$B,$B57,DeadRaw!BT:BT)</f>
        <v>0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0</v>
      </c>
      <c r="BQ59">
        <f>SUMIF(DeadRaw!$B:$B,$B59,DeadRaw!BS:BS)</f>
        <v>0</v>
      </c>
      <c r="BR59">
        <f>SUMIF(DeadRaw!$B:$B,$B59,DeadRaw!BT:BT)</f>
        <v>0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0</v>
      </c>
      <c r="BQ60">
        <f>SUMIF(DeadRaw!$B:$B,$B60,DeadRaw!BS:BS)</f>
        <v>0</v>
      </c>
      <c r="BR60">
        <f>SUMIF(DeadRaw!$B:$B,$B60,DeadRaw!BT:BT)</f>
        <v>0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0</v>
      </c>
      <c r="BQ61">
        <f>SUMIF(DeadRaw!$B:$B,$B61,DeadRaw!BS:BS)</f>
        <v>0</v>
      </c>
      <c r="BR61">
        <f>SUMIF(DeadRaw!$B:$B,$B61,DeadRaw!BT:BT)</f>
        <v>0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0</v>
      </c>
      <c r="BQ63">
        <f>SUMIF(DeadRaw!$B:$B,$B63,DeadRaw!BS:BS)</f>
        <v>0</v>
      </c>
      <c r="BR63">
        <f>SUMIF(DeadRaw!$B:$B,$B63,DeadRaw!BT:BT)</f>
        <v>0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0</v>
      </c>
      <c r="BQ64">
        <f>SUMIF(DeadRaw!$B:$B,$B64,DeadRaw!BS:BS)</f>
        <v>0</v>
      </c>
      <c r="BR64">
        <f>SUMIF(DeadRaw!$B:$B,$B64,DeadRaw!BT:BT)</f>
        <v>0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0</v>
      </c>
      <c r="BQ66">
        <f>SUMIF(DeadRaw!$B:$B,$B66,DeadRaw!BS:BS)</f>
        <v>0</v>
      </c>
      <c r="BR66">
        <f>SUMIF(DeadRaw!$B:$B,$B66,DeadRaw!BT:BT)</f>
        <v>0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0</v>
      </c>
      <c r="BQ67">
        <f>SUMIF(DeadRaw!$B:$B,$B67,DeadRaw!BS:BS)</f>
        <v>0</v>
      </c>
      <c r="BR67">
        <f>SUMIF(DeadRaw!$B:$B,$B67,DeadRaw!BT:BT)</f>
        <v>0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0</v>
      </c>
      <c r="BQ68">
        <f>SUMIF(DeadRaw!$B:$B,$B68,DeadRaw!BS:BS)</f>
        <v>0</v>
      </c>
      <c r="BR68">
        <f>SUMIF(DeadRaw!$B:$B,$B68,DeadRaw!BT:BT)</f>
        <v>0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0</v>
      </c>
      <c r="BQ69">
        <f>SUMIF(DeadRaw!$B:$B,$B69,DeadRaw!BS:BS)</f>
        <v>0</v>
      </c>
      <c r="BR69">
        <f>SUMIF(DeadRaw!$B:$B,$B69,DeadRaw!BT:BT)</f>
        <v>0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0</v>
      </c>
      <c r="BQ71">
        <f>SUMIF(DeadRaw!$B:$B,$B71,DeadRaw!BS:BS)</f>
        <v>0</v>
      </c>
      <c r="BR71">
        <f>SUMIF(DeadRaw!$B:$B,$B71,DeadRaw!BT:BT)</f>
        <v>0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0</v>
      </c>
      <c r="BQ73">
        <f>SUMIF(DeadRaw!$B:$B,$B73,DeadRaw!BS:BS)</f>
        <v>0</v>
      </c>
      <c r="BR73">
        <f>SUMIF(DeadRaw!$B:$B,$B73,DeadRaw!BT:BT)</f>
        <v>0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0</v>
      </c>
      <c r="BQ74">
        <f>SUMIF(DeadRaw!$B:$B,$B74,DeadRaw!BS:BS)</f>
        <v>0</v>
      </c>
      <c r="BR74">
        <f>SUMIF(DeadRaw!$B:$B,$B74,DeadRaw!BT:BT)</f>
        <v>0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0</v>
      </c>
      <c r="BQ75">
        <f>SUMIF(DeadRaw!$B:$B,$B75,DeadRaw!BS:BS)</f>
        <v>0</v>
      </c>
      <c r="BR75">
        <f>SUMIF(DeadRaw!$B:$B,$B75,DeadRaw!BT:BT)</f>
        <v>0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0</v>
      </c>
      <c r="BQ76">
        <f>SUMIF(DeadRaw!$B:$B,$B76,DeadRaw!BS:BS)</f>
        <v>0</v>
      </c>
      <c r="BR76">
        <f>SUMIF(DeadRaw!$B:$B,$B76,DeadRaw!BT:BT)</f>
        <v>0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0</v>
      </c>
      <c r="BQ77">
        <f>SUMIF(DeadRaw!$B:$B,$B77,DeadRaw!BS:BS)</f>
        <v>0</v>
      </c>
      <c r="BR77">
        <f>SUMIF(DeadRaw!$B:$B,$B77,DeadRaw!BT:BT)</f>
        <v>0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0</v>
      </c>
      <c r="BQ78">
        <f>SUMIF(DeadRaw!$B:$B,$B78,DeadRaw!BS:BS)</f>
        <v>0</v>
      </c>
      <c r="BR78">
        <f>SUMIF(DeadRaw!$B:$B,$B78,DeadRaw!BT:BT)</f>
        <v>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0</v>
      </c>
      <c r="BQ80">
        <f>SUMIF(DeadRaw!$B:$B,$B80,DeadRaw!BS:BS)</f>
        <v>0</v>
      </c>
      <c r="BR80">
        <f>SUMIF(DeadRaw!$B:$B,$B80,DeadRaw!BT:BT)</f>
        <v>0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0</v>
      </c>
      <c r="BQ83">
        <f>SUMIF(DeadRaw!$B:$B,$B83,DeadRaw!BS:BS)</f>
        <v>0</v>
      </c>
      <c r="BR83">
        <f>SUMIF(DeadRaw!$B:$B,$B83,DeadRaw!BT:BT)</f>
        <v>0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0</v>
      </c>
      <c r="BQ84">
        <f>SUMIF(DeadRaw!$B:$B,$B84,DeadRaw!BS:BS)</f>
        <v>0</v>
      </c>
      <c r="BR84">
        <f>SUMIF(DeadRaw!$B:$B,$B84,DeadRaw!BT:BT)</f>
        <v>0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0</v>
      </c>
      <c r="BQ85">
        <f>SUMIF(DeadRaw!$B:$B,$B85,DeadRaw!BS:BS)</f>
        <v>0</v>
      </c>
      <c r="BR85">
        <f>SUMIF(DeadRaw!$B:$B,$B85,DeadRaw!BT:BT)</f>
        <v>0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0</v>
      </c>
      <c r="BQ86">
        <f>SUMIF(DeadRaw!$B:$B,$B86,DeadRaw!BS:BS)</f>
        <v>0</v>
      </c>
      <c r="BR86">
        <f>SUMIF(DeadRaw!$B:$B,$B86,DeadRaw!BT:BT)</f>
        <v>0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0</v>
      </c>
      <c r="BQ87">
        <f>SUMIF(DeadRaw!$B:$B,$B87,DeadRaw!BS:BS)</f>
        <v>0</v>
      </c>
      <c r="BR87">
        <f>SUMIF(DeadRaw!$B:$B,$B87,DeadRaw!BT:BT)</f>
        <v>0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0</v>
      </c>
      <c r="BQ88">
        <f>SUMIF(DeadRaw!$B:$B,$B88,DeadRaw!BS:BS)</f>
        <v>0</v>
      </c>
      <c r="BR88">
        <f>SUMIF(DeadRaw!$B:$B,$B88,DeadRaw!BT:BT)</f>
        <v>0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0</v>
      </c>
      <c r="BQ89">
        <f>SUMIF(DeadRaw!$B:$B,$B89,DeadRaw!BS:BS)</f>
        <v>0</v>
      </c>
      <c r="BR89">
        <f>SUMIF(DeadRaw!$B:$B,$B89,DeadRaw!BT:BT)</f>
        <v>0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0</v>
      </c>
      <c r="BR90">
        <f>SUMIF(DeadRaw!$B:$B,$B90,DeadRaw!BT:BT)</f>
        <v>0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0</v>
      </c>
      <c r="BQ92">
        <f>SUMIF(DeadRaw!$B:$B,$B92,DeadRaw!BS:BS)</f>
        <v>0</v>
      </c>
      <c r="BR92">
        <f>SUMIF(DeadRaw!$B:$B,$B92,DeadRaw!BT:BT)</f>
        <v>0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0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0</v>
      </c>
      <c r="BQ96">
        <f>SUMIF(DeadRaw!$B:$B,$B96,DeadRaw!BS:BS)</f>
        <v>0</v>
      </c>
      <c r="BR96">
        <f>SUMIF(DeadRaw!$B:$B,$B96,DeadRaw!BT:BT)</f>
        <v>0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0</v>
      </c>
      <c r="BQ97">
        <f>SUMIF(DeadRaw!$B:$B,$B97,DeadRaw!BS:BS)</f>
        <v>0</v>
      </c>
      <c r="BR97">
        <f>SUMIF(DeadRaw!$B:$B,$B97,DeadRaw!BT:BT)</f>
        <v>0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0</v>
      </c>
      <c r="BQ98">
        <f>SUMIF(DeadRaw!$B:$B,$B98,DeadRaw!BS:BS)</f>
        <v>0</v>
      </c>
      <c r="BR98">
        <f>SUMIF(DeadRaw!$B:$B,$B98,DeadRaw!BT:BT)</f>
        <v>0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0</v>
      </c>
      <c r="BQ99">
        <f>SUMIF(DeadRaw!$B:$B,$B99,DeadRaw!BS:BS)</f>
        <v>0</v>
      </c>
      <c r="BR99">
        <f>SUMIF(DeadRaw!$B:$B,$B99,DeadRaw!BT:BT)</f>
        <v>0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0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0</v>
      </c>
      <c r="BQ102">
        <f>SUMIF(DeadRaw!$B:$B,$B102,DeadRaw!BS:BS)</f>
        <v>0</v>
      </c>
      <c r="BR102">
        <f>SUMIF(DeadRaw!$B:$B,$B102,DeadRaw!BT:BT)</f>
        <v>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0</v>
      </c>
      <c r="BQ104">
        <f>SUMIF(DeadRaw!$B:$B,$B104,DeadRaw!BS:BS)</f>
        <v>0</v>
      </c>
      <c r="BR104">
        <f>SUMIF(DeadRaw!$B:$B,$B104,DeadRaw!BT:BT)</f>
        <v>0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0</v>
      </c>
      <c r="BQ105">
        <f>SUMIF(DeadRaw!$B:$B,$B105,DeadRaw!BS:BS)</f>
        <v>0</v>
      </c>
      <c r="BR105">
        <f>SUMIF(DeadRaw!$B:$B,$B105,DeadRaw!BT:BT)</f>
        <v>0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0</v>
      </c>
      <c r="BQ106">
        <f>SUMIF(DeadRaw!$B:$B,$B106,DeadRaw!BS:BS)</f>
        <v>0</v>
      </c>
      <c r="BR106">
        <f>SUMIF(DeadRaw!$B:$B,$B106,DeadRaw!BT:BT)</f>
        <v>0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0</v>
      </c>
      <c r="BQ107">
        <f>SUMIF(DeadRaw!$B:$B,$B107,DeadRaw!BS:BS)</f>
        <v>0</v>
      </c>
      <c r="BR107">
        <f>SUMIF(DeadRaw!$B:$B,$B107,DeadRaw!BT:BT)</f>
        <v>0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0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0</v>
      </c>
      <c r="BQ109">
        <f>SUMIF(DeadRaw!$B:$B,$B109,DeadRaw!BS:BS)</f>
        <v>0</v>
      </c>
      <c r="BR109">
        <f>SUMIF(DeadRaw!$B:$B,$B109,DeadRaw!BT:BT)</f>
        <v>0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0</v>
      </c>
      <c r="BQ110">
        <f>SUMIF(DeadRaw!$B:$B,$B110,DeadRaw!BS:BS)</f>
        <v>0</v>
      </c>
      <c r="BR110">
        <f>SUMIF(DeadRaw!$B:$B,$B110,DeadRaw!BT:BT)</f>
        <v>0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0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0</v>
      </c>
      <c r="BQ118">
        <f>SUMIF(DeadRaw!$B:$B,$B118,DeadRaw!BS:BS)</f>
        <v>0</v>
      </c>
      <c r="BR118">
        <f>SUMIF(DeadRaw!$B:$B,$B118,DeadRaw!BT:BT)</f>
        <v>0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0</v>
      </c>
      <c r="BQ120">
        <f>SUMIF(DeadRaw!$B:$B,$B120,DeadRaw!BS:BS)</f>
        <v>0</v>
      </c>
      <c r="BR120">
        <f>SUMIF(DeadRaw!$B:$B,$B120,DeadRaw!BT:BT)</f>
        <v>0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0</v>
      </c>
      <c r="BQ121">
        <f>SUMIF(DeadRaw!$B:$B,$B121,DeadRaw!BS:BS)</f>
        <v>0</v>
      </c>
      <c r="BR121">
        <f>SUMIF(DeadRaw!$B:$B,$B121,DeadRaw!BT:BT)</f>
        <v>0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0</v>
      </c>
      <c r="BQ125">
        <f>SUMIF(DeadRaw!$B:$B,$B125,DeadRaw!BS:BS)</f>
        <v>0</v>
      </c>
      <c r="BR125">
        <f>SUMIF(DeadRaw!$B:$B,$B125,DeadRaw!BT:BT)</f>
        <v>0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0</v>
      </c>
      <c r="BQ126">
        <f>SUMIF(DeadRaw!$B:$B,$B126,DeadRaw!BS:BS)</f>
        <v>0</v>
      </c>
      <c r="BR126">
        <f>SUMIF(DeadRaw!$B:$B,$B126,DeadRaw!BT:BT)</f>
        <v>0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CT127" si="2">SUM(BO2:BO126)</f>
        <v>23944</v>
      </c>
      <c r="BP127">
        <f t="shared" si="2"/>
        <v>0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0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0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0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0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0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0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Q249"/>
  <sheetViews>
    <sheetView workbookViewId="0">
      <selection sqref="A1:CA1000"/>
    </sheetView>
  </sheetViews>
  <sheetFormatPr defaultRowHeight="14.4" x14ac:dyDescent="0.3"/>
  <sheetData>
    <row r="1" spans="1:69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</row>
    <row r="141" spans="2:69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</row>
    <row r="145" spans="2:69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</row>
    <row r="209" spans="1:69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</row>
    <row r="211" spans="1:69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Q249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69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</row>
    <row r="2" spans="1:69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</row>
    <row r="3" spans="1:69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</row>
    <row r="4" spans="1:69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</row>
    <row r="5" spans="1:69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</row>
    <row r="6" spans="1:69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</row>
    <row r="7" spans="1:69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</row>
    <row r="8" spans="1:69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</row>
    <row r="9" spans="1:69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</row>
    <row r="10" spans="1:69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</row>
    <row r="11" spans="1:69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</row>
    <row r="12" spans="1:69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</row>
    <row r="13" spans="1:69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</row>
    <row r="14" spans="1:69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</row>
    <row r="15" spans="1:69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</row>
    <row r="16" spans="1:69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</row>
    <row r="17" spans="1:69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</row>
    <row r="18" spans="1:69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</row>
    <row r="19" spans="1:69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</row>
    <row r="20" spans="1:69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</row>
    <row r="21" spans="1:69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</row>
    <row r="22" spans="1:69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</row>
    <row r="23" spans="1:69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</row>
    <row r="24" spans="1:69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</row>
    <row r="25" spans="1:69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</row>
    <row r="26" spans="1:69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</row>
    <row r="27" spans="1:69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</row>
    <row r="28" spans="1:69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</row>
    <row r="29" spans="1:69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</row>
    <row r="30" spans="1:69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</row>
    <row r="31" spans="1:69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</row>
    <row r="32" spans="1:69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</row>
    <row r="33" spans="1:69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</row>
    <row r="34" spans="1:69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</row>
    <row r="35" spans="1:69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</row>
    <row r="36" spans="1:69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</row>
    <row r="37" spans="1:69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</row>
    <row r="38" spans="1:69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</row>
    <row r="39" spans="1:69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</row>
    <row r="40" spans="1:69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</row>
    <row r="41" spans="1:69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</row>
    <row r="42" spans="1:69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</row>
    <row r="43" spans="1:69" x14ac:dyDescent="0.3">
      <c r="A43" t="s">
        <v>467</v>
      </c>
      <c r="B43" t="s">
        <v>45</v>
      </c>
      <c r="C43">
        <v>44.681999999999903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</row>
    <row r="44" spans="1:69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</row>
    <row r="45" spans="1:69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</row>
    <row r="46" spans="1:69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</row>
    <row r="47" spans="1:69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</row>
    <row r="48" spans="1:69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</row>
    <row r="49" spans="1:69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</row>
    <row r="50" spans="1:69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</row>
    <row r="51" spans="1:69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</row>
    <row r="52" spans="1:69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</row>
    <row r="53" spans="1:69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</row>
    <row r="54" spans="1:69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</row>
    <row r="55" spans="1:69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</row>
    <row r="56" spans="1:69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</row>
    <row r="57" spans="1:69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</row>
    <row r="58" spans="1:69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</row>
    <row r="59" spans="1:69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</row>
    <row r="60" spans="1:69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</row>
    <row r="61" spans="1:69" x14ac:dyDescent="0.3">
      <c r="A61" t="s">
        <v>14</v>
      </c>
      <c r="B61" t="s">
        <v>337</v>
      </c>
      <c r="C61">
        <v>47.861999999999902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</row>
    <row r="62" spans="1:69" x14ac:dyDescent="0.3">
      <c r="A62" t="s">
        <v>15</v>
      </c>
      <c r="B62" t="s">
        <v>337</v>
      </c>
      <c r="C62">
        <v>33.881999999999998</v>
      </c>
      <c r="D62">
        <v>113.613999999999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</row>
    <row r="63" spans="1:69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</row>
    <row r="64" spans="1:69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</row>
    <row r="65" spans="1:69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</row>
    <row r="66" spans="1:69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</row>
    <row r="67" spans="1:69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</row>
    <row r="68" spans="1:69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</row>
    <row r="69" spans="1:69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</row>
    <row r="70" spans="1:69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</row>
    <row r="71" spans="1:69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</row>
    <row r="72" spans="1:69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</row>
    <row r="73" spans="1:69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</row>
    <row r="74" spans="1:69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</row>
    <row r="75" spans="1:69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</row>
    <row r="76" spans="1:69" x14ac:dyDescent="0.3">
      <c r="A76" t="s">
        <v>27</v>
      </c>
      <c r="B76" t="s">
        <v>337</v>
      </c>
      <c r="C76">
        <v>31.201999999999899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</row>
    <row r="77" spans="1:69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</row>
    <row r="78" spans="1:69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</row>
    <row r="79" spans="1:69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</row>
    <row r="80" spans="1:69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</row>
    <row r="81" spans="1:69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</row>
    <row r="82" spans="1:69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</row>
    <row r="83" spans="1:69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</row>
    <row r="84" spans="1:69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</row>
    <row r="85" spans="1:69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</row>
    <row r="86" spans="1:69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</row>
    <row r="87" spans="1:69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</row>
    <row r="88" spans="1:69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</row>
    <row r="89" spans="1:69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</row>
    <row r="90" spans="1:69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</row>
    <row r="91" spans="1:69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</row>
    <row r="92" spans="1:69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</row>
    <row r="93" spans="1:69" x14ac:dyDescent="0.3">
      <c r="B93" t="s">
        <v>341</v>
      </c>
      <c r="C93">
        <v>49.817500000000003</v>
      </c>
      <c r="D93">
        <v>15.4729999999999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</row>
    <row r="94" spans="1:69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</row>
    <row r="95" spans="1:69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</row>
    <row r="96" spans="1:69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</row>
    <row r="97" spans="1:69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</row>
    <row r="98" spans="1:69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</row>
    <row r="99" spans="1:69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</row>
    <row r="100" spans="1:69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</row>
    <row r="101" spans="1:69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</row>
    <row r="102" spans="1:69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</row>
    <row r="103" spans="1:69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</row>
    <row r="104" spans="1:69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</row>
    <row r="105" spans="1:69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</row>
    <row r="106" spans="1:69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</row>
    <row r="107" spans="1:69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</row>
    <row r="108" spans="1:69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</row>
    <row r="109" spans="1:69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</row>
    <row r="110" spans="1:69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</row>
    <row r="111" spans="1:69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</row>
    <row r="112" spans="1:69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</row>
    <row r="113" spans="1:69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</row>
    <row r="114" spans="1:69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</row>
    <row r="115" spans="1:69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</row>
    <row r="116" spans="1:69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</row>
    <row r="117" spans="1:69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</row>
    <row r="118" spans="1:69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</row>
    <row r="119" spans="1:69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</row>
    <row r="120" spans="1:69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</row>
    <row r="121" spans="1:69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</row>
    <row r="122" spans="1:69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</row>
    <row r="123" spans="1:69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</row>
    <row r="124" spans="1:69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</row>
    <row r="125" spans="1:69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</row>
    <row r="126" spans="1:69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</row>
    <row r="127" spans="1:69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</row>
    <row r="128" spans="1:69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</row>
    <row r="129" spans="2:69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</row>
    <row r="130" spans="2:69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</row>
    <row r="131" spans="2:69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</row>
    <row r="132" spans="2:69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</row>
    <row r="133" spans="2:69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</row>
    <row r="134" spans="2:69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</row>
    <row r="135" spans="2:69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</row>
    <row r="136" spans="2:69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</row>
    <row r="137" spans="2:69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</row>
    <row r="138" spans="2:69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</row>
    <row r="139" spans="2:69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</row>
    <row r="140" spans="2:69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</row>
    <row r="141" spans="2:69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</row>
    <row r="142" spans="2:69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</row>
    <row r="143" spans="2:69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</row>
    <row r="144" spans="2:69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</row>
    <row r="145" spans="2:69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</row>
    <row r="146" spans="2:69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</row>
    <row r="147" spans="2:69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</row>
    <row r="148" spans="2:69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</row>
    <row r="149" spans="2:69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</row>
    <row r="150" spans="2:69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</row>
    <row r="151" spans="2:69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</row>
    <row r="152" spans="2:69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</row>
    <row r="153" spans="2:69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</row>
    <row r="154" spans="2:69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</row>
    <row r="155" spans="2:69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</row>
    <row r="156" spans="2:69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</row>
    <row r="157" spans="2:69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</row>
    <row r="158" spans="2:69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</row>
    <row r="159" spans="2:69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</row>
    <row r="160" spans="2:69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</row>
    <row r="161" spans="1:69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</row>
    <row r="162" spans="1:69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</row>
    <row r="163" spans="1:69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</row>
    <row r="164" spans="1:69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</row>
    <row r="165" spans="1:69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</row>
    <row r="166" spans="1:69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</row>
    <row r="167" spans="1:69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</row>
    <row r="168" spans="1:69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</row>
    <row r="169" spans="1:69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</row>
    <row r="170" spans="1:69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</row>
    <row r="171" spans="1:69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</row>
    <row r="172" spans="1:69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</row>
    <row r="173" spans="1:69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</row>
    <row r="174" spans="1:69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</row>
    <row r="175" spans="1:69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</row>
    <row r="176" spans="1:69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</row>
    <row r="177" spans="2:69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</row>
    <row r="178" spans="2:69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</row>
    <row r="179" spans="2:69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</row>
    <row r="180" spans="2:69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</row>
    <row r="181" spans="2:69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</row>
    <row r="182" spans="2:69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</row>
    <row r="183" spans="2:69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</row>
    <row r="184" spans="2:69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</row>
    <row r="185" spans="2:69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</row>
    <row r="186" spans="2:69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</row>
    <row r="187" spans="2:69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</row>
    <row r="188" spans="2:69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</row>
    <row r="189" spans="2:69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</row>
    <row r="190" spans="2:69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</row>
    <row r="191" spans="2:69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</row>
    <row r="192" spans="2:69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</row>
    <row r="193" spans="2:69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</row>
    <row r="194" spans="2:69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</row>
    <row r="195" spans="2:69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</row>
    <row r="196" spans="2:69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</row>
    <row r="197" spans="2:69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</row>
    <row r="198" spans="2:69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</row>
    <row r="199" spans="2:69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</row>
    <row r="200" spans="2:69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</row>
    <row r="201" spans="2:69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</row>
    <row r="202" spans="2:69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</row>
    <row r="203" spans="2:69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</row>
    <row r="204" spans="2:69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</row>
    <row r="205" spans="2:69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</row>
    <row r="206" spans="2:69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</row>
    <row r="207" spans="2:69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</row>
    <row r="208" spans="2:69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</row>
    <row r="209" spans="1:69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</row>
    <row r="210" spans="1:69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</row>
    <row r="211" spans="1:69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</row>
    <row r="212" spans="1:69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</row>
    <row r="213" spans="1:69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</row>
    <row r="214" spans="1:69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</row>
    <row r="215" spans="1:69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</row>
    <row r="216" spans="1:69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</row>
    <row r="217" spans="1:69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</row>
    <row r="218" spans="1:69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</row>
    <row r="219" spans="1:69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</row>
    <row r="220" spans="1:69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</row>
    <row r="221" spans="1:69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</row>
    <row r="222" spans="1:69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</row>
    <row r="223" spans="1:69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</row>
    <row r="224" spans="1:69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</row>
    <row r="225" spans="1:69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</row>
    <row r="226" spans="1:69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</row>
    <row r="227" spans="1:69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</row>
    <row r="228" spans="1:69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</row>
    <row r="229" spans="1:69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</row>
    <row r="230" spans="1:69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</row>
    <row r="231" spans="1:69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</row>
    <row r="232" spans="1:69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</row>
    <row r="233" spans="1:69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</row>
    <row r="234" spans="1:69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</row>
    <row r="235" spans="1:69" x14ac:dyDescent="0.3">
      <c r="B235" t="s">
        <v>561</v>
      </c>
      <c r="C235">
        <v>12.1165</v>
      </c>
      <c r="D235">
        <v>-61.678999999999903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</row>
    <row r="236" spans="1:69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</row>
    <row r="237" spans="1:69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</row>
    <row r="238" spans="1:69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</row>
    <row r="239" spans="1:69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</row>
    <row r="240" spans="1:69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</row>
    <row r="241" spans="1:69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</row>
    <row r="242" spans="1:69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</row>
    <row r="243" spans="1:69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</row>
    <row r="244" spans="1:69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</row>
    <row r="245" spans="1:69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</row>
    <row r="246" spans="1:69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</row>
    <row r="247" spans="1:69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</row>
    <row r="248" spans="1:69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</row>
    <row r="249" spans="1:69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24</vt:i4>
      </vt:variant>
    </vt:vector>
  </HeadingPairs>
  <TitlesOfParts>
    <vt:vector size="36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country</vt:lpstr>
      <vt:lpstr>country_by_day_jpg</vt:lpstr>
      <vt:lpstr>country_jpg</vt:lpstr>
      <vt:lpstr>criticalcare</vt:lpstr>
      <vt:lpstr>death_by_day_jpg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2020-03-27T18:13:48Z</dcterms:modified>
</cp:coreProperties>
</file>