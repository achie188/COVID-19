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747CB3FA-CF07-4194-9FC7-F48D72D594F5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8" l="1"/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4" i="23"/>
  <c r="B14" i="23" s="1" a="1"/>
  <c r="B14" i="23" s="1"/>
  <c r="D14" i="23"/>
  <c r="C12" i="23"/>
  <c r="B12" i="23" s="1" a="1"/>
  <c r="B12" i="23" s="1"/>
  <c r="D12" i="23"/>
  <c r="C13" i="23"/>
  <c r="B13" i="23" s="1" a="1"/>
  <c r="B13" i="23" s="1"/>
  <c r="D13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B54" i="23" a="1"/>
  <c r="B54" i="23" s="1"/>
  <c r="C54" i="23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B89" i="23" a="1"/>
  <c r="B89" i="23" s="1"/>
  <c r="C89" i="23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B20" i="8" a="1"/>
  <c r="B20" i="8" s="1"/>
  <c r="C20" i="8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B150" i="8"/>
  <c r="C150" i="8"/>
  <c r="B150" i="8" s="1" a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J4" i="8" l="1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C5" i="23"/>
  <c r="B5" i="23" s="1" a="1"/>
  <c r="B5" i="23" s="1"/>
  <c r="C5" i="8"/>
  <c r="B5" i="8" s="1" a="1"/>
  <c r="B5" i="8" s="1"/>
  <c r="K4" i="23" l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3" i="23" l="1"/>
  <c r="D4" i="23"/>
  <c r="D3" i="8"/>
  <c r="D4" i="8"/>
  <c r="X15" i="12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2" i="20" l="1"/>
  <c r="L21" i="20"/>
  <c r="L9" i="20"/>
  <c r="L5" i="20"/>
  <c r="L11" i="20"/>
  <c r="L16" i="20"/>
  <c r="L10" i="20"/>
  <c r="L13" i="20"/>
  <c r="L7" i="20"/>
  <c r="L8" i="20"/>
  <c r="L6" i="20"/>
  <c r="L14" i="20"/>
  <c r="L19" i="20"/>
  <c r="L30" i="20"/>
  <c r="L22" i="20"/>
  <c r="L18" i="20"/>
  <c r="L26" i="20"/>
  <c r="L17" i="20"/>
  <c r="L24" i="20"/>
  <c r="L32" i="20"/>
  <c r="L25" i="20"/>
  <c r="L33" i="20"/>
  <c r="L31" i="20"/>
  <c r="L28" i="20"/>
  <c r="L4" i="20"/>
  <c r="L41" i="20"/>
  <c r="L29" i="20"/>
  <c r="L23" i="20"/>
  <c r="L38" i="20"/>
  <c r="L27" i="20"/>
  <c r="L35" i="20"/>
  <c r="L42" i="20"/>
  <c r="L37" i="20"/>
  <c r="L20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5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O38" i="14" s="1"/>
  <c r="N39" i="14"/>
  <c r="N40" i="14"/>
  <c r="N41" i="14"/>
  <c r="O41" i="14" s="1"/>
  <c r="N42" i="14"/>
  <c r="N43" i="14"/>
  <c r="O43" i="14" s="1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O75" i="14" s="1"/>
  <c r="N76" i="14"/>
  <c r="O76" i="14" s="1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N103" i="14"/>
  <c r="O103" i="14" s="1"/>
  <c r="N104" i="14"/>
  <c r="N105" i="14"/>
  <c r="O105" i="14" s="1"/>
  <c r="N106" i="14"/>
  <c r="N107" i="14"/>
  <c r="O107" i="14" s="1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A4" i="23" l="1"/>
  <c r="F4" i="23"/>
  <c r="F3" i="23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3" i="20"/>
  <c r="H58" i="20"/>
  <c r="H61" i="20"/>
  <c r="D2" i="23"/>
  <c r="E3" i="23" l="1"/>
  <c r="G3" i="23" s="1"/>
  <c r="E4" i="23"/>
  <c r="G4" i="23" s="1"/>
  <c r="F2" i="23"/>
  <c r="E2" i="23"/>
  <c r="C32" i="13"/>
  <c r="G2" i="23" l="1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5" i="20"/>
  <c r="H5" i="13" l="1"/>
  <c r="C24" i="13"/>
  <c r="C23" i="13"/>
  <c r="C16" i="13"/>
  <c r="C19" i="13"/>
  <c r="G5" i="13"/>
  <c r="B35" i="13"/>
  <c r="M33" i="20"/>
  <c r="M51" i="20"/>
  <c r="M50" i="20"/>
  <c r="M56" i="20"/>
  <c r="M21" i="20"/>
  <c r="M23" i="20"/>
  <c r="M17" i="20"/>
  <c r="M30" i="20"/>
  <c r="M14" i="20"/>
  <c r="M43" i="20"/>
  <c r="M24" i="20"/>
  <c r="M25" i="20"/>
  <c r="M26" i="20"/>
  <c r="M53" i="20"/>
  <c r="M10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6" i="14" l="1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5" i="20" s="1"/>
  <c r="G63" i="14"/>
  <c r="G55" i="14"/>
  <c r="F24" i="20" s="1"/>
  <c r="G47" i="14"/>
  <c r="F17" i="20" s="1"/>
  <c r="G39" i="14"/>
  <c r="F30" i="20" s="1"/>
  <c r="G31" i="14"/>
  <c r="F49" i="20" s="1"/>
  <c r="G23" i="14"/>
  <c r="F20" i="20" s="1"/>
  <c r="G15" i="14"/>
  <c r="F7" i="20" s="1"/>
  <c r="G7" i="14"/>
  <c r="F8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10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9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5" i="20" s="1"/>
  <c r="G10" i="14"/>
  <c r="F14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1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4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2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21" i="20" s="1"/>
  <c r="G38" i="14"/>
  <c r="F52" i="20" s="1"/>
  <c r="G30" i="14"/>
  <c r="G22" i="14"/>
  <c r="F43" i="20" s="1"/>
  <c r="G14" i="14"/>
  <c r="F13" i="20" s="1"/>
  <c r="G6" i="14"/>
  <c r="F19" i="20" s="1"/>
  <c r="G2" i="14"/>
  <c r="F60" i="20" s="1"/>
  <c r="G3" i="14"/>
  <c r="F22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6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11" i="20"/>
  <c r="M67" i="14"/>
  <c r="D56" i="20"/>
  <c r="M41" i="14"/>
  <c r="D15" i="20"/>
  <c r="M71" i="14"/>
  <c r="D44" i="20"/>
  <c r="M52" i="14"/>
  <c r="C15" i="13" s="1"/>
  <c r="C36" i="15" s="1"/>
  <c r="D24" i="20"/>
  <c r="M55" i="14"/>
  <c r="D10" i="20"/>
  <c r="M47" i="14"/>
  <c r="D39" i="20"/>
  <c r="M49" i="14"/>
  <c r="D37" i="20"/>
  <c r="M72" i="14"/>
  <c r="D43" i="20"/>
  <c r="M48" i="14"/>
  <c r="D5" i="20"/>
  <c r="M39" i="14"/>
  <c r="D26" i="20"/>
  <c r="M46" i="14"/>
  <c r="D55" i="20"/>
  <c r="M26" i="14"/>
  <c r="D17" i="20"/>
  <c r="M34" i="14"/>
  <c r="D30" i="20"/>
  <c r="M37" i="14"/>
  <c r="D28" i="20"/>
  <c r="M58" i="14"/>
  <c r="D21" i="20"/>
  <c r="M61" i="14"/>
  <c r="D47" i="20"/>
  <c r="M38" i="14"/>
  <c r="D23" i="20"/>
  <c r="M51" i="14"/>
  <c r="D51" i="20"/>
  <c r="M42" i="14"/>
  <c r="D50" i="20"/>
  <c r="M44" i="14"/>
  <c r="D14" i="20"/>
  <c r="M40" i="14"/>
  <c r="D53" i="20"/>
  <c r="D42" i="20"/>
  <c r="L1" i="8"/>
  <c r="L4" i="13"/>
  <c r="A10" i="8" l="1"/>
  <c r="C9" i="13"/>
  <c r="X6" i="13" s="1"/>
  <c r="E23" i="20"/>
  <c r="G3" i="13"/>
  <c r="G25" i="13" s="1"/>
  <c r="K13" i="13"/>
  <c r="L5" i="13"/>
  <c r="L13" i="13" s="1"/>
  <c r="E14" i="20"/>
  <c r="E47" i="20"/>
  <c r="E17" i="20"/>
  <c r="E53" i="20"/>
  <c r="E30" i="20"/>
  <c r="E10" i="20"/>
  <c r="E5" i="20"/>
  <c r="E56" i="20"/>
  <c r="E33" i="20"/>
  <c r="E11" i="20"/>
  <c r="E24" i="20"/>
  <c r="E43" i="20"/>
  <c r="E21" i="20"/>
  <c r="E55" i="20"/>
  <c r="E37" i="20"/>
  <c r="E44" i="20"/>
  <c r="E63" i="20"/>
  <c r="E50" i="20"/>
  <c r="E42" i="20"/>
  <c r="E51" i="20"/>
  <c r="E28" i="20"/>
  <c r="E26" i="20"/>
  <c r="E39" i="20"/>
  <c r="E15" i="20"/>
  <c r="E25" i="20"/>
  <c r="M1" i="8"/>
  <c r="M4" i="13"/>
  <c r="A11" i="8" l="1"/>
  <c r="J6" i="13"/>
  <c r="K6" i="13"/>
  <c r="I6" i="13"/>
  <c r="L6" i="13"/>
  <c r="H6" i="13"/>
  <c r="G6" i="13"/>
  <c r="G7" i="13" s="1"/>
  <c r="M5" i="13"/>
  <c r="M6" i="13"/>
  <c r="N1" i="8"/>
  <c r="N4" i="13"/>
  <c r="H7" i="13" l="1"/>
  <c r="H8" i="13" s="1"/>
  <c r="L7" i="13"/>
  <c r="I7" i="13"/>
  <c r="K7" i="13"/>
  <c r="J7" i="13"/>
  <c r="M7" i="13"/>
  <c r="A12" i="8"/>
  <c r="L15" i="13"/>
  <c r="K15" i="13"/>
  <c r="I15" i="13"/>
  <c r="J15" i="13"/>
  <c r="M13" i="13"/>
  <c r="M15" i="13"/>
  <c r="N5" i="13"/>
  <c r="N6" i="13"/>
  <c r="O1" i="8"/>
  <c r="O4" i="13"/>
  <c r="N7" i="13" l="1"/>
  <c r="I8" i="13"/>
  <c r="J8" i="13" s="1"/>
  <c r="K8" i="13" s="1"/>
  <c r="L8" i="13" s="1"/>
  <c r="M8" i="13" s="1"/>
  <c r="N8" i="13" s="1"/>
  <c r="A13" i="8"/>
  <c r="L17" i="13"/>
  <c r="M17" i="13"/>
  <c r="K17" i="13"/>
  <c r="H14" i="13"/>
  <c r="N13" i="13"/>
  <c r="N15" i="13"/>
  <c r="O5" i="13"/>
  <c r="O6" i="13"/>
  <c r="P1" i="8"/>
  <c r="P4" i="13"/>
  <c r="O7" i="13" l="1"/>
  <c r="O8" i="13" s="1"/>
  <c r="I14" i="13"/>
  <c r="A14" i="8"/>
  <c r="G14" i="13"/>
  <c r="N17" i="13"/>
  <c r="O13" i="13"/>
  <c r="O15" i="13"/>
  <c r="P5" i="13"/>
  <c r="P6" i="13"/>
  <c r="Q1" i="8"/>
  <c r="Q4" i="13"/>
  <c r="P7" i="13" l="1"/>
  <c r="P8" i="13" s="1"/>
  <c r="J14" i="13"/>
  <c r="J16" i="13" s="1"/>
  <c r="N14" i="13"/>
  <c r="L14" i="13"/>
  <c r="K14" i="13"/>
  <c r="M14" i="13"/>
  <c r="O14" i="13"/>
  <c r="A15" i="8"/>
  <c r="H16" i="13"/>
  <c r="G16" i="13"/>
  <c r="I16" i="13"/>
  <c r="O17" i="13"/>
  <c r="P13" i="13"/>
  <c r="P15" i="13"/>
  <c r="Q5" i="13"/>
  <c r="Q6" i="13"/>
  <c r="R1" i="8"/>
  <c r="R4" i="13"/>
  <c r="Q7" i="13" l="1"/>
  <c r="Q8" i="13" s="1"/>
  <c r="L16" i="13"/>
  <c r="O16" i="13"/>
  <c r="M16" i="13"/>
  <c r="K16" i="13"/>
  <c r="N16" i="13"/>
  <c r="A16" i="8"/>
  <c r="P17" i="13"/>
  <c r="Q13" i="13"/>
  <c r="Q15" i="13"/>
  <c r="R5" i="13"/>
  <c r="R6" i="13"/>
  <c r="S1" i="8"/>
  <c r="S4" i="13"/>
  <c r="R7" i="13" l="1"/>
  <c r="R8" i="13" s="1"/>
  <c r="Q14" i="13"/>
  <c r="A17" i="8"/>
  <c r="P14" i="13"/>
  <c r="P16" i="13" s="1"/>
  <c r="Q17" i="13"/>
  <c r="R13" i="13"/>
  <c r="R15" i="13"/>
  <c r="S5" i="13"/>
  <c r="S6" i="13"/>
  <c r="T1" i="8"/>
  <c r="T4" i="13"/>
  <c r="S7" i="13" l="1"/>
  <c r="S8" i="13" s="1"/>
  <c r="A18" i="8"/>
  <c r="Q16" i="13"/>
  <c r="R14" i="13"/>
  <c r="R16" i="13" s="1"/>
  <c r="R17" i="13"/>
  <c r="S13" i="13"/>
  <c r="S15" i="13"/>
  <c r="T5" i="13"/>
  <c r="T13" i="13" s="1"/>
  <c r="T6" i="13"/>
  <c r="U1" i="8"/>
  <c r="U4" i="13"/>
  <c r="T7" i="13" l="1"/>
  <c r="T8" i="13" s="1"/>
  <c r="A19" i="8"/>
  <c r="S14" i="13"/>
  <c r="S16" i="13" s="1"/>
  <c r="S17" i="13"/>
  <c r="T15" i="13"/>
  <c r="U5" i="13"/>
  <c r="U6" i="13"/>
  <c r="V1" i="8"/>
  <c r="V4" i="13"/>
  <c r="U7" i="13" l="1"/>
  <c r="A20" i="8"/>
  <c r="T14" i="13"/>
  <c r="T16" i="13" s="1"/>
  <c r="T17" i="13"/>
  <c r="U8" i="13"/>
  <c r="U13" i="13"/>
  <c r="U15" i="13"/>
  <c r="V5" i="13"/>
  <c r="V6" i="13"/>
  <c r="W1" i="8"/>
  <c r="W4" i="13"/>
  <c r="V7" i="13" l="1"/>
  <c r="U14" i="13"/>
  <c r="U16" i="13" s="1"/>
  <c r="E20" i="8"/>
  <c r="A21" i="8"/>
  <c r="F20" i="8"/>
  <c r="U17" i="13"/>
  <c r="V13" i="13"/>
  <c r="V15" i="13"/>
  <c r="W5" i="13"/>
  <c r="W6" i="13"/>
  <c r="X1" i="8"/>
  <c r="X4" i="13"/>
  <c r="W7" i="13" l="1"/>
  <c r="G20" i="8"/>
  <c r="A22" i="8"/>
  <c r="F19" i="8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Y7" i="13" l="1"/>
  <c r="A24" i="8"/>
  <c r="F23" i="8"/>
  <c r="X8" i="13"/>
  <c r="X14" i="13" s="1"/>
  <c r="V16" i="13"/>
  <c r="W14" i="13"/>
  <c r="W16" i="13" s="1"/>
  <c r="X17" i="13"/>
  <c r="Y8" i="13"/>
  <c r="Y13" i="13"/>
  <c r="Y15" i="13"/>
  <c r="Z5" i="13"/>
  <c r="Z6" i="13"/>
  <c r="Z7" i="13" s="1"/>
  <c r="AA1" i="8"/>
  <c r="AA4" i="13"/>
  <c r="A25" i="8" l="1"/>
  <c r="X16" i="13"/>
  <c r="Y14" i="13"/>
  <c r="Y17" i="13"/>
  <c r="Z13" i="13"/>
  <c r="Z15" i="13"/>
  <c r="AA5" i="13"/>
  <c r="AA6" i="13"/>
  <c r="AB1" i="8"/>
  <c r="AB4" i="13"/>
  <c r="AA7" i="13" l="1"/>
  <c r="F21" i="8"/>
  <c r="A26" i="8"/>
  <c r="E25" i="8"/>
  <c r="F25" i="8"/>
  <c r="Y16" i="13"/>
  <c r="Z17" i="13"/>
  <c r="Z8" i="13"/>
  <c r="AA13" i="13"/>
  <c r="AA15" i="13"/>
  <c r="AB5" i="13"/>
  <c r="AB6" i="13"/>
  <c r="AB7" i="13" s="1"/>
  <c r="AC1" i="8"/>
  <c r="AC4" i="13"/>
  <c r="F22" i="8" l="1"/>
  <c r="G25" i="8"/>
  <c r="A27" i="8"/>
  <c r="E26" i="8"/>
  <c r="F26" i="8"/>
  <c r="AA8" i="13"/>
  <c r="AA14" i="13" s="1"/>
  <c r="AB13" i="13"/>
  <c r="Z14" i="13"/>
  <c r="Z16" i="13" s="1"/>
  <c r="AA17" i="13"/>
  <c r="AB15" i="13"/>
  <c r="AC5" i="13"/>
  <c r="AC13" i="13" s="1"/>
  <c r="AC6" i="13"/>
  <c r="AC7" i="13" s="1"/>
  <c r="AD1" i="8"/>
  <c r="AD4" i="13"/>
  <c r="G26" i="8" l="1"/>
  <c r="A28" i="8"/>
  <c r="E27" i="8"/>
  <c r="F27" i="8"/>
  <c r="AB17" i="13"/>
  <c r="AA16" i="13"/>
  <c r="AB8" i="13"/>
  <c r="AC15" i="13"/>
  <c r="AD5" i="13"/>
  <c r="AD13" i="13" s="1"/>
  <c r="AD6" i="13"/>
  <c r="AE1" i="8"/>
  <c r="AE4" i="13"/>
  <c r="AD7" i="13" l="1"/>
  <c r="G27" i="8"/>
  <c r="E28" i="8"/>
  <c r="A29" i="8"/>
  <c r="F28" i="8"/>
  <c r="AC17" i="13"/>
  <c r="AB14" i="13"/>
  <c r="AC8" i="13"/>
  <c r="AD15" i="13"/>
  <c r="AE5" i="13"/>
  <c r="AE13" i="13" s="1"/>
  <c r="AE6" i="13"/>
  <c r="AE7" i="13" s="1"/>
  <c r="AF1" i="8"/>
  <c r="AF4" i="13"/>
  <c r="G28" i="8" l="1"/>
  <c r="E23" i="8"/>
  <c r="G23" i="8" s="1"/>
  <c r="E29" i="8"/>
  <c r="A30" i="8"/>
  <c r="F29" i="8"/>
  <c r="AD17" i="13"/>
  <c r="AB16" i="13"/>
  <c r="AC14" i="13"/>
  <c r="AD8" i="13"/>
  <c r="AE15" i="13"/>
  <c r="AF5" i="13"/>
  <c r="AF6" i="13"/>
  <c r="AF7" i="13" s="1"/>
  <c r="AG1" i="8"/>
  <c r="AG4" i="13"/>
  <c r="AF13" i="13" l="1"/>
  <c r="G29" i="8"/>
  <c r="E30" i="8"/>
  <c r="A31" i="8"/>
  <c r="F30" i="8"/>
  <c r="AC16" i="13"/>
  <c r="AE17" i="13"/>
  <c r="AD14" i="13"/>
  <c r="AF8" i="13"/>
  <c r="AE8" i="13"/>
  <c r="AF15" i="13"/>
  <c r="AG5" i="13"/>
  <c r="AG13" i="13" s="1"/>
  <c r="AG6" i="13"/>
  <c r="AG7" i="13" s="1"/>
  <c r="AH1" i="8"/>
  <c r="AH4" i="13"/>
  <c r="G30" i="8" l="1"/>
  <c r="E31" i="8"/>
  <c r="A32" i="8"/>
  <c r="F31" i="8"/>
  <c r="AF14" i="13"/>
  <c r="AD16" i="13"/>
  <c r="AF17" i="13"/>
  <c r="AE14" i="13"/>
  <c r="AE16" i="13" s="1"/>
  <c r="AG8" i="13"/>
  <c r="AG15" i="13"/>
  <c r="AH5" i="13"/>
  <c r="AH13" i="13" s="1"/>
  <c r="AH6" i="13"/>
  <c r="AH7" i="13" s="1"/>
  <c r="AI1" i="8"/>
  <c r="AI4" i="13"/>
  <c r="G31" i="8" l="1"/>
  <c r="E32" i="8"/>
  <c r="A33" i="8"/>
  <c r="F32" i="8"/>
  <c r="AG17" i="13"/>
  <c r="AF16" i="13"/>
  <c r="AH8" i="13"/>
  <c r="AH15" i="13"/>
  <c r="AI5" i="13"/>
  <c r="AI13" i="13" s="1"/>
  <c r="AI6" i="13"/>
  <c r="AJ1" i="8"/>
  <c r="AJ4" i="13"/>
  <c r="AI7" i="13" l="1"/>
  <c r="AI8" i="13" s="1"/>
  <c r="G32" i="8"/>
  <c r="A34" i="8"/>
  <c r="E33" i="8"/>
  <c r="F33" i="8"/>
  <c r="AH17" i="13"/>
  <c r="AH14" i="13"/>
  <c r="AG14" i="13"/>
  <c r="AI15" i="13"/>
  <c r="AI17" i="13" s="1"/>
  <c r="AJ5" i="13"/>
  <c r="AJ13" i="13" s="1"/>
  <c r="AJ6" i="13"/>
  <c r="AJ7" i="13" s="1"/>
  <c r="AK1" i="8"/>
  <c r="AK4" i="13"/>
  <c r="G33" i="8" l="1"/>
  <c r="A35" i="8"/>
  <c r="E34" i="8"/>
  <c r="F34" i="8"/>
  <c r="AG16" i="13"/>
  <c r="AH16" i="13"/>
  <c r="AJ15" i="13"/>
  <c r="AJ17" i="13" s="1"/>
  <c r="AK5" i="13"/>
  <c r="AK13" i="13" s="1"/>
  <c r="AK6" i="13"/>
  <c r="AK7" i="13" s="1"/>
  <c r="AL1" i="8"/>
  <c r="AL4" i="13"/>
  <c r="G34" i="8" l="1"/>
  <c r="A36" i="8"/>
  <c r="E35" i="8"/>
  <c r="F35" i="8"/>
  <c r="AI14" i="13"/>
  <c r="AJ8" i="13"/>
  <c r="AK8" i="13"/>
  <c r="AL6" i="13"/>
  <c r="AL7" i="13" s="1"/>
  <c r="AK15" i="13"/>
  <c r="AL5" i="13"/>
  <c r="AM1" i="8"/>
  <c r="AM4" i="13"/>
  <c r="G35" i="8" l="1"/>
  <c r="E36" i="8"/>
  <c r="A37" i="8"/>
  <c r="F36" i="8"/>
  <c r="AK17" i="13"/>
  <c r="AI16" i="13"/>
  <c r="G12" i="20"/>
  <c r="AK14" i="13"/>
  <c r="AJ14" i="13"/>
  <c r="AL8" i="13"/>
  <c r="AL13" i="13"/>
  <c r="AL15" i="13"/>
  <c r="AL17" i="13" s="1"/>
  <c r="AM5" i="13"/>
  <c r="AM13" i="13" s="1"/>
  <c r="AM6" i="13"/>
  <c r="AN1" i="8"/>
  <c r="AN4" i="13"/>
  <c r="G36" i="8" l="1"/>
  <c r="E37" i="8"/>
  <c r="A38" i="8"/>
  <c r="F37" i="8"/>
  <c r="AJ16" i="13"/>
  <c r="AK16" i="13"/>
  <c r="AM7" i="13"/>
  <c r="AM8" i="13" s="1"/>
  <c r="AM15" i="13"/>
  <c r="AN5" i="13"/>
  <c r="AN6" i="13"/>
  <c r="AO1" i="8"/>
  <c r="AO4" i="13"/>
  <c r="G37" i="8" l="1"/>
  <c r="E38" i="8"/>
  <c r="A39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E39" i="8" l="1"/>
  <c r="A40" i="8"/>
  <c r="F39" i="8"/>
  <c r="G38" i="8"/>
  <c r="AL16" i="13"/>
  <c r="AM16" i="13"/>
  <c r="AN17" i="13"/>
  <c r="AN14" i="13"/>
  <c r="AO7" i="13"/>
  <c r="AO15" i="13"/>
  <c r="AP5" i="13"/>
  <c r="AP6" i="13"/>
  <c r="AQ1" i="8"/>
  <c r="AQ4" i="13"/>
  <c r="E40" i="8" l="1"/>
  <c r="A41" i="8"/>
  <c r="F40" i="8"/>
  <c r="G39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42" i="8" l="1"/>
  <c r="E41" i="8"/>
  <c r="F41" i="8"/>
  <c r="G40" i="8"/>
  <c r="AP17" i="13"/>
  <c r="AP14" i="13"/>
  <c r="AO14" i="13"/>
  <c r="AQ7" i="13"/>
  <c r="AQ8" i="13" s="1"/>
  <c r="AQ15" i="13"/>
  <c r="AR5" i="13"/>
  <c r="AR6" i="13"/>
  <c r="AS1" i="8"/>
  <c r="AS4" i="13"/>
  <c r="G41" i="8" l="1"/>
  <c r="A43" i="8"/>
  <c r="E42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42" i="8" l="1"/>
  <c r="A44" i="8"/>
  <c r="E43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A45" i="8"/>
  <c r="F44" i="8"/>
  <c r="AR16" i="13"/>
  <c r="AS14" i="13"/>
  <c r="AS16" i="13" s="1"/>
  <c r="AT7" i="13"/>
  <c r="AT13" i="13"/>
  <c r="AT15" i="13"/>
  <c r="AU5" i="13"/>
  <c r="AU6" i="13"/>
  <c r="AV1" i="8"/>
  <c r="E44" i="8" s="1"/>
  <c r="AV4" i="13"/>
  <c r="G44" i="8" l="1"/>
  <c r="E45" i="8"/>
  <c r="A46" i="8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G45" i="8" l="1"/>
  <c r="E46" i="8"/>
  <c r="A47" i="8"/>
  <c r="F46" i="8"/>
  <c r="AU14" i="13"/>
  <c r="AT14" i="13"/>
  <c r="AV7" i="13"/>
  <c r="AV8" i="13" s="1"/>
  <c r="AV15" i="13"/>
  <c r="AW5" i="13"/>
  <c r="AW6" i="13"/>
  <c r="AX1" i="8"/>
  <c r="G27" i="20"/>
  <c r="AX4" i="13"/>
  <c r="E47" i="8" l="1"/>
  <c r="A48" i="8"/>
  <c r="F47" i="8"/>
  <c r="G46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G47" i="8" l="1"/>
  <c r="G29" i="20" s="1"/>
  <c r="E48" i="8"/>
  <c r="A49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9" i="20"/>
  <c r="BA4" i="13"/>
  <c r="A51" i="8" l="1"/>
  <c r="E50" i="8"/>
  <c r="F50" i="8"/>
  <c r="G49" i="8"/>
  <c r="AY14" i="13"/>
  <c r="AZ7" i="13"/>
  <c r="AZ8" i="13" s="1"/>
  <c r="AZ15" i="13"/>
  <c r="AZ17" i="13" s="1"/>
  <c r="BA5" i="13"/>
  <c r="BA6" i="13"/>
  <c r="BB1" i="8"/>
  <c r="BB4" i="13"/>
  <c r="A52" i="8" l="1"/>
  <c r="E51" i="8"/>
  <c r="F51" i="8"/>
  <c r="G50" i="8"/>
  <c r="AY16" i="13"/>
  <c r="AZ14" i="13"/>
  <c r="BA7" i="13"/>
  <c r="BA8" i="13" s="1"/>
  <c r="BA13" i="13"/>
  <c r="BA15" i="13"/>
  <c r="BB5" i="13"/>
  <c r="BB13" i="13" s="1"/>
  <c r="BB6" i="13"/>
  <c r="BC1" i="8"/>
  <c r="BC4" i="13"/>
  <c r="E52" i="8" l="1"/>
  <c r="A53" i="8"/>
  <c r="F52" i="8"/>
  <c r="G51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G52" i="8" l="1"/>
  <c r="E53" i="8"/>
  <c r="A54" i="8"/>
  <c r="F53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G53" i="8" l="1"/>
  <c r="E54" i="8"/>
  <c r="A55" i="8"/>
  <c r="F54" i="8"/>
  <c r="BC17" i="13"/>
  <c r="BF1" i="8"/>
  <c r="G4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G40" i="20" s="1"/>
  <c r="E55" i="8"/>
  <c r="A56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7" i="20"/>
  <c r="J17" i="20" s="1"/>
  <c r="C16" i="15"/>
  <c r="C34" i="15"/>
  <c r="I3" i="13"/>
  <c r="C10" i="15"/>
  <c r="BG4" i="13"/>
  <c r="G55" i="8" l="1"/>
  <c r="E56" i="8"/>
  <c r="A57" i="8"/>
  <c r="F56" i="8"/>
  <c r="BE17" i="13"/>
  <c r="BH1" i="8"/>
  <c r="E2" i="8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A59" i="8"/>
  <c r="E58" i="8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A60" i="8"/>
  <c r="E59" i="8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G59" i="8" l="1"/>
  <c r="E60" i="8"/>
  <c r="A61" i="8"/>
  <c r="F60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E61" i="8" l="1"/>
  <c r="A62" i="8"/>
  <c r="F61" i="8"/>
  <c r="G60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E3" i="8" l="1"/>
  <c r="E4" i="8"/>
  <c r="F3" i="8"/>
  <c r="F4" i="8"/>
  <c r="F7" i="8"/>
  <c r="F8" i="8"/>
  <c r="E7" i="8"/>
  <c r="E6" i="8"/>
  <c r="F5" i="8"/>
  <c r="E5" i="8"/>
  <c r="F6" i="8"/>
  <c r="F10" i="8"/>
  <c r="F9" i="8"/>
  <c r="E8" i="8"/>
  <c r="G8" i="8" s="1"/>
  <c r="E10" i="8"/>
  <c r="E9" i="8"/>
  <c r="E11" i="8"/>
  <c r="F11" i="8"/>
  <c r="E13" i="8"/>
  <c r="F13" i="8"/>
  <c r="F12" i="8"/>
  <c r="E15" i="8"/>
  <c r="F14" i="8"/>
  <c r="F15" i="8"/>
  <c r="E12" i="8"/>
  <c r="F16" i="8"/>
  <c r="E14" i="8"/>
  <c r="G14" i="8" s="1"/>
  <c r="E16" i="8"/>
  <c r="F17" i="8"/>
  <c r="F18" i="8"/>
  <c r="E18" i="8"/>
  <c r="E17" i="8"/>
  <c r="E19" i="8"/>
  <c r="G19" i="8" s="1"/>
  <c r="F24" i="8"/>
  <c r="E22" i="8"/>
  <c r="G22" i="8" s="1"/>
  <c r="G13" i="20" s="1"/>
  <c r="E21" i="8"/>
  <c r="G21" i="8" s="1"/>
  <c r="E24" i="8"/>
  <c r="E62" i="8"/>
  <c r="A63" i="8"/>
  <c r="F62" i="8"/>
  <c r="G61" i="8"/>
  <c r="BK17" i="13"/>
  <c r="BJ14" i="13"/>
  <c r="G45" i="20"/>
  <c r="G57" i="20"/>
  <c r="G26" i="20"/>
  <c r="J26" i="20" s="1"/>
  <c r="G43" i="20"/>
  <c r="J43" i="20" s="1"/>
  <c r="G30" i="20"/>
  <c r="J30" i="20" s="1"/>
  <c r="G25" i="20"/>
  <c r="J25" i="20" s="1"/>
  <c r="G18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17" i="8" l="1"/>
  <c r="G9" i="8"/>
  <c r="G6" i="8"/>
  <c r="G10" i="8"/>
  <c r="G16" i="20" s="1"/>
  <c r="G7" i="8"/>
  <c r="G19" i="20" s="1"/>
  <c r="G5" i="8"/>
  <c r="G13" i="8"/>
  <c r="G12" i="8"/>
  <c r="E63" i="8"/>
  <c r="A64" i="8"/>
  <c r="F63" i="8"/>
  <c r="G18" i="8"/>
  <c r="G14" i="20" s="1"/>
  <c r="J14" i="20" s="1"/>
  <c r="G62" i="8"/>
  <c r="G15" i="8"/>
  <c r="G24" i="8"/>
  <c r="G16" i="8"/>
  <c r="G4" i="8"/>
  <c r="G11" i="8"/>
  <c r="G3" i="8"/>
  <c r="G8" i="20"/>
  <c r="G60" i="20"/>
  <c r="G7" i="20"/>
  <c r="BK16" i="13"/>
  <c r="BJ16" i="13"/>
  <c r="BL17" i="13"/>
  <c r="G50" i="20"/>
  <c r="J50" i="20" s="1"/>
  <c r="G5" i="20"/>
  <c r="J5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E64" i="8" l="1"/>
  <c r="A65" i="8"/>
  <c r="F64" i="8"/>
  <c r="G63" i="8"/>
  <c r="C12" i="13"/>
  <c r="C14" i="13" s="1"/>
  <c r="C20" i="15" s="1"/>
  <c r="BL14" i="13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F66" i="8"/>
  <c r="G65" i="8"/>
  <c r="G58" i="20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A68" i="8"/>
  <c r="E67" i="8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G44" i="20" s="1"/>
  <c r="J44" i="20" s="1"/>
  <c r="E68" i="8"/>
  <c r="A69" i="8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G68" i="8" l="1"/>
  <c r="G48" i="20" s="1"/>
  <c r="E69" i="8"/>
  <c r="A70" i="8"/>
  <c r="F69" i="8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E70" i="8"/>
  <c r="A71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0" i="20"/>
  <c r="G10" i="20"/>
  <c r="J10" i="20" s="1"/>
  <c r="X3" i="13"/>
  <c r="BV4" i="13"/>
  <c r="G70" i="8" l="1"/>
  <c r="E71" i="8"/>
  <c r="A72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2" i="20"/>
  <c r="Y3" i="13"/>
  <c r="BW4" i="13"/>
  <c r="G71" i="8" l="1"/>
  <c r="E72" i="8"/>
  <c r="A73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A74" i="8"/>
  <c r="E73" i="8"/>
  <c r="F73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4" i="20"/>
  <c r="G52" i="20"/>
  <c r="AA3" i="13"/>
  <c r="BY4" i="13"/>
  <c r="G73" i="8" l="1"/>
  <c r="G53" i="20" s="1"/>
  <c r="J53" i="20" s="1"/>
  <c r="A75" i="8"/>
  <c r="E74" i="8"/>
  <c r="F74" i="8"/>
  <c r="BX17" i="13"/>
  <c r="BX8" i="13"/>
  <c r="BW8" i="13"/>
  <c r="BV10" i="13"/>
  <c r="BV12" i="13"/>
  <c r="BV14" i="13"/>
  <c r="BV11" i="13"/>
  <c r="BX7" i="13"/>
  <c r="AA27" i="13"/>
  <c r="AA28" i="13" s="1"/>
  <c r="AA25" i="13"/>
  <c r="BY5" i="13"/>
  <c r="BY13" i="13" s="1"/>
  <c r="BY6" i="13"/>
  <c r="BY15" i="13" s="1"/>
  <c r="AB3" i="13"/>
  <c r="BZ4" i="13"/>
  <c r="CA17" i="13" l="1"/>
  <c r="BY17" i="13"/>
  <c r="BZ17" i="13"/>
  <c r="G74" i="8"/>
  <c r="A76" i="8"/>
  <c r="E75" i="8"/>
  <c r="F75" i="8"/>
  <c r="BX14" i="13"/>
  <c r="BW11" i="13"/>
  <c r="BX11" i="13" s="1"/>
  <c r="BW12" i="13"/>
  <c r="BX12" i="13" s="1"/>
  <c r="BW10" i="13"/>
  <c r="BX10" i="13" s="1"/>
  <c r="BW14" i="13"/>
  <c r="BV16" i="13"/>
  <c r="BY7" i="13"/>
  <c r="CH8" i="13" s="1"/>
  <c r="CI14" i="13" s="1"/>
  <c r="CK16" i="13" s="1"/>
  <c r="BZ13" i="13"/>
  <c r="AB27" i="13"/>
  <c r="AB28" i="13" s="1"/>
  <c r="AB25" i="13"/>
  <c r="BZ15" i="13"/>
  <c r="CB17" i="13" s="1"/>
  <c r="BZ5" i="13"/>
  <c r="BZ6" i="13"/>
  <c r="AC3" i="13"/>
  <c r="CA4" i="13"/>
  <c r="G75" i="8" l="1"/>
  <c r="E76" i="8"/>
  <c r="A77" i="8"/>
  <c r="F76" i="8"/>
  <c r="CD8" i="13"/>
  <c r="CE14" i="13" s="1"/>
  <c r="CG16" i="13" s="1"/>
  <c r="CA8" i="13"/>
  <c r="CB14" i="13" s="1"/>
  <c r="CD16" i="13" s="1"/>
  <c r="CI8" i="13"/>
  <c r="CJ14" i="13" s="1"/>
  <c r="CL16" i="13" s="1"/>
  <c r="CB8" i="13"/>
  <c r="CC14" i="13" s="1"/>
  <c r="CE16" i="13" s="1"/>
  <c r="CF8" i="13"/>
  <c r="CG14" i="13" s="1"/>
  <c r="CI16" i="13" s="1"/>
  <c r="BY8" i="13"/>
  <c r="BY10" i="13" s="1"/>
  <c r="CC8" i="13"/>
  <c r="CD14" i="13" s="1"/>
  <c r="CF16" i="13" s="1"/>
  <c r="BZ8" i="13"/>
  <c r="CA14" i="13" s="1"/>
  <c r="CC16" i="13" s="1"/>
  <c r="CG8" i="13"/>
  <c r="CH14" i="13" s="1"/>
  <c r="CJ16" i="13" s="1"/>
  <c r="CE8" i="13"/>
  <c r="CF14" i="13" s="1"/>
  <c r="CH16" i="13" s="1"/>
  <c r="BW16" i="13"/>
  <c r="BX16" i="13"/>
  <c r="BZ7" i="13"/>
  <c r="CJ8" i="13" s="1"/>
  <c r="CA15" i="13"/>
  <c r="CC17" i="13" s="1"/>
  <c r="CA13" i="13"/>
  <c r="AC27" i="13"/>
  <c r="AC28" i="13" s="1"/>
  <c r="AC25" i="13"/>
  <c r="CA5" i="13"/>
  <c r="CA6" i="13"/>
  <c r="G6" i="20"/>
  <c r="AD3" i="13"/>
  <c r="CB4" i="13"/>
  <c r="G76" i="8" l="1"/>
  <c r="BY12" i="13"/>
  <c r="BZ12" i="13" s="1"/>
  <c r="CA12" i="13" s="1"/>
  <c r="CB12" i="13" s="1"/>
  <c r="CC12" i="13" s="1"/>
  <c r="CD12" i="13" s="1"/>
  <c r="CE12" i="13" s="1"/>
  <c r="CF12" i="13" s="1"/>
  <c r="CG12" i="13" s="1"/>
  <c r="CH12" i="13" s="1"/>
  <c r="CI12" i="13" s="1"/>
  <c r="BZ10" i="13"/>
  <c r="CA10" i="13" s="1"/>
  <c r="CB10" i="13" s="1"/>
  <c r="CC10" i="13" s="1"/>
  <c r="CD10" i="13" s="1"/>
  <c r="CE10" i="13" s="1"/>
  <c r="CF10" i="13" s="1"/>
  <c r="CG10" i="13" s="1"/>
  <c r="CH10" i="13" s="1"/>
  <c r="CI10" i="13" s="1"/>
  <c r="BY11" i="13"/>
  <c r="BZ11" i="13" s="1"/>
  <c r="CA11" i="13" s="1"/>
  <c r="CB11" i="13" s="1"/>
  <c r="CC11" i="13" s="1"/>
  <c r="CD11" i="13" s="1"/>
  <c r="CE11" i="13" s="1"/>
  <c r="CF11" i="13" s="1"/>
  <c r="CG11" i="13" s="1"/>
  <c r="CH11" i="13" s="1"/>
  <c r="CI11" i="13" s="1"/>
  <c r="E77" i="8"/>
  <c r="A78" i="8"/>
  <c r="F77" i="8"/>
  <c r="BZ14" i="13"/>
  <c r="CB16" i="13" s="1"/>
  <c r="BY14" i="13"/>
  <c r="CK14" i="13"/>
  <c r="CM16" i="13" s="1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G77" i="8" l="1"/>
  <c r="E78" i="8"/>
  <c r="A79" i="8"/>
  <c r="F78" i="8"/>
  <c r="CA16" i="13"/>
  <c r="BZ16" i="13"/>
  <c r="BY16" i="13"/>
  <c r="G35" i="20"/>
  <c r="CL14" i="13"/>
  <c r="CN16" i="13" s="1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G78" i="8" l="1"/>
  <c r="E79" i="8"/>
  <c r="A80" i="8"/>
  <c r="F79" i="8"/>
  <c r="CM14" i="13"/>
  <c r="CO16" i="13" s="1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79" i="8" l="1"/>
  <c r="E80" i="8"/>
  <c r="A81" i="8"/>
  <c r="F80" i="8"/>
  <c r="CN14" i="13"/>
  <c r="CP16" i="13" s="1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A82" i="8"/>
  <c r="E81" i="8"/>
  <c r="F81" i="8"/>
  <c r="G34" i="20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G81" i="8" l="1"/>
  <c r="A83" i="8"/>
  <c r="E82" i="8"/>
  <c r="F82" i="8"/>
  <c r="G38" i="20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21" i="20"/>
  <c r="J21" i="20" s="1"/>
  <c r="AJ3" i="13"/>
  <c r="CH4" i="13"/>
  <c r="G82" i="8" l="1"/>
  <c r="A84" i="8"/>
  <c r="E83" i="8"/>
  <c r="F83" i="8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G83" i="8" l="1"/>
  <c r="G42" i="20" s="1"/>
  <c r="J42" i="20" s="1"/>
  <c r="E84" i="8"/>
  <c r="A85" i="8"/>
  <c r="F84" i="8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E85" i="8" l="1"/>
  <c r="A86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A87" i="8"/>
  <c r="F86" i="8"/>
  <c r="G85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E87" i="8" l="1"/>
  <c r="A88" i="8"/>
  <c r="F87" i="8"/>
  <c r="G86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A90" i="8" l="1"/>
  <c r="E89" i="8"/>
  <c r="F89" i="8"/>
  <c r="G88" i="8"/>
  <c r="G36" i="20" s="1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G89" i="8" l="1"/>
  <c r="E90" i="8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G91" i="8" l="1"/>
  <c r="E92" i="8"/>
  <c r="A93" i="8"/>
  <c r="F92" i="8"/>
  <c r="G55" i="20"/>
  <c r="J55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G92" i="8" l="1"/>
  <c r="E93" i="8"/>
  <c r="A94" i="8"/>
  <c r="F93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E94" i="8" l="1"/>
  <c r="A95" i="8"/>
  <c r="F94" i="8"/>
  <c r="G93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E95" i="8" l="1"/>
  <c r="A96" i="8"/>
  <c r="F95" i="8"/>
  <c r="G94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5" i="8" l="1"/>
  <c r="G51" i="20" s="1"/>
  <c r="J51" i="20" s="1"/>
  <c r="E96" i="8"/>
  <c r="A97" i="8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E97" i="8"/>
  <c r="A98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G97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G98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A101" i="8"/>
  <c r="F100" i="8"/>
  <c r="G99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E101" i="8"/>
  <c r="A102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101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E103" i="8"/>
  <c r="A104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G103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A106" i="8"/>
  <c r="F105" i="8"/>
  <c r="G104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A107" i="8" l="1"/>
  <c r="E106" i="8"/>
  <c r="F106" i="8"/>
  <c r="G105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E107" i="8"/>
  <c r="A108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A109" i="8"/>
  <c r="F108" i="8"/>
  <c r="G107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A110" i="8"/>
  <c r="F109" i="8"/>
  <c r="G108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E111" i="8"/>
  <c r="A112" i="8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111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1" i="20"/>
  <c r="J11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5" i="20"/>
  <c r="J15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3" i="20"/>
  <c r="E13" i="20" s="1"/>
  <c r="M13" i="20"/>
  <c r="D36" i="20"/>
  <c r="E36" i="20" s="1"/>
  <c r="M36" i="20"/>
  <c r="D52" i="20"/>
  <c r="E52" i="20" s="1"/>
  <c r="M52" i="20"/>
  <c r="M20" i="20"/>
  <c r="D20" i="20"/>
  <c r="E20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6" i="20"/>
  <c r="E16" i="20" s="1"/>
  <c r="M16" i="20"/>
  <c r="D4" i="20"/>
  <c r="E4" i="20" s="1"/>
  <c r="M4" i="20"/>
  <c r="M19" i="20"/>
  <c r="D19" i="20"/>
  <c r="E19" i="20" s="1"/>
  <c r="D45" i="20"/>
  <c r="E45" i="20" s="1"/>
  <c r="M45" i="20"/>
  <c r="D22" i="20"/>
  <c r="E22" i="20" s="1"/>
  <c r="M22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2" i="20"/>
  <c r="E12" i="20" s="1"/>
  <c r="M12" i="20"/>
  <c r="M34" i="20"/>
  <c r="D34" i="20"/>
  <c r="E34" i="20" s="1"/>
  <c r="D18" i="20"/>
  <c r="E18" i="20" s="1"/>
  <c r="M18" i="20"/>
  <c r="M49" i="20"/>
  <c r="D49" i="20"/>
  <c r="E49" i="20" s="1"/>
  <c r="M9" i="20"/>
  <c r="D9" i="20"/>
  <c r="E9" i="20" s="1"/>
  <c r="D48" i="20"/>
  <c r="E48" i="20" s="1"/>
  <c r="M48" i="20"/>
  <c r="M29" i="20"/>
  <c r="D29" i="20"/>
  <c r="E29" i="20" s="1"/>
  <c r="M61" i="20"/>
  <c r="D61" i="20"/>
  <c r="E61" i="20" s="1"/>
  <c r="D7" i="20"/>
  <c r="E7" i="20" s="1"/>
  <c r="M7" i="20"/>
  <c r="D54" i="20"/>
  <c r="E54" i="20" s="1"/>
  <c r="M54" i="20"/>
  <c r="M40" i="20"/>
  <c r="D40" i="20"/>
  <c r="E40" i="20" s="1"/>
  <c r="D8" i="20"/>
  <c r="E8" i="20" s="1"/>
  <c r="M8" i="20"/>
  <c r="BG20" i="13" l="1"/>
  <c r="BG26" i="13" s="1"/>
  <c r="BH9" i="13"/>
  <c r="CG22" i="13"/>
  <c r="CG21" i="13"/>
  <c r="CG23" i="13"/>
  <c r="J6" i="20"/>
  <c r="J32" i="20"/>
  <c r="J8" i="20"/>
  <c r="J59" i="20"/>
  <c r="J40" i="20"/>
  <c r="J35" i="20"/>
  <c r="J36" i="20"/>
  <c r="J58" i="20"/>
  <c r="J54" i="20"/>
  <c r="J20" i="20"/>
  <c r="J60" i="20"/>
  <c r="J4" i="20"/>
  <c r="J12" i="20"/>
  <c r="J57" i="20"/>
  <c r="J7" i="20"/>
  <c r="J22" i="20"/>
  <c r="J48" i="20"/>
  <c r="J16" i="20"/>
  <c r="J18" i="20"/>
  <c r="J38" i="20"/>
  <c r="J45" i="20"/>
  <c r="J9" i="20"/>
  <c r="J46" i="20"/>
  <c r="J61" i="20"/>
  <c r="J49" i="20"/>
  <c r="J52" i="20"/>
  <c r="J29" i="20"/>
  <c r="J41" i="20"/>
  <c r="J34" i="20"/>
  <c r="J31" i="20"/>
  <c r="J19" i="20"/>
  <c r="J27" i="20"/>
  <c r="J13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77" i="23"/>
  <c r="E77" i="23"/>
  <c r="G77" i="23"/>
  <c r="E76" i="23"/>
  <c r="F76" i="23"/>
  <c r="G76" i="23"/>
  <c r="H66" i="20"/>
  <c r="F75" i="23"/>
  <c r="E75" i="23"/>
  <c r="G75" i="23"/>
  <c r="H63" i="20"/>
  <c r="F74" i="23"/>
  <c r="E74" i="23"/>
  <c r="G74" i="23"/>
  <c r="H38" i="20"/>
  <c r="F73" i="23"/>
  <c r="E73" i="23"/>
  <c r="G73" i="23"/>
  <c r="F72" i="23"/>
  <c r="E72" i="23"/>
  <c r="G72" i="23"/>
  <c r="E71" i="23"/>
  <c r="F71" i="23"/>
  <c r="G71" i="23"/>
  <c r="H25" i="20"/>
  <c r="E70" i="23"/>
  <c r="F70" i="23"/>
  <c r="G70" i="23"/>
  <c r="H29" i="20"/>
  <c r="E69" i="23"/>
  <c r="F69" i="23"/>
  <c r="G69" i="23"/>
  <c r="E68" i="23"/>
  <c r="F68" i="23"/>
  <c r="G68" i="23"/>
  <c r="H4" i="20"/>
  <c r="F67" i="23"/>
  <c r="E67" i="23"/>
  <c r="G67" i="23"/>
  <c r="H35" i="20"/>
  <c r="E66" i="23"/>
  <c r="F66" i="23"/>
  <c r="G66" i="23"/>
  <c r="E65" i="23"/>
  <c r="F65" i="23"/>
  <c r="G65" i="23"/>
  <c r="F64" i="23"/>
  <c r="E64" i="23"/>
  <c r="G64" i="23"/>
  <c r="E62" i="23"/>
  <c r="F62" i="23"/>
  <c r="G62" i="23"/>
  <c r="F63" i="23"/>
  <c r="E63" i="23"/>
  <c r="G63" i="23"/>
  <c r="H49" i="20"/>
  <c r="E61" i="23"/>
  <c r="F61" i="23"/>
  <c r="G61" i="23"/>
  <c r="H65" i="20"/>
  <c r="E60" i="23"/>
  <c r="F60" i="23"/>
  <c r="G60" i="23"/>
  <c r="E59" i="23"/>
  <c r="F59" i="23"/>
  <c r="G59" i="23"/>
  <c r="F58" i="23"/>
  <c r="E58" i="23"/>
  <c r="G58" i="23"/>
  <c r="H31" i="20"/>
  <c r="F57" i="23"/>
  <c r="E57" i="23"/>
  <c r="G57" i="23"/>
  <c r="H37" i="20"/>
  <c r="E55" i="23"/>
  <c r="F55" i="23"/>
  <c r="G55" i="23"/>
  <c r="H28" i="20"/>
  <c r="F56" i="23"/>
  <c r="E56" i="23"/>
  <c r="G56" i="23"/>
  <c r="H26" i="20"/>
  <c r="E54" i="23"/>
  <c r="F54" i="23"/>
  <c r="G54" i="23"/>
  <c r="H24" i="20"/>
  <c r="E52" i="23"/>
  <c r="F52" i="23"/>
  <c r="G52" i="23"/>
  <c r="H51" i="20"/>
  <c r="F53" i="23"/>
  <c r="E53" i="23"/>
  <c r="G53" i="23"/>
  <c r="H33" i="20"/>
  <c r="E51" i="23"/>
  <c r="F51" i="23"/>
  <c r="G51" i="23"/>
  <c r="E50" i="23"/>
  <c r="F50" i="23"/>
  <c r="G50" i="23"/>
  <c r="E48" i="23"/>
  <c r="F48" i="23"/>
  <c r="G48" i="23"/>
  <c r="H41" i="20"/>
  <c r="F49" i="23"/>
  <c r="E49" i="23"/>
  <c r="G49" i="23"/>
  <c r="E46" i="23"/>
  <c r="F46" i="23"/>
  <c r="G46" i="23"/>
  <c r="H17" i="20"/>
  <c r="E47" i="23"/>
  <c r="F47" i="23"/>
  <c r="G47" i="23"/>
  <c r="E45" i="23"/>
  <c r="F45" i="23"/>
  <c r="G45" i="23"/>
  <c r="H30" i="20"/>
  <c r="E44" i="23"/>
  <c r="F44" i="23"/>
  <c r="G44" i="23"/>
  <c r="F43" i="23"/>
  <c r="E43" i="23"/>
  <c r="G43" i="23"/>
  <c r="H45" i="20"/>
  <c r="F42" i="23"/>
  <c r="E42" i="23"/>
  <c r="G42" i="23"/>
  <c r="H20" i="20"/>
  <c r="E41" i="23"/>
  <c r="F41" i="23"/>
  <c r="G41" i="23"/>
  <c r="E40" i="23"/>
  <c r="F40" i="23"/>
  <c r="G40" i="23"/>
  <c r="H44" i="20"/>
  <c r="E39" i="23"/>
  <c r="F39" i="23"/>
  <c r="G39" i="23"/>
  <c r="H47" i="20"/>
  <c r="E38" i="23"/>
  <c r="F38" i="23"/>
  <c r="G38" i="23"/>
  <c r="H48" i="20"/>
  <c r="E37" i="23"/>
  <c r="F37" i="23"/>
  <c r="G37" i="23"/>
  <c r="E36" i="23"/>
  <c r="F36" i="23"/>
  <c r="G36" i="23"/>
  <c r="H57" i="20"/>
  <c r="F35" i="23"/>
  <c r="E35" i="23"/>
  <c r="G35" i="23"/>
  <c r="H32" i="20"/>
  <c r="E34" i="23"/>
  <c r="F34" i="23"/>
  <c r="G34" i="23"/>
  <c r="H15" i="20"/>
  <c r="E32" i="23"/>
  <c r="F32" i="23"/>
  <c r="G32" i="23"/>
  <c r="H18" i="20"/>
  <c r="F33" i="23"/>
  <c r="E33" i="23"/>
  <c r="G33" i="23"/>
  <c r="H27" i="20"/>
  <c r="E31" i="23"/>
  <c r="F31" i="23"/>
  <c r="G31" i="23"/>
  <c r="H50" i="20"/>
  <c r="E30" i="23"/>
  <c r="F30" i="23"/>
  <c r="G30" i="23"/>
  <c r="H10" i="20"/>
  <c r="E29" i="23"/>
  <c r="F29" i="23"/>
  <c r="G29" i="23"/>
  <c r="H11" i="20"/>
  <c r="E28" i="23"/>
  <c r="F28" i="23"/>
  <c r="G28" i="23"/>
  <c r="H21" i="20"/>
  <c r="F27" i="23"/>
  <c r="E27" i="23"/>
  <c r="G27" i="23"/>
  <c r="H9" i="20"/>
  <c r="E26" i="23"/>
  <c r="F26" i="23"/>
  <c r="G26" i="23"/>
  <c r="E25" i="23"/>
  <c r="F25" i="23"/>
  <c r="G25" i="23"/>
  <c r="E24" i="23"/>
  <c r="F24" i="23"/>
  <c r="G24" i="23"/>
  <c r="H46" i="20"/>
  <c r="E23" i="23"/>
  <c r="F23" i="23"/>
  <c r="G23" i="23"/>
  <c r="H12" i="20"/>
  <c r="E22" i="23"/>
  <c r="F22" i="23"/>
  <c r="G22" i="23"/>
  <c r="F21" i="23"/>
  <c r="E21" i="23"/>
  <c r="G21" i="23"/>
  <c r="E20" i="23"/>
  <c r="F20" i="23"/>
  <c r="G20" i="23"/>
  <c r="H14" i="20"/>
  <c r="E19" i="23"/>
  <c r="F19" i="23"/>
  <c r="G19" i="23"/>
  <c r="H5" i="20"/>
  <c r="E18" i="23"/>
  <c r="F18" i="23"/>
  <c r="G18" i="23"/>
  <c r="H13" i="20"/>
  <c r="E10" i="23"/>
  <c r="F10" i="23"/>
  <c r="G10" i="23"/>
  <c r="H7" i="20"/>
  <c r="E16" i="23"/>
  <c r="F16" i="23"/>
  <c r="G16" i="23"/>
  <c r="F17" i="23"/>
  <c r="E17" i="23"/>
  <c r="G17" i="23"/>
  <c r="H56" i="20"/>
  <c r="E9" i="23"/>
  <c r="F9" i="23"/>
  <c r="G9" i="23"/>
  <c r="H60" i="20"/>
  <c r="E15" i="23"/>
  <c r="F15" i="23"/>
  <c r="G15" i="23"/>
  <c r="E8" i="23"/>
  <c r="F8" i="23"/>
  <c r="G8" i="23"/>
  <c r="H16" i="20"/>
  <c r="E7" i="23"/>
  <c r="F7" i="23"/>
  <c r="G7" i="23"/>
  <c r="H6" i="20"/>
  <c r="E14" i="23"/>
  <c r="F14" i="23"/>
  <c r="G14" i="23"/>
  <c r="E13" i="23"/>
  <c r="F13" i="23"/>
  <c r="G13" i="23"/>
  <c r="E6" i="23"/>
  <c r="F6" i="23"/>
  <c r="G6" i="23"/>
  <c r="H19" i="20"/>
  <c r="E5" i="23"/>
  <c r="F5" i="23"/>
  <c r="G5" i="23"/>
  <c r="H22" i="20"/>
  <c r="E12" i="23"/>
  <c r="F12" i="23"/>
  <c r="G12" i="23"/>
  <c r="F11" i="23"/>
  <c r="E11" i="23"/>
  <c r="G11" i="23"/>
  <c r="H8" i="20"/>
</calcChain>
</file>

<file path=xl/sharedStrings.xml><?xml version="1.0" encoding="utf-8"?>
<sst xmlns="http://schemas.openxmlformats.org/spreadsheetml/2006/main" count="2612" uniqueCount="624">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</sst>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9232.781653</c:v>
                </c:pt>
                <c:pt idx="1">
                  <c:v>9232.781653</c:v>
                </c:pt>
                <c:pt idx="2">
                  <c:v>9232.781653</c:v>
                </c:pt>
                <c:pt idx="3">
                  <c:v>9232.781653</c:v>
                </c:pt>
                <c:pt idx="4">
                  <c:v>9232.781653</c:v>
                </c:pt>
                <c:pt idx="5">
                  <c:v>9232.781653</c:v>
                </c:pt>
                <c:pt idx="6">
                  <c:v>9232.781653</c:v>
                </c:pt>
                <c:pt idx="7">
                  <c:v>9232.781653</c:v>
                </c:pt>
                <c:pt idx="8">
                  <c:v>9232.781653</c:v>
                </c:pt>
                <c:pt idx="9">
                  <c:v>9232.781653</c:v>
                </c:pt>
                <c:pt idx="10">
                  <c:v>9232.781653</c:v>
                </c:pt>
                <c:pt idx="11">
                  <c:v>9232.781653</c:v>
                </c:pt>
                <c:pt idx="12">
                  <c:v>9232.781653</c:v>
                </c:pt>
                <c:pt idx="13">
                  <c:v>9232.781653</c:v>
                </c:pt>
                <c:pt idx="14">
                  <c:v>9232.781653</c:v>
                </c:pt>
                <c:pt idx="15">
                  <c:v>9232.781653</c:v>
                </c:pt>
                <c:pt idx="16">
                  <c:v>9232.781653</c:v>
                </c:pt>
                <c:pt idx="17">
                  <c:v>9232.781653</c:v>
                </c:pt>
                <c:pt idx="18">
                  <c:v>9232.781653</c:v>
                </c:pt>
                <c:pt idx="19">
                  <c:v>9232.781653</c:v>
                </c:pt>
                <c:pt idx="20">
                  <c:v>9232.781653</c:v>
                </c:pt>
                <c:pt idx="21">
                  <c:v>9232.781653</c:v>
                </c:pt>
                <c:pt idx="22">
                  <c:v>9232.781653</c:v>
                </c:pt>
                <c:pt idx="23">
                  <c:v>9232.781653</c:v>
                </c:pt>
                <c:pt idx="24">
                  <c:v>9232.781653</c:v>
                </c:pt>
                <c:pt idx="25">
                  <c:v>9232.781653</c:v>
                </c:pt>
                <c:pt idx="26">
                  <c:v>9232.781653</c:v>
                </c:pt>
                <c:pt idx="27">
                  <c:v>9232.781653</c:v>
                </c:pt>
                <c:pt idx="28">
                  <c:v>9232.781653</c:v>
                </c:pt>
                <c:pt idx="29">
                  <c:v>9232.781653</c:v>
                </c:pt>
                <c:pt idx="30">
                  <c:v>9232.781653</c:v>
                </c:pt>
                <c:pt idx="31">
                  <c:v>9232.781653</c:v>
                </c:pt>
                <c:pt idx="32">
                  <c:v>9232.781653</c:v>
                </c:pt>
                <c:pt idx="33">
                  <c:v>9232.781653</c:v>
                </c:pt>
                <c:pt idx="34">
                  <c:v>9232.781653</c:v>
                </c:pt>
                <c:pt idx="35">
                  <c:v>9232.781653</c:v>
                </c:pt>
                <c:pt idx="36">
                  <c:v>9232.781653</c:v>
                </c:pt>
                <c:pt idx="37">
                  <c:v>9232.781653</c:v>
                </c:pt>
                <c:pt idx="38">
                  <c:v>9232.781653</c:v>
                </c:pt>
                <c:pt idx="39">
                  <c:v>9232.781653</c:v>
                </c:pt>
                <c:pt idx="40">
                  <c:v>9232.781653</c:v>
                </c:pt>
                <c:pt idx="41">
                  <c:v>9232.781653</c:v>
                </c:pt>
                <c:pt idx="42">
                  <c:v>9232.781653</c:v>
                </c:pt>
                <c:pt idx="43">
                  <c:v>9232.781653</c:v>
                </c:pt>
                <c:pt idx="44">
                  <c:v>9232.781653</c:v>
                </c:pt>
                <c:pt idx="45">
                  <c:v>9232.781653</c:v>
                </c:pt>
                <c:pt idx="46">
                  <c:v>9232.781653</c:v>
                </c:pt>
                <c:pt idx="47">
                  <c:v>9232.781653</c:v>
                </c:pt>
                <c:pt idx="48">
                  <c:v>9232.781653</c:v>
                </c:pt>
                <c:pt idx="49">
                  <c:v>9232.781653</c:v>
                </c:pt>
                <c:pt idx="50">
                  <c:v>9232.781653</c:v>
                </c:pt>
                <c:pt idx="51">
                  <c:v>9232.781653</c:v>
                </c:pt>
                <c:pt idx="52">
                  <c:v>9232.781653</c:v>
                </c:pt>
                <c:pt idx="53">
                  <c:v>9232.781653</c:v>
                </c:pt>
                <c:pt idx="54">
                  <c:v>9232.781653</c:v>
                </c:pt>
                <c:pt idx="55">
                  <c:v>9232.781653</c:v>
                </c:pt>
                <c:pt idx="56">
                  <c:v>9232.781653</c:v>
                </c:pt>
                <c:pt idx="57">
                  <c:v>9232.781653</c:v>
                </c:pt>
                <c:pt idx="58">
                  <c:v>9232.781653</c:v>
                </c:pt>
                <c:pt idx="59">
                  <c:v>9232.781653</c:v>
                </c:pt>
                <c:pt idx="60">
                  <c:v>9232.781653</c:v>
                </c:pt>
                <c:pt idx="61">
                  <c:v>9232.781653</c:v>
                </c:pt>
                <c:pt idx="62">
                  <c:v>9232.781653</c:v>
                </c:pt>
                <c:pt idx="63">
                  <c:v>9232.781653</c:v>
                </c:pt>
                <c:pt idx="64">
                  <c:v>9232.781653</c:v>
                </c:pt>
                <c:pt idx="65">
                  <c:v>9232.781653</c:v>
                </c:pt>
                <c:pt idx="66">
                  <c:v>9232.781653</c:v>
                </c:pt>
                <c:pt idx="67">
                  <c:v>9232.781653</c:v>
                </c:pt>
                <c:pt idx="68">
                  <c:v>9232.781653</c:v>
                </c:pt>
                <c:pt idx="69">
                  <c:v>9232.781653</c:v>
                </c:pt>
                <c:pt idx="70">
                  <c:v>9232.781653</c:v>
                </c:pt>
                <c:pt idx="71">
                  <c:v>9232.781653</c:v>
                </c:pt>
                <c:pt idx="72">
                  <c:v>9232.781653</c:v>
                </c:pt>
                <c:pt idx="73">
                  <c:v>9232.781653</c:v>
                </c:pt>
                <c:pt idx="74">
                  <c:v>9232.781653</c:v>
                </c:pt>
                <c:pt idx="75">
                  <c:v>9232.781653</c:v>
                </c:pt>
                <c:pt idx="76">
                  <c:v>9232.781653</c:v>
                </c:pt>
                <c:pt idx="77">
                  <c:v>9232.781653</c:v>
                </c:pt>
                <c:pt idx="78">
                  <c:v>9232.781653</c:v>
                </c:pt>
                <c:pt idx="79">
                  <c:v>9232.781653</c:v>
                </c:pt>
                <c:pt idx="80">
                  <c:v>9232.781653</c:v>
                </c:pt>
                <c:pt idx="81">
                  <c:v>9232.781653</c:v>
                </c:pt>
                <c:pt idx="82">
                  <c:v>9232.781653</c:v>
                </c:pt>
                <c:pt idx="83">
                  <c:v>9232.781653</c:v>
                </c:pt>
                <c:pt idx="84">
                  <c:v>9232.781653</c:v>
                </c:pt>
                <c:pt idx="85">
                  <c:v>9232.781653</c:v>
                </c:pt>
                <c:pt idx="86">
                  <c:v>9232.781653</c:v>
                </c:pt>
                <c:pt idx="87">
                  <c:v>9232.781653</c:v>
                </c:pt>
                <c:pt idx="88">
                  <c:v>9232.781653</c:v>
                </c:pt>
                <c:pt idx="89">
                  <c:v>9232.781653</c:v>
                </c:pt>
                <c:pt idx="90">
                  <c:v>9232.781653</c:v>
                </c:pt>
                <c:pt idx="91">
                  <c:v>9232.781653</c:v>
                </c:pt>
                <c:pt idx="92">
                  <c:v>9232.781653</c:v>
                </c:pt>
                <c:pt idx="93">
                  <c:v>9232.781653</c:v>
                </c:pt>
                <c:pt idx="94">
                  <c:v>9232.781653</c:v>
                </c:pt>
                <c:pt idx="95">
                  <c:v>9232.781653</c:v>
                </c:pt>
                <c:pt idx="96">
                  <c:v>9232.781653</c:v>
                </c:pt>
                <c:pt idx="97">
                  <c:v>9232.781653</c:v>
                </c:pt>
                <c:pt idx="98">
                  <c:v>9232.781653</c:v>
                </c:pt>
                <c:pt idx="99">
                  <c:v>9232.781653</c:v>
                </c:pt>
                <c:pt idx="100">
                  <c:v>9232.781653</c:v>
                </c:pt>
                <c:pt idx="101">
                  <c:v>9232.781653</c:v>
                </c:pt>
                <c:pt idx="102">
                  <c:v>9232.781653</c:v>
                </c:pt>
                <c:pt idx="103">
                  <c:v>9232.781653</c:v>
                </c:pt>
                <c:pt idx="104">
                  <c:v>9232.781653</c:v>
                </c:pt>
                <c:pt idx="105">
                  <c:v>9232.781653</c:v>
                </c:pt>
                <c:pt idx="106">
                  <c:v>9232.781653</c:v>
                </c:pt>
                <c:pt idx="107">
                  <c:v>9232.781653</c:v>
                </c:pt>
                <c:pt idx="108">
                  <c:v>9232.781653</c:v>
                </c:pt>
                <c:pt idx="109">
                  <c:v>9232.781653</c:v>
                </c:pt>
                <c:pt idx="110">
                  <c:v>9232.781653</c:v>
                </c:pt>
                <c:pt idx="111">
                  <c:v>9232.781653</c:v>
                </c:pt>
                <c:pt idx="112">
                  <c:v>9232.781653</c:v>
                </c:pt>
                <c:pt idx="113">
                  <c:v>9232.781653</c:v>
                </c:pt>
                <c:pt idx="114">
                  <c:v>9232.781653</c:v>
                </c:pt>
                <c:pt idx="115">
                  <c:v>9232.781653</c:v>
                </c:pt>
                <c:pt idx="116">
                  <c:v>9232.781653</c:v>
                </c:pt>
                <c:pt idx="117">
                  <c:v>9232.781653</c:v>
                </c:pt>
                <c:pt idx="118">
                  <c:v>9232.781653</c:v>
                </c:pt>
                <c:pt idx="119">
                  <c:v>9232.781653</c:v>
                </c:pt>
                <c:pt idx="120">
                  <c:v>9232.781653</c:v>
                </c:pt>
                <c:pt idx="121">
                  <c:v>9232.781653</c:v>
                </c:pt>
                <c:pt idx="122">
                  <c:v>9232.781653</c:v>
                </c:pt>
                <c:pt idx="123">
                  <c:v>9232.781653</c:v>
                </c:pt>
                <c:pt idx="124">
                  <c:v>9232.781653</c:v>
                </c:pt>
                <c:pt idx="125">
                  <c:v>9232.781653</c:v>
                </c:pt>
                <c:pt idx="126">
                  <c:v>9232.781653</c:v>
                </c:pt>
                <c:pt idx="127">
                  <c:v>9232.781653</c:v>
                </c:pt>
                <c:pt idx="128">
                  <c:v>9232.781653</c:v>
                </c:pt>
                <c:pt idx="129">
                  <c:v>9232.781653</c:v>
                </c:pt>
                <c:pt idx="130">
                  <c:v>9232.781653</c:v>
                </c:pt>
                <c:pt idx="131">
                  <c:v>9232.781653</c:v>
                </c:pt>
                <c:pt idx="132">
                  <c:v>9232.781653</c:v>
                </c:pt>
                <c:pt idx="133">
                  <c:v>9232.781653</c:v>
                </c:pt>
                <c:pt idx="134">
                  <c:v>9232.781653</c:v>
                </c:pt>
                <c:pt idx="135">
                  <c:v>9232.781653</c:v>
                </c:pt>
                <c:pt idx="136">
                  <c:v>9232.781653</c:v>
                </c:pt>
                <c:pt idx="137">
                  <c:v>9232.781653</c:v>
                </c:pt>
                <c:pt idx="138">
                  <c:v>9232.781653</c:v>
                </c:pt>
                <c:pt idx="139">
                  <c:v>9232.781653</c:v>
                </c:pt>
                <c:pt idx="140">
                  <c:v>9232.781653</c:v>
                </c:pt>
                <c:pt idx="141">
                  <c:v>9232.781653</c:v>
                </c:pt>
                <c:pt idx="142">
                  <c:v>9232.781653</c:v>
                </c:pt>
                <c:pt idx="143">
                  <c:v>9232.781653</c:v>
                </c:pt>
                <c:pt idx="144">
                  <c:v>9232.781653</c:v>
                </c:pt>
                <c:pt idx="145">
                  <c:v>9232.781653</c:v>
                </c:pt>
                <c:pt idx="146">
                  <c:v>9232.781653</c:v>
                </c:pt>
                <c:pt idx="147">
                  <c:v>9232.781653</c:v>
                </c:pt>
                <c:pt idx="148">
                  <c:v>9232.781653</c:v>
                </c:pt>
                <c:pt idx="149">
                  <c:v>9232.781653</c:v>
                </c:pt>
                <c:pt idx="150">
                  <c:v>9232.781653</c:v>
                </c:pt>
                <c:pt idx="151">
                  <c:v>9232.781653</c:v>
                </c:pt>
                <c:pt idx="152">
                  <c:v>9232.781653</c:v>
                </c:pt>
                <c:pt idx="153">
                  <c:v>9232.781653</c:v>
                </c:pt>
                <c:pt idx="154">
                  <c:v>9232.781653</c:v>
                </c:pt>
                <c:pt idx="155">
                  <c:v>9232.781653</c:v>
                </c:pt>
                <c:pt idx="156">
                  <c:v>9232.781653</c:v>
                </c:pt>
                <c:pt idx="157">
                  <c:v>9232.781653</c:v>
                </c:pt>
                <c:pt idx="158">
                  <c:v>9232.781653</c:v>
                </c:pt>
                <c:pt idx="159">
                  <c:v>9232.781653</c:v>
                </c:pt>
                <c:pt idx="160">
                  <c:v>9232.781653</c:v>
                </c:pt>
                <c:pt idx="161">
                  <c:v>9232.781653</c:v>
                </c:pt>
                <c:pt idx="162">
                  <c:v>9232.781653</c:v>
                </c:pt>
                <c:pt idx="163">
                  <c:v>9232.781653</c:v>
                </c:pt>
                <c:pt idx="164">
                  <c:v>9232.781653</c:v>
                </c:pt>
                <c:pt idx="165">
                  <c:v>9232.781653</c:v>
                </c:pt>
                <c:pt idx="166">
                  <c:v>9232.781653</c:v>
                </c:pt>
                <c:pt idx="167">
                  <c:v>9232.781653</c:v>
                </c:pt>
                <c:pt idx="168">
                  <c:v>9232.781653</c:v>
                </c:pt>
                <c:pt idx="169">
                  <c:v>9232.781653</c:v>
                </c:pt>
                <c:pt idx="170">
                  <c:v>9232.781653</c:v>
                </c:pt>
                <c:pt idx="171">
                  <c:v>9232.781653</c:v>
                </c:pt>
                <c:pt idx="172">
                  <c:v>9232.781653</c:v>
                </c:pt>
                <c:pt idx="173">
                  <c:v>9232.781653</c:v>
                </c:pt>
                <c:pt idx="174">
                  <c:v>9232.781653</c:v>
                </c:pt>
                <c:pt idx="175">
                  <c:v>9232.781653</c:v>
                </c:pt>
                <c:pt idx="176">
                  <c:v>9232.781653</c:v>
                </c:pt>
                <c:pt idx="177">
                  <c:v>9232.781653</c:v>
                </c:pt>
                <c:pt idx="178">
                  <c:v>9232.781653</c:v>
                </c:pt>
                <c:pt idx="179">
                  <c:v>9232.781653</c:v>
                </c:pt>
                <c:pt idx="180">
                  <c:v>9232.781653</c:v>
                </c:pt>
                <c:pt idx="181">
                  <c:v>9232.781653</c:v>
                </c:pt>
                <c:pt idx="182">
                  <c:v>9232.781653</c:v>
                </c:pt>
                <c:pt idx="183">
                  <c:v>9232.781653</c:v>
                </c:pt>
                <c:pt idx="184">
                  <c:v>9232.781653</c:v>
                </c:pt>
                <c:pt idx="185">
                  <c:v>9232.781653</c:v>
                </c:pt>
                <c:pt idx="186">
                  <c:v>9232.781653</c:v>
                </c:pt>
                <c:pt idx="187">
                  <c:v>9232.781653</c:v>
                </c:pt>
                <c:pt idx="188">
                  <c:v>9232.781653</c:v>
                </c:pt>
                <c:pt idx="189">
                  <c:v>9232.781653</c:v>
                </c:pt>
                <c:pt idx="190">
                  <c:v>9232.781653</c:v>
                </c:pt>
                <c:pt idx="191">
                  <c:v>9232.781653</c:v>
                </c:pt>
                <c:pt idx="192">
                  <c:v>9232.781653</c:v>
                </c:pt>
                <c:pt idx="193">
                  <c:v>9232.781653</c:v>
                </c:pt>
                <c:pt idx="194">
                  <c:v>9232.781653</c:v>
                </c:pt>
                <c:pt idx="195">
                  <c:v>9232.781653</c:v>
                </c:pt>
                <c:pt idx="196">
                  <c:v>9232.781653</c:v>
                </c:pt>
                <c:pt idx="197">
                  <c:v>9232.781653</c:v>
                </c:pt>
                <c:pt idx="198">
                  <c:v>9232.781653</c:v>
                </c:pt>
                <c:pt idx="199">
                  <c:v>9232.781653</c:v>
                </c:pt>
                <c:pt idx="200">
                  <c:v>9232.781653</c:v>
                </c:pt>
                <c:pt idx="201">
                  <c:v>9232.781653</c:v>
                </c:pt>
                <c:pt idx="202">
                  <c:v>9232.781653</c:v>
                </c:pt>
                <c:pt idx="203">
                  <c:v>9232.781653</c:v>
                </c:pt>
                <c:pt idx="204">
                  <c:v>9232.781653</c:v>
                </c:pt>
                <c:pt idx="205">
                  <c:v>9232.781653</c:v>
                </c:pt>
                <c:pt idx="206">
                  <c:v>9232.781653</c:v>
                </c:pt>
                <c:pt idx="207">
                  <c:v>9232.781653</c:v>
                </c:pt>
                <c:pt idx="208">
                  <c:v>9232.781653</c:v>
                </c:pt>
                <c:pt idx="209">
                  <c:v>9232.781653</c:v>
                </c:pt>
                <c:pt idx="210">
                  <c:v>9232.781653</c:v>
                </c:pt>
                <c:pt idx="211">
                  <c:v>9232.781653</c:v>
                </c:pt>
                <c:pt idx="212">
                  <c:v>9232.781653</c:v>
                </c:pt>
                <c:pt idx="213">
                  <c:v>9232.781653</c:v>
                </c:pt>
                <c:pt idx="214">
                  <c:v>9232.781653</c:v>
                </c:pt>
                <c:pt idx="215">
                  <c:v>9232.781653</c:v>
                </c:pt>
                <c:pt idx="216">
                  <c:v>9232.781653</c:v>
                </c:pt>
                <c:pt idx="217">
                  <c:v>9232.781653</c:v>
                </c:pt>
                <c:pt idx="218">
                  <c:v>9232.781653</c:v>
                </c:pt>
                <c:pt idx="219">
                  <c:v>9232.781653</c:v>
                </c:pt>
                <c:pt idx="220">
                  <c:v>9232.781653</c:v>
                </c:pt>
                <c:pt idx="221">
                  <c:v>9232.781653</c:v>
                </c:pt>
                <c:pt idx="222">
                  <c:v>9232.781653</c:v>
                </c:pt>
                <c:pt idx="223">
                  <c:v>9232.781653</c:v>
                </c:pt>
                <c:pt idx="224">
                  <c:v>9232.781653</c:v>
                </c:pt>
                <c:pt idx="225">
                  <c:v>9232.781653</c:v>
                </c:pt>
                <c:pt idx="226">
                  <c:v>9232.781653</c:v>
                </c:pt>
                <c:pt idx="227">
                  <c:v>9232.781653</c:v>
                </c:pt>
                <c:pt idx="228">
                  <c:v>9232.781653</c:v>
                </c:pt>
                <c:pt idx="229">
                  <c:v>9232.781653</c:v>
                </c:pt>
                <c:pt idx="230">
                  <c:v>9232.781653</c:v>
                </c:pt>
                <c:pt idx="231">
                  <c:v>9232.781653</c:v>
                </c:pt>
                <c:pt idx="232">
                  <c:v>9232.781653</c:v>
                </c:pt>
                <c:pt idx="233">
                  <c:v>9232.781653</c:v>
                </c:pt>
                <c:pt idx="234">
                  <c:v>9232.781653</c:v>
                </c:pt>
                <c:pt idx="235">
                  <c:v>9232.781653</c:v>
                </c:pt>
                <c:pt idx="236">
                  <c:v>9232.781653</c:v>
                </c:pt>
                <c:pt idx="237">
                  <c:v>9232.781653</c:v>
                </c:pt>
                <c:pt idx="238">
                  <c:v>9232.781653</c:v>
                </c:pt>
                <c:pt idx="239">
                  <c:v>9232.781653</c:v>
                </c:pt>
                <c:pt idx="240">
                  <c:v>9232.781653</c:v>
                </c:pt>
                <c:pt idx="241">
                  <c:v>9232.781653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7.5268817204301071</c:v>
                </c:pt>
                <c:pt idx="1">
                  <c:v>8.2437275985663074</c:v>
                </c:pt>
                <c:pt idx="2">
                  <c:v>8.9605734767025087</c:v>
                </c:pt>
                <c:pt idx="3">
                  <c:v>9.67741935483871</c:v>
                </c:pt>
                <c:pt idx="4">
                  <c:v>10.394265232974909</c:v>
                </c:pt>
                <c:pt idx="5">
                  <c:v>12.043010752688172</c:v>
                </c:pt>
                <c:pt idx="6">
                  <c:v>14.086021505376344</c:v>
                </c:pt>
                <c:pt idx="7">
                  <c:v>15.268817204301074</c:v>
                </c:pt>
                <c:pt idx="8">
                  <c:v>16.335125448028673</c:v>
                </c:pt>
                <c:pt idx="9">
                  <c:v>17.514934289127837</c:v>
                </c:pt>
                <c:pt idx="10">
                  <c:v>18.888888888888889</c:v>
                </c:pt>
                <c:pt idx="11">
                  <c:v>20.319322254806124</c:v>
                </c:pt>
                <c:pt idx="12">
                  <c:v>13.763440860215052</c:v>
                </c:pt>
                <c:pt idx="13">
                  <c:v>13.476702508960573</c:v>
                </c:pt>
                <c:pt idx="14">
                  <c:v>17.849462365591396</c:v>
                </c:pt>
                <c:pt idx="15">
                  <c:v>20.071684587813618</c:v>
                </c:pt>
                <c:pt idx="16">
                  <c:v>21.0752688172043</c:v>
                </c:pt>
                <c:pt idx="17">
                  <c:v>19.498207885304659</c:v>
                </c:pt>
                <c:pt idx="18">
                  <c:v>24.301075268817204</c:v>
                </c:pt>
                <c:pt idx="19">
                  <c:v>27.240143369175627</c:v>
                </c:pt>
                <c:pt idx="20">
                  <c:v>25.949820788530463</c:v>
                </c:pt>
                <c:pt idx="21">
                  <c:v>28.673835125448026</c:v>
                </c:pt>
                <c:pt idx="22">
                  <c:v>32.186379928315411</c:v>
                </c:pt>
                <c:pt idx="23">
                  <c:v>32.831541218637994</c:v>
                </c:pt>
                <c:pt idx="24">
                  <c:v>31.03942652329749</c:v>
                </c:pt>
                <c:pt idx="25">
                  <c:v>27.168458781362006</c:v>
                </c:pt>
                <c:pt idx="26">
                  <c:v>26.379928315412187</c:v>
                </c:pt>
                <c:pt idx="27">
                  <c:v>25.949820788530463</c:v>
                </c:pt>
                <c:pt idx="28">
                  <c:v>30.107526881720428</c:v>
                </c:pt>
                <c:pt idx="29">
                  <c:v>23.727598566308242</c:v>
                </c:pt>
                <c:pt idx="30">
                  <c:v>27.455197132616487</c:v>
                </c:pt>
                <c:pt idx="31">
                  <c:v>33.261648745519715</c:v>
                </c:pt>
                <c:pt idx="32">
                  <c:v>29.318996415770609</c:v>
                </c:pt>
                <c:pt idx="33">
                  <c:v>31.68458781362007</c:v>
                </c:pt>
                <c:pt idx="34">
                  <c:v>32.759856630824373</c:v>
                </c:pt>
                <c:pt idx="35">
                  <c:v>43.87096774193548</c:v>
                </c:pt>
                <c:pt idx="36">
                  <c:v>54.121863799283155</c:v>
                </c:pt>
                <c:pt idx="37">
                  <c:v>67.45519713261649</c:v>
                </c:pt>
                <c:pt idx="38">
                  <c:v>63.225806451612897</c:v>
                </c:pt>
                <c:pt idx="39">
                  <c:v>66.8100358422939</c:v>
                </c:pt>
                <c:pt idx="40">
                  <c:v>73.491039426523301</c:v>
                </c:pt>
                <c:pt idx="41">
                  <c:v>80.840143369175635</c:v>
                </c:pt>
                <c:pt idx="42">
                  <c:v>88.924157706093212</c:v>
                </c:pt>
                <c:pt idx="43">
                  <c:v>97.816573476702544</c:v>
                </c:pt>
                <c:pt idx="44">
                  <c:v>107.59823082437281</c:v>
                </c:pt>
                <c:pt idx="45">
                  <c:v>118.35805390681008</c:v>
                </c:pt>
                <c:pt idx="46">
                  <c:v>130.19385929749112</c:v>
                </c:pt>
                <c:pt idx="47">
                  <c:v>143.21324522724024</c:v>
                </c:pt>
                <c:pt idx="48">
                  <c:v>157.53456974996428</c:v>
                </c:pt>
                <c:pt idx="49">
                  <c:v>173.28802672496073</c:v>
                </c:pt>
                <c:pt idx="50">
                  <c:v>190.61682939745683</c:v>
                </c:pt>
                <c:pt idx="51">
                  <c:v>209.67851233720253</c:v>
                </c:pt>
                <c:pt idx="52">
                  <c:v>230.64636357092283</c:v>
                </c:pt>
                <c:pt idx="53">
                  <c:v>253.71099992801513</c:v>
                </c:pt>
                <c:pt idx="54">
                  <c:v>279.08209992081663</c:v>
                </c:pt>
                <c:pt idx="55">
                  <c:v>306.99030991289828</c:v>
                </c:pt>
                <c:pt idx="56">
                  <c:v>337.68934090418816</c:v>
                </c:pt>
                <c:pt idx="57">
                  <c:v>371.45827499460705</c:v>
                </c:pt>
                <c:pt idx="58">
                  <c:v>408.60410249406777</c:v>
                </c:pt>
                <c:pt idx="59">
                  <c:v>449.46451274347459</c:v>
                </c:pt>
                <c:pt idx="60">
                  <c:v>494.41096401782204</c:v>
                </c:pt>
                <c:pt idx="61">
                  <c:v>543.8520604196043</c:v>
                </c:pt>
                <c:pt idx="62">
                  <c:v>598.23726646156479</c:v>
                </c:pt>
                <c:pt idx="63">
                  <c:v>658.0609931077214</c:v>
                </c:pt>
                <c:pt idx="64">
                  <c:v>723.86709241849348</c:v>
                </c:pt>
                <c:pt idx="65">
                  <c:v>796.2538016603429</c:v>
                </c:pt>
                <c:pt idx="66">
                  <c:v>875.87918182637736</c:v>
                </c:pt>
                <c:pt idx="67">
                  <c:v>963.4671000090151</c:v>
                </c:pt>
                <c:pt idx="68">
                  <c:v>1059.8138100099168</c:v>
                </c:pt>
                <c:pt idx="69">
                  <c:v>1165.7951910109086</c:v>
                </c:pt>
                <c:pt idx="70">
                  <c:v>1282.3747101119995</c:v>
                </c:pt>
                <c:pt idx="71">
                  <c:v>1410.6121811231997</c:v>
                </c:pt>
                <c:pt idx="72">
                  <c:v>1551.6733992355196</c:v>
                </c:pt>
                <c:pt idx="73">
                  <c:v>1706.840739159072</c:v>
                </c:pt>
                <c:pt idx="74">
                  <c:v>1877.5248130749792</c:v>
                </c:pt>
                <c:pt idx="75">
                  <c:v>2065.2772943824771</c:v>
                </c:pt>
                <c:pt idx="76">
                  <c:v>2271.8050238207247</c:v>
                </c:pt>
                <c:pt idx="77">
                  <c:v>2498.9855262027977</c:v>
                </c:pt>
                <c:pt idx="78">
                  <c:v>2748.8840788230773</c:v>
                </c:pt>
                <c:pt idx="79">
                  <c:v>3023.7724867053853</c:v>
                </c:pt>
                <c:pt idx="80">
                  <c:v>3326.1497353759241</c:v>
                </c:pt>
                <c:pt idx="81">
                  <c:v>3658.7647089135171</c:v>
                </c:pt>
                <c:pt idx="82">
                  <c:v>4024.6411798048694</c:v>
                </c:pt>
                <c:pt idx="83">
                  <c:v>4427.105297785356</c:v>
                </c:pt>
                <c:pt idx="84">
                  <c:v>4869.8158275638925</c:v>
                </c:pt>
                <c:pt idx="85">
                  <c:v>5356.7974103202823</c:v>
                </c:pt>
                <c:pt idx="86">
                  <c:v>5892.4771513523101</c:v>
                </c:pt>
                <c:pt idx="87">
                  <c:v>6481.7248664875424</c:v>
                </c:pt>
                <c:pt idx="88">
                  <c:v>7129.8973531362972</c:v>
                </c:pt>
                <c:pt idx="89">
                  <c:v>7842.8870884499274</c:v>
                </c:pt>
                <c:pt idx="90">
                  <c:v>8627.1757972949217</c:v>
                </c:pt>
                <c:pt idx="91">
                  <c:v>9489.893377024413</c:v>
                </c:pt>
                <c:pt idx="92">
                  <c:v>10438.882714726855</c:v>
                </c:pt>
                <c:pt idx="93">
                  <c:v>11482.770986199541</c:v>
                </c:pt>
                <c:pt idx="94">
                  <c:v>12631.048084819497</c:v>
                </c:pt>
                <c:pt idx="95">
                  <c:v>13894.152893301447</c:v>
                </c:pt>
                <c:pt idx="96">
                  <c:v>15283.568182631594</c:v>
                </c:pt>
                <c:pt idx="97">
                  <c:v>16811.925000894753</c:v>
                </c:pt>
                <c:pt idx="98">
                  <c:v>18493.11750098423</c:v>
                </c:pt>
                <c:pt idx="99">
                  <c:v>20342.429251082656</c:v>
                </c:pt>
                <c:pt idx="100">
                  <c:v>22376.672176190925</c:v>
                </c:pt>
                <c:pt idx="101">
                  <c:v>24614.339393810016</c:v>
                </c:pt>
                <c:pt idx="102">
                  <c:v>27075.77333319102</c:v>
                </c:pt>
                <c:pt idx="103">
                  <c:v>29783.350666510127</c:v>
                </c:pt>
                <c:pt idx="104">
                  <c:v>32761.685733161143</c:v>
                </c:pt>
                <c:pt idx="105">
                  <c:v>36037.85430647726</c:v>
                </c:pt>
                <c:pt idx="106">
                  <c:v>39641.639737124991</c:v>
                </c:pt>
                <c:pt idx="107">
                  <c:v>43605.803710837492</c:v>
                </c:pt>
                <c:pt idx="108">
                  <c:v>47966.384081921242</c:v>
                </c:pt>
                <c:pt idx="109">
                  <c:v>52763.02249011337</c:v>
                </c:pt>
                <c:pt idx="110">
                  <c:v>58039.324739124713</c:v>
                </c:pt>
                <c:pt idx="111">
                  <c:v>63843.257213037185</c:v>
                </c:pt>
                <c:pt idx="112">
                  <c:v>70227.582934340913</c:v>
                </c:pt>
                <c:pt idx="113">
                  <c:v>77250.341227775003</c:v>
                </c:pt>
                <c:pt idx="114">
                  <c:v>84975.375350552509</c:v>
                </c:pt>
                <c:pt idx="115">
                  <c:v>93472.912885607773</c:v>
                </c:pt>
                <c:pt idx="116">
                  <c:v>102820.20417416855</c:v>
                </c:pt>
                <c:pt idx="117">
                  <c:v>113102.22459158541</c:v>
                </c:pt>
                <c:pt idx="118">
                  <c:v>124412.44705074395</c:v>
                </c:pt>
                <c:pt idx="119">
                  <c:v>136853.69175581838</c:v>
                </c:pt>
                <c:pt idx="120">
                  <c:v>150539.06093140022</c:v>
                </c:pt>
                <c:pt idx="121">
                  <c:v>165592.96702454027</c:v>
                </c:pt>
                <c:pt idx="122">
                  <c:v>182152.26372699428</c:v>
                </c:pt>
                <c:pt idx="123">
                  <c:v>200367.49009969374</c:v>
                </c:pt>
                <c:pt idx="124">
                  <c:v>220404.23910966312</c:v>
                </c:pt>
                <c:pt idx="125">
                  <c:v>242444.66302062944</c:v>
                </c:pt>
                <c:pt idx="126">
                  <c:v>266689.1293226924</c:v>
                </c:pt>
                <c:pt idx="127">
                  <c:v>293358.04225496168</c:v>
                </c:pt>
                <c:pt idx="128">
                  <c:v>322693.84648045793</c:v>
                </c:pt>
                <c:pt idx="129">
                  <c:v>354963.23112850374</c:v>
                </c:pt>
                <c:pt idx="130">
                  <c:v>390459.55424135417</c:v>
                </c:pt>
                <c:pt idx="131">
                  <c:v>429505.5096654896</c:v>
                </c:pt>
                <c:pt idx="132">
                  <c:v>472456.06063203863</c:v>
                </c:pt>
                <c:pt idx="133">
                  <c:v>519701.66669524257</c:v>
                </c:pt>
                <c:pt idx="134">
                  <c:v>571671.83336476679</c:v>
                </c:pt>
                <c:pt idx="135">
                  <c:v>628839.01670124347</c:v>
                </c:pt>
                <c:pt idx="136">
                  <c:v>691722.91837136785</c:v>
                </c:pt>
                <c:pt idx="137">
                  <c:v>760895.21020850481</c:v>
                </c:pt>
                <c:pt idx="138">
                  <c:v>836984.73122935533</c:v>
                </c:pt>
                <c:pt idx="139">
                  <c:v>920683.20435229095</c:v>
                </c:pt>
                <c:pt idx="140">
                  <c:v>1012751.5247875202</c:v>
                </c:pt>
                <c:pt idx="141">
                  <c:v>1114026.6772662723</c:v>
                </c:pt>
                <c:pt idx="142">
                  <c:v>1225429.3449928998</c:v>
                </c:pt>
                <c:pt idx="143">
                  <c:v>1347972.2794921899</c:v>
                </c:pt>
                <c:pt idx="144">
                  <c:v>1482769.5074414089</c:v>
                </c:pt>
                <c:pt idx="145">
                  <c:v>1631046.4581855501</c:v>
                </c:pt>
                <c:pt idx="146">
                  <c:v>1794151.1040041053</c:v>
                </c:pt>
                <c:pt idx="147">
                  <c:v>1973566.2144045159</c:v>
                </c:pt>
                <c:pt idx="148">
                  <c:v>2170922.8358449675</c:v>
                </c:pt>
                <c:pt idx="149">
                  <c:v>2388015.1194294645</c:v>
                </c:pt>
                <c:pt idx="150">
                  <c:v>2626816.6313724113</c:v>
                </c:pt>
                <c:pt idx="151">
                  <c:v>2889498.2945096525</c:v>
                </c:pt>
                <c:pt idx="152">
                  <c:v>3178448.1239606175</c:v>
                </c:pt>
                <c:pt idx="153">
                  <c:v>3496292.9363566795</c:v>
                </c:pt>
                <c:pt idx="154">
                  <c:v>3626565.189964158</c:v>
                </c:pt>
                <c:pt idx="155">
                  <c:v>3626565.189964158</c:v>
                </c:pt>
                <c:pt idx="156">
                  <c:v>3626565.189964158</c:v>
                </c:pt>
                <c:pt idx="157">
                  <c:v>3626565.189964158</c:v>
                </c:pt>
                <c:pt idx="158">
                  <c:v>3626565.189964158</c:v>
                </c:pt>
                <c:pt idx="159">
                  <c:v>3626565.189964158</c:v>
                </c:pt>
                <c:pt idx="160">
                  <c:v>3626565.189964158</c:v>
                </c:pt>
                <c:pt idx="161">
                  <c:v>3626565.189964158</c:v>
                </c:pt>
                <c:pt idx="162">
                  <c:v>3626565.189964158</c:v>
                </c:pt>
                <c:pt idx="163">
                  <c:v>3626565.189964158</c:v>
                </c:pt>
                <c:pt idx="164">
                  <c:v>3626565.189964158</c:v>
                </c:pt>
                <c:pt idx="165">
                  <c:v>3626565.189964158</c:v>
                </c:pt>
                <c:pt idx="166">
                  <c:v>3626565.189964158</c:v>
                </c:pt>
                <c:pt idx="167">
                  <c:v>3626565.189964158</c:v>
                </c:pt>
                <c:pt idx="168">
                  <c:v>3626565.189964158</c:v>
                </c:pt>
                <c:pt idx="169">
                  <c:v>3626565.189964158</c:v>
                </c:pt>
                <c:pt idx="170">
                  <c:v>3626565.189964158</c:v>
                </c:pt>
                <c:pt idx="171">
                  <c:v>3626565.189964158</c:v>
                </c:pt>
                <c:pt idx="172">
                  <c:v>3626565.189964158</c:v>
                </c:pt>
                <c:pt idx="173">
                  <c:v>3626565.189964158</c:v>
                </c:pt>
                <c:pt idx="174">
                  <c:v>3626565.189964158</c:v>
                </c:pt>
                <c:pt idx="175">
                  <c:v>3626565.189964158</c:v>
                </c:pt>
                <c:pt idx="176">
                  <c:v>3626565.189964158</c:v>
                </c:pt>
                <c:pt idx="177">
                  <c:v>3626565.189964158</c:v>
                </c:pt>
                <c:pt idx="178">
                  <c:v>3626565.189964158</c:v>
                </c:pt>
                <c:pt idx="179">
                  <c:v>3626565.189964158</c:v>
                </c:pt>
                <c:pt idx="180">
                  <c:v>3626565.189964158</c:v>
                </c:pt>
                <c:pt idx="181">
                  <c:v>3626565.189964158</c:v>
                </c:pt>
                <c:pt idx="182">
                  <c:v>3626565.189964158</c:v>
                </c:pt>
                <c:pt idx="183">
                  <c:v>3626565.189964158</c:v>
                </c:pt>
                <c:pt idx="184">
                  <c:v>3626565.189964158</c:v>
                </c:pt>
                <c:pt idx="185">
                  <c:v>3626565.189964158</c:v>
                </c:pt>
                <c:pt idx="186">
                  <c:v>3626565.189964158</c:v>
                </c:pt>
                <c:pt idx="187">
                  <c:v>3626565.189964158</c:v>
                </c:pt>
                <c:pt idx="188">
                  <c:v>3626565.189964158</c:v>
                </c:pt>
                <c:pt idx="189">
                  <c:v>3626565.189964158</c:v>
                </c:pt>
                <c:pt idx="190">
                  <c:v>3626565.189964158</c:v>
                </c:pt>
                <c:pt idx="191">
                  <c:v>3626565.189964158</c:v>
                </c:pt>
                <c:pt idx="192">
                  <c:v>3626565.189964158</c:v>
                </c:pt>
                <c:pt idx="193">
                  <c:v>3626565.189964158</c:v>
                </c:pt>
                <c:pt idx="194">
                  <c:v>3626565.189964158</c:v>
                </c:pt>
                <c:pt idx="195">
                  <c:v>3626565.189964158</c:v>
                </c:pt>
                <c:pt idx="196">
                  <c:v>3626565.189964158</c:v>
                </c:pt>
                <c:pt idx="197">
                  <c:v>3626565.189964158</c:v>
                </c:pt>
                <c:pt idx="198">
                  <c:v>3626565.189964158</c:v>
                </c:pt>
                <c:pt idx="199">
                  <c:v>3626565.189964158</c:v>
                </c:pt>
                <c:pt idx="200">
                  <c:v>3626565.189964158</c:v>
                </c:pt>
                <c:pt idx="201">
                  <c:v>3626565.189964158</c:v>
                </c:pt>
                <c:pt idx="202">
                  <c:v>3626565.189964158</c:v>
                </c:pt>
                <c:pt idx="203">
                  <c:v>3626565.189964158</c:v>
                </c:pt>
                <c:pt idx="204">
                  <c:v>3626565.189964158</c:v>
                </c:pt>
                <c:pt idx="205">
                  <c:v>3626565.189964158</c:v>
                </c:pt>
                <c:pt idx="206">
                  <c:v>3626565.189964158</c:v>
                </c:pt>
                <c:pt idx="207">
                  <c:v>3626565.189964158</c:v>
                </c:pt>
                <c:pt idx="208">
                  <c:v>3626565.189964158</c:v>
                </c:pt>
                <c:pt idx="209">
                  <c:v>3626565.189964158</c:v>
                </c:pt>
                <c:pt idx="210">
                  <c:v>3626565.189964158</c:v>
                </c:pt>
                <c:pt idx="211">
                  <c:v>3626565.189964158</c:v>
                </c:pt>
                <c:pt idx="212">
                  <c:v>3626565.189964158</c:v>
                </c:pt>
                <c:pt idx="213">
                  <c:v>3626565.189964158</c:v>
                </c:pt>
                <c:pt idx="214">
                  <c:v>3626565.189964158</c:v>
                </c:pt>
                <c:pt idx="215">
                  <c:v>3626565.189964158</c:v>
                </c:pt>
                <c:pt idx="216">
                  <c:v>3626565.189964158</c:v>
                </c:pt>
                <c:pt idx="217">
                  <c:v>3626565.189964158</c:v>
                </c:pt>
                <c:pt idx="218">
                  <c:v>3626565.189964158</c:v>
                </c:pt>
                <c:pt idx="219">
                  <c:v>3626565.189964158</c:v>
                </c:pt>
                <c:pt idx="220">
                  <c:v>3626565.189964158</c:v>
                </c:pt>
                <c:pt idx="221">
                  <c:v>3626565.189964158</c:v>
                </c:pt>
                <c:pt idx="222">
                  <c:v>3626565.189964158</c:v>
                </c:pt>
                <c:pt idx="223">
                  <c:v>3626565.189964158</c:v>
                </c:pt>
                <c:pt idx="224">
                  <c:v>3626565.189964158</c:v>
                </c:pt>
                <c:pt idx="225">
                  <c:v>3626565.189964158</c:v>
                </c:pt>
                <c:pt idx="226">
                  <c:v>3626565.189964158</c:v>
                </c:pt>
                <c:pt idx="227">
                  <c:v>3626565.189964158</c:v>
                </c:pt>
                <c:pt idx="228">
                  <c:v>3626565.189964158</c:v>
                </c:pt>
                <c:pt idx="229">
                  <c:v>3626565.189964158</c:v>
                </c:pt>
                <c:pt idx="230">
                  <c:v>3626565.189964158</c:v>
                </c:pt>
                <c:pt idx="231">
                  <c:v>3626565.189964158</c:v>
                </c:pt>
                <c:pt idx="232">
                  <c:v>3626565.189964158</c:v>
                </c:pt>
                <c:pt idx="233">
                  <c:v>3626565.189964158</c:v>
                </c:pt>
                <c:pt idx="234">
                  <c:v>3626565.189964158</c:v>
                </c:pt>
                <c:pt idx="235">
                  <c:v>3626565.189964158</c:v>
                </c:pt>
                <c:pt idx="236">
                  <c:v>3626565.189964158</c:v>
                </c:pt>
                <c:pt idx="237">
                  <c:v>3626565.189964158</c:v>
                </c:pt>
                <c:pt idx="238">
                  <c:v>3626565.189964158</c:v>
                </c:pt>
                <c:pt idx="239">
                  <c:v>3626565.189964158</c:v>
                </c:pt>
                <c:pt idx="240">
                  <c:v>3626565.189964158</c:v>
                </c:pt>
                <c:pt idx="241">
                  <c:v>3626565.189964158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7.5268817204301071</c:v>
                </c:pt>
                <c:pt idx="1">
                  <c:v>8.2437275985663074</c:v>
                </c:pt>
                <c:pt idx="2">
                  <c:v>8.9605734767025087</c:v>
                </c:pt>
                <c:pt idx="3">
                  <c:v>9.67741935483871</c:v>
                </c:pt>
                <c:pt idx="4">
                  <c:v>10.394265232974909</c:v>
                </c:pt>
                <c:pt idx="5">
                  <c:v>12.043010752688172</c:v>
                </c:pt>
                <c:pt idx="6">
                  <c:v>14.086021505376344</c:v>
                </c:pt>
                <c:pt idx="7">
                  <c:v>15.268817204301074</c:v>
                </c:pt>
                <c:pt idx="8">
                  <c:v>16.335125448028673</c:v>
                </c:pt>
                <c:pt idx="9">
                  <c:v>17.514934289127837</c:v>
                </c:pt>
                <c:pt idx="10">
                  <c:v>18.888888888888889</c:v>
                </c:pt>
                <c:pt idx="11">
                  <c:v>20.319322254806124</c:v>
                </c:pt>
                <c:pt idx="12">
                  <c:v>13.763440860215052</c:v>
                </c:pt>
                <c:pt idx="13">
                  <c:v>13.476702508960573</c:v>
                </c:pt>
                <c:pt idx="14">
                  <c:v>17.849462365591396</c:v>
                </c:pt>
                <c:pt idx="15">
                  <c:v>20.071684587813618</c:v>
                </c:pt>
                <c:pt idx="16">
                  <c:v>21.0752688172043</c:v>
                </c:pt>
                <c:pt idx="17">
                  <c:v>19.498207885304659</c:v>
                </c:pt>
                <c:pt idx="18">
                  <c:v>24.301075268817204</c:v>
                </c:pt>
                <c:pt idx="19">
                  <c:v>27.240143369175627</c:v>
                </c:pt>
                <c:pt idx="20">
                  <c:v>25.949820788530463</c:v>
                </c:pt>
                <c:pt idx="21">
                  <c:v>28.673835125448026</c:v>
                </c:pt>
                <c:pt idx="22">
                  <c:v>32.186379928315411</c:v>
                </c:pt>
                <c:pt idx="23">
                  <c:v>32.831541218637994</c:v>
                </c:pt>
                <c:pt idx="24">
                  <c:v>31.03942652329749</c:v>
                </c:pt>
                <c:pt idx="25">
                  <c:v>27.168458781362006</c:v>
                </c:pt>
                <c:pt idx="26">
                  <c:v>26.379928315412187</c:v>
                </c:pt>
                <c:pt idx="27">
                  <c:v>25.949820788530463</c:v>
                </c:pt>
                <c:pt idx="28">
                  <c:v>30.107526881720428</c:v>
                </c:pt>
                <c:pt idx="29">
                  <c:v>23.727598566308242</c:v>
                </c:pt>
                <c:pt idx="30">
                  <c:v>27.455197132616487</c:v>
                </c:pt>
                <c:pt idx="31">
                  <c:v>33.261648745519715</c:v>
                </c:pt>
                <c:pt idx="32">
                  <c:v>29.318996415770609</c:v>
                </c:pt>
                <c:pt idx="33">
                  <c:v>31.68458781362007</c:v>
                </c:pt>
                <c:pt idx="34">
                  <c:v>32.759856630824373</c:v>
                </c:pt>
                <c:pt idx="35">
                  <c:v>43.87096774193548</c:v>
                </c:pt>
                <c:pt idx="36">
                  <c:v>54.121863799283155</c:v>
                </c:pt>
                <c:pt idx="37">
                  <c:v>67.45519713261649</c:v>
                </c:pt>
                <c:pt idx="38">
                  <c:v>63.225806451612897</c:v>
                </c:pt>
                <c:pt idx="39">
                  <c:v>66.8100358422939</c:v>
                </c:pt>
                <c:pt idx="40">
                  <c:v>83.512544802867382</c:v>
                </c:pt>
                <c:pt idx="41">
                  <c:v>104.39068100358422</c:v>
                </c:pt>
                <c:pt idx="42">
                  <c:v>130.48835125448028</c:v>
                </c:pt>
                <c:pt idx="43">
                  <c:v>163.11043906810036</c:v>
                </c:pt>
                <c:pt idx="44">
                  <c:v>203.88804883512543</c:v>
                </c:pt>
                <c:pt idx="45">
                  <c:v>254.8600610439068</c:v>
                </c:pt>
                <c:pt idx="46">
                  <c:v>318.57507630488351</c:v>
                </c:pt>
                <c:pt idx="47">
                  <c:v>398.21884538110436</c:v>
                </c:pt>
                <c:pt idx="48">
                  <c:v>497.77355672638049</c:v>
                </c:pt>
                <c:pt idx="49">
                  <c:v>622.21694590797563</c:v>
                </c:pt>
                <c:pt idx="50">
                  <c:v>777.77118238496951</c:v>
                </c:pt>
                <c:pt idx="51">
                  <c:v>972.21397798121188</c:v>
                </c:pt>
                <c:pt idx="52">
                  <c:v>1215.2674724765147</c:v>
                </c:pt>
                <c:pt idx="53">
                  <c:v>1519.0843405956434</c:v>
                </c:pt>
                <c:pt idx="54">
                  <c:v>1898.8554257445544</c:v>
                </c:pt>
                <c:pt idx="55">
                  <c:v>2373.5692821806929</c:v>
                </c:pt>
                <c:pt idx="56">
                  <c:v>2966.9616027258662</c:v>
                </c:pt>
                <c:pt idx="57">
                  <c:v>3708.702003407333</c:v>
                </c:pt>
                <c:pt idx="58">
                  <c:v>4635.877504259166</c:v>
                </c:pt>
                <c:pt idx="59">
                  <c:v>5794.8468803239575</c:v>
                </c:pt>
                <c:pt idx="60">
                  <c:v>7243.5586004049474</c:v>
                </c:pt>
                <c:pt idx="61">
                  <c:v>9054.4482505061842</c:v>
                </c:pt>
                <c:pt idx="62">
                  <c:v>11318.060313132728</c:v>
                </c:pt>
                <c:pt idx="63">
                  <c:v>14147.57539141591</c:v>
                </c:pt>
                <c:pt idx="64">
                  <c:v>17684.469239269889</c:v>
                </c:pt>
                <c:pt idx="65">
                  <c:v>22105.586549087358</c:v>
                </c:pt>
                <c:pt idx="66">
                  <c:v>27631.983186359197</c:v>
                </c:pt>
                <c:pt idx="67">
                  <c:v>34539.978982948996</c:v>
                </c:pt>
                <c:pt idx="68">
                  <c:v>43174.973728686244</c:v>
                </c:pt>
                <c:pt idx="69">
                  <c:v>53968.717160857799</c:v>
                </c:pt>
                <c:pt idx="70">
                  <c:v>67460.896451072258</c:v>
                </c:pt>
                <c:pt idx="71">
                  <c:v>84326.120563840319</c:v>
                </c:pt>
                <c:pt idx="72">
                  <c:v>105407.65070480038</c:v>
                </c:pt>
                <c:pt idx="73">
                  <c:v>131759.56338100048</c:v>
                </c:pt>
                <c:pt idx="74">
                  <c:v>164699.45422625061</c:v>
                </c:pt>
                <c:pt idx="75">
                  <c:v>205874.31778281325</c:v>
                </c:pt>
                <c:pt idx="76">
                  <c:v>257342.89722851658</c:v>
                </c:pt>
                <c:pt idx="77">
                  <c:v>321678.62153564568</c:v>
                </c:pt>
                <c:pt idx="78">
                  <c:v>402098.27691955713</c:v>
                </c:pt>
                <c:pt idx="79">
                  <c:v>502622.84614944633</c:v>
                </c:pt>
                <c:pt idx="80">
                  <c:v>628278.55768680794</c:v>
                </c:pt>
                <c:pt idx="81">
                  <c:v>785348.19710850995</c:v>
                </c:pt>
                <c:pt idx="82">
                  <c:v>981685.24638563732</c:v>
                </c:pt>
                <c:pt idx="83">
                  <c:v>1227106.5579820466</c:v>
                </c:pt>
                <c:pt idx="84">
                  <c:v>1533883.1974775584</c:v>
                </c:pt>
                <c:pt idx="85">
                  <c:v>1917353.9968469478</c:v>
                </c:pt>
                <c:pt idx="86">
                  <c:v>2396692.4960586848</c:v>
                </c:pt>
                <c:pt idx="87">
                  <c:v>2995865.6200733562</c:v>
                </c:pt>
                <c:pt idx="88">
                  <c:v>3626565.189964158</c:v>
                </c:pt>
                <c:pt idx="89">
                  <c:v>3626565.189964158</c:v>
                </c:pt>
                <c:pt idx="90">
                  <c:v>3626565.189964158</c:v>
                </c:pt>
                <c:pt idx="91">
                  <c:v>3626565.189964158</c:v>
                </c:pt>
                <c:pt idx="92">
                  <c:v>3626565.189964158</c:v>
                </c:pt>
                <c:pt idx="93">
                  <c:v>3626565.189964158</c:v>
                </c:pt>
                <c:pt idx="94">
                  <c:v>3626565.189964158</c:v>
                </c:pt>
                <c:pt idx="95">
                  <c:v>3626565.189964158</c:v>
                </c:pt>
                <c:pt idx="96">
                  <c:v>3626565.189964158</c:v>
                </c:pt>
                <c:pt idx="97">
                  <c:v>3626565.189964158</c:v>
                </c:pt>
                <c:pt idx="98">
                  <c:v>3626565.189964158</c:v>
                </c:pt>
                <c:pt idx="99">
                  <c:v>3626565.189964158</c:v>
                </c:pt>
                <c:pt idx="100">
                  <c:v>3626565.189964158</c:v>
                </c:pt>
                <c:pt idx="101">
                  <c:v>3626565.189964158</c:v>
                </c:pt>
                <c:pt idx="102">
                  <c:v>3626565.189964158</c:v>
                </c:pt>
                <c:pt idx="103">
                  <c:v>3626565.189964158</c:v>
                </c:pt>
                <c:pt idx="104">
                  <c:v>3626565.189964158</c:v>
                </c:pt>
                <c:pt idx="105">
                  <c:v>3626565.189964158</c:v>
                </c:pt>
                <c:pt idx="106">
                  <c:v>3626565.189964158</c:v>
                </c:pt>
                <c:pt idx="107">
                  <c:v>3626565.189964158</c:v>
                </c:pt>
                <c:pt idx="108">
                  <c:v>3626565.189964158</c:v>
                </c:pt>
                <c:pt idx="109">
                  <c:v>3626565.189964158</c:v>
                </c:pt>
                <c:pt idx="110">
                  <c:v>3626565.189964158</c:v>
                </c:pt>
                <c:pt idx="111">
                  <c:v>3626565.189964158</c:v>
                </c:pt>
                <c:pt idx="112">
                  <c:v>3626565.189964158</c:v>
                </c:pt>
                <c:pt idx="113">
                  <c:v>3626565.189964158</c:v>
                </c:pt>
                <c:pt idx="114">
                  <c:v>3626565.189964158</c:v>
                </c:pt>
                <c:pt idx="115">
                  <c:v>3626565.189964158</c:v>
                </c:pt>
                <c:pt idx="116">
                  <c:v>3626565.189964158</c:v>
                </c:pt>
                <c:pt idx="117">
                  <c:v>3626565.189964158</c:v>
                </c:pt>
                <c:pt idx="118">
                  <c:v>3626565.189964158</c:v>
                </c:pt>
                <c:pt idx="119">
                  <c:v>3626565.189964158</c:v>
                </c:pt>
                <c:pt idx="120">
                  <c:v>3626565.189964158</c:v>
                </c:pt>
                <c:pt idx="121">
                  <c:v>3626565.189964158</c:v>
                </c:pt>
                <c:pt idx="122">
                  <c:v>3626565.189964158</c:v>
                </c:pt>
                <c:pt idx="123">
                  <c:v>3626565.189964158</c:v>
                </c:pt>
                <c:pt idx="124">
                  <c:v>3626565.189964158</c:v>
                </c:pt>
                <c:pt idx="125">
                  <c:v>3626565.189964158</c:v>
                </c:pt>
                <c:pt idx="126">
                  <c:v>3626565.189964158</c:v>
                </c:pt>
                <c:pt idx="127">
                  <c:v>3626565.189964158</c:v>
                </c:pt>
                <c:pt idx="128">
                  <c:v>3626565.189964158</c:v>
                </c:pt>
                <c:pt idx="129">
                  <c:v>3626565.189964158</c:v>
                </c:pt>
                <c:pt idx="130">
                  <c:v>3626565.189964158</c:v>
                </c:pt>
                <c:pt idx="131">
                  <c:v>3626565.189964158</c:v>
                </c:pt>
                <c:pt idx="132">
                  <c:v>3626565.189964158</c:v>
                </c:pt>
                <c:pt idx="133">
                  <c:v>3626565.189964158</c:v>
                </c:pt>
                <c:pt idx="134">
                  <c:v>3626565.189964158</c:v>
                </c:pt>
                <c:pt idx="135">
                  <c:v>3626565.189964158</c:v>
                </c:pt>
                <c:pt idx="136">
                  <c:v>3626565.189964158</c:v>
                </c:pt>
                <c:pt idx="137">
                  <c:v>3626565.189964158</c:v>
                </c:pt>
                <c:pt idx="138">
                  <c:v>3626565.189964158</c:v>
                </c:pt>
                <c:pt idx="139">
                  <c:v>3626565.189964158</c:v>
                </c:pt>
                <c:pt idx="140">
                  <c:v>3626565.189964158</c:v>
                </c:pt>
                <c:pt idx="141">
                  <c:v>3626565.189964158</c:v>
                </c:pt>
                <c:pt idx="142">
                  <c:v>3626565.189964158</c:v>
                </c:pt>
                <c:pt idx="143">
                  <c:v>3626565.189964158</c:v>
                </c:pt>
                <c:pt idx="144">
                  <c:v>3626565.189964158</c:v>
                </c:pt>
                <c:pt idx="145">
                  <c:v>3626565.189964158</c:v>
                </c:pt>
                <c:pt idx="146">
                  <c:v>3626565.189964158</c:v>
                </c:pt>
                <c:pt idx="147">
                  <c:v>3626565.189964158</c:v>
                </c:pt>
                <c:pt idx="148">
                  <c:v>3626565.189964158</c:v>
                </c:pt>
                <c:pt idx="149">
                  <c:v>3626565.189964158</c:v>
                </c:pt>
                <c:pt idx="150">
                  <c:v>3626565.189964158</c:v>
                </c:pt>
                <c:pt idx="151">
                  <c:v>3626565.189964158</c:v>
                </c:pt>
                <c:pt idx="152">
                  <c:v>3626565.189964158</c:v>
                </c:pt>
                <c:pt idx="153">
                  <c:v>3626565.189964158</c:v>
                </c:pt>
                <c:pt idx="154">
                  <c:v>3626565.189964158</c:v>
                </c:pt>
                <c:pt idx="155">
                  <c:v>3626565.189964158</c:v>
                </c:pt>
                <c:pt idx="156">
                  <c:v>3626565.189964158</c:v>
                </c:pt>
                <c:pt idx="157">
                  <c:v>3626565.189964158</c:v>
                </c:pt>
                <c:pt idx="158">
                  <c:v>3626565.189964158</c:v>
                </c:pt>
                <c:pt idx="159">
                  <c:v>3626565.189964158</c:v>
                </c:pt>
                <c:pt idx="160">
                  <c:v>3626565.189964158</c:v>
                </c:pt>
                <c:pt idx="161">
                  <c:v>3626565.189964158</c:v>
                </c:pt>
                <c:pt idx="162">
                  <c:v>3626565.189964158</c:v>
                </c:pt>
                <c:pt idx="163">
                  <c:v>3626565.189964158</c:v>
                </c:pt>
                <c:pt idx="164">
                  <c:v>3626565.189964158</c:v>
                </c:pt>
                <c:pt idx="165">
                  <c:v>3626565.189964158</c:v>
                </c:pt>
                <c:pt idx="166">
                  <c:v>3626565.189964158</c:v>
                </c:pt>
                <c:pt idx="167">
                  <c:v>3626565.189964158</c:v>
                </c:pt>
                <c:pt idx="168">
                  <c:v>3626565.189964158</c:v>
                </c:pt>
                <c:pt idx="169">
                  <c:v>3626565.189964158</c:v>
                </c:pt>
                <c:pt idx="170">
                  <c:v>3626565.189964158</c:v>
                </c:pt>
                <c:pt idx="171">
                  <c:v>3626565.189964158</c:v>
                </c:pt>
                <c:pt idx="172">
                  <c:v>3626565.189964158</c:v>
                </c:pt>
                <c:pt idx="173">
                  <c:v>3626565.189964158</c:v>
                </c:pt>
                <c:pt idx="174">
                  <c:v>3626565.189964158</c:v>
                </c:pt>
                <c:pt idx="175">
                  <c:v>3626565.189964158</c:v>
                </c:pt>
                <c:pt idx="176">
                  <c:v>3626565.189964158</c:v>
                </c:pt>
                <c:pt idx="177">
                  <c:v>3626565.189964158</c:v>
                </c:pt>
                <c:pt idx="178">
                  <c:v>3626565.189964158</c:v>
                </c:pt>
                <c:pt idx="179">
                  <c:v>3626565.189964158</c:v>
                </c:pt>
                <c:pt idx="180">
                  <c:v>3626565.189964158</c:v>
                </c:pt>
                <c:pt idx="181">
                  <c:v>3626565.189964158</c:v>
                </c:pt>
                <c:pt idx="182">
                  <c:v>3626565.189964158</c:v>
                </c:pt>
                <c:pt idx="183">
                  <c:v>3626565.189964158</c:v>
                </c:pt>
                <c:pt idx="184">
                  <c:v>3626565.189964158</c:v>
                </c:pt>
                <c:pt idx="185">
                  <c:v>3626565.189964158</c:v>
                </c:pt>
                <c:pt idx="186">
                  <c:v>3626565.189964158</c:v>
                </c:pt>
                <c:pt idx="187">
                  <c:v>3626565.189964158</c:v>
                </c:pt>
                <c:pt idx="188">
                  <c:v>3626565.189964158</c:v>
                </c:pt>
                <c:pt idx="189">
                  <c:v>3626565.189964158</c:v>
                </c:pt>
                <c:pt idx="190">
                  <c:v>3626565.189964158</c:v>
                </c:pt>
                <c:pt idx="191">
                  <c:v>3626565.189964158</c:v>
                </c:pt>
                <c:pt idx="192">
                  <c:v>3626565.189964158</c:v>
                </c:pt>
                <c:pt idx="193">
                  <c:v>3626565.189964158</c:v>
                </c:pt>
                <c:pt idx="194">
                  <c:v>3626565.189964158</c:v>
                </c:pt>
                <c:pt idx="195">
                  <c:v>3626565.189964158</c:v>
                </c:pt>
                <c:pt idx="196">
                  <c:v>3626565.189964158</c:v>
                </c:pt>
                <c:pt idx="197">
                  <c:v>3626565.189964158</c:v>
                </c:pt>
                <c:pt idx="198">
                  <c:v>3626565.189964158</c:v>
                </c:pt>
                <c:pt idx="199">
                  <c:v>3626565.189964158</c:v>
                </c:pt>
                <c:pt idx="200">
                  <c:v>3626565.189964158</c:v>
                </c:pt>
                <c:pt idx="201">
                  <c:v>3626565.189964158</c:v>
                </c:pt>
                <c:pt idx="202">
                  <c:v>3626565.189964158</c:v>
                </c:pt>
                <c:pt idx="203">
                  <c:v>3626565.189964158</c:v>
                </c:pt>
                <c:pt idx="204">
                  <c:v>3626565.189964158</c:v>
                </c:pt>
                <c:pt idx="205">
                  <c:v>3626565.189964158</c:v>
                </c:pt>
                <c:pt idx="206">
                  <c:v>3626565.189964158</c:v>
                </c:pt>
                <c:pt idx="207">
                  <c:v>3626565.189964158</c:v>
                </c:pt>
                <c:pt idx="208">
                  <c:v>3626565.189964158</c:v>
                </c:pt>
                <c:pt idx="209">
                  <c:v>3626565.189964158</c:v>
                </c:pt>
                <c:pt idx="210">
                  <c:v>3626565.189964158</c:v>
                </c:pt>
                <c:pt idx="211">
                  <c:v>3626565.189964158</c:v>
                </c:pt>
                <c:pt idx="212">
                  <c:v>3626565.189964158</c:v>
                </c:pt>
                <c:pt idx="213">
                  <c:v>3626565.189964158</c:v>
                </c:pt>
                <c:pt idx="214">
                  <c:v>3626565.189964158</c:v>
                </c:pt>
                <c:pt idx="215">
                  <c:v>3626565.189964158</c:v>
                </c:pt>
                <c:pt idx="216">
                  <c:v>3626565.189964158</c:v>
                </c:pt>
                <c:pt idx="217">
                  <c:v>3626565.189964158</c:v>
                </c:pt>
                <c:pt idx="218">
                  <c:v>3626565.189964158</c:v>
                </c:pt>
                <c:pt idx="219">
                  <c:v>3626565.189964158</c:v>
                </c:pt>
                <c:pt idx="220">
                  <c:v>3626565.189964158</c:v>
                </c:pt>
                <c:pt idx="221">
                  <c:v>3626565.189964158</c:v>
                </c:pt>
                <c:pt idx="222">
                  <c:v>3626565.189964158</c:v>
                </c:pt>
                <c:pt idx="223">
                  <c:v>3626565.189964158</c:v>
                </c:pt>
                <c:pt idx="224">
                  <c:v>3626565.189964158</c:v>
                </c:pt>
                <c:pt idx="225">
                  <c:v>3626565.189964158</c:v>
                </c:pt>
                <c:pt idx="226">
                  <c:v>3626565.189964158</c:v>
                </c:pt>
                <c:pt idx="227">
                  <c:v>3626565.189964158</c:v>
                </c:pt>
                <c:pt idx="228">
                  <c:v>3626565.189964158</c:v>
                </c:pt>
                <c:pt idx="229">
                  <c:v>3626565.189964158</c:v>
                </c:pt>
                <c:pt idx="230">
                  <c:v>3626565.189964158</c:v>
                </c:pt>
                <c:pt idx="231">
                  <c:v>3626565.189964158</c:v>
                </c:pt>
                <c:pt idx="232">
                  <c:v>3626565.189964158</c:v>
                </c:pt>
                <c:pt idx="233">
                  <c:v>3626565.189964158</c:v>
                </c:pt>
                <c:pt idx="234">
                  <c:v>3626565.189964158</c:v>
                </c:pt>
                <c:pt idx="235">
                  <c:v>3626565.189964158</c:v>
                </c:pt>
                <c:pt idx="236">
                  <c:v>3626565.189964158</c:v>
                </c:pt>
                <c:pt idx="237">
                  <c:v>3626565.189964158</c:v>
                </c:pt>
                <c:pt idx="238">
                  <c:v>3626565.189964158</c:v>
                </c:pt>
                <c:pt idx="239">
                  <c:v>3626565.189964158</c:v>
                </c:pt>
                <c:pt idx="240">
                  <c:v>3626565.189964158</c:v>
                </c:pt>
                <c:pt idx="241">
                  <c:v>3626565.189964158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7.5268817204301071</c:v>
                </c:pt>
                <c:pt idx="1">
                  <c:v>8.2437275985663074</c:v>
                </c:pt>
                <c:pt idx="2">
                  <c:v>8.9605734767025087</c:v>
                </c:pt>
                <c:pt idx="3">
                  <c:v>9.67741935483871</c:v>
                </c:pt>
                <c:pt idx="4">
                  <c:v>10.394265232974909</c:v>
                </c:pt>
                <c:pt idx="5">
                  <c:v>12.043010752688172</c:v>
                </c:pt>
                <c:pt idx="6">
                  <c:v>14.086021505376344</c:v>
                </c:pt>
                <c:pt idx="7">
                  <c:v>15.268817204301074</c:v>
                </c:pt>
                <c:pt idx="8">
                  <c:v>16.335125448028673</c:v>
                </c:pt>
                <c:pt idx="9">
                  <c:v>17.514934289127837</c:v>
                </c:pt>
                <c:pt idx="10">
                  <c:v>18.888888888888889</c:v>
                </c:pt>
                <c:pt idx="11">
                  <c:v>20.319322254806124</c:v>
                </c:pt>
                <c:pt idx="12">
                  <c:v>13.763440860215052</c:v>
                </c:pt>
                <c:pt idx="13">
                  <c:v>13.476702508960573</c:v>
                </c:pt>
                <c:pt idx="14">
                  <c:v>17.849462365591396</c:v>
                </c:pt>
                <c:pt idx="15">
                  <c:v>20.071684587813618</c:v>
                </c:pt>
                <c:pt idx="16">
                  <c:v>21.0752688172043</c:v>
                </c:pt>
                <c:pt idx="17">
                  <c:v>19.498207885304659</c:v>
                </c:pt>
                <c:pt idx="18">
                  <c:v>24.301075268817204</c:v>
                </c:pt>
                <c:pt idx="19">
                  <c:v>27.240143369175627</c:v>
                </c:pt>
                <c:pt idx="20">
                  <c:v>25.949820788530463</c:v>
                </c:pt>
                <c:pt idx="21">
                  <c:v>28.673835125448026</c:v>
                </c:pt>
                <c:pt idx="22">
                  <c:v>32.186379928315411</c:v>
                </c:pt>
                <c:pt idx="23">
                  <c:v>32.831541218637994</c:v>
                </c:pt>
                <c:pt idx="24">
                  <c:v>31.03942652329749</c:v>
                </c:pt>
                <c:pt idx="25">
                  <c:v>27.168458781362006</c:v>
                </c:pt>
                <c:pt idx="26">
                  <c:v>26.379928315412187</c:v>
                </c:pt>
                <c:pt idx="27">
                  <c:v>25.949820788530463</c:v>
                </c:pt>
                <c:pt idx="28">
                  <c:v>30.107526881720428</c:v>
                </c:pt>
                <c:pt idx="29">
                  <c:v>23.727598566308242</c:v>
                </c:pt>
                <c:pt idx="30">
                  <c:v>27.455197132616487</c:v>
                </c:pt>
                <c:pt idx="31">
                  <c:v>33.261648745519715</c:v>
                </c:pt>
                <c:pt idx="32">
                  <c:v>29.318996415770609</c:v>
                </c:pt>
                <c:pt idx="33">
                  <c:v>31.68458781362007</c:v>
                </c:pt>
                <c:pt idx="34">
                  <c:v>32.759856630824373</c:v>
                </c:pt>
                <c:pt idx="35">
                  <c:v>43.87096774193548</c:v>
                </c:pt>
                <c:pt idx="36">
                  <c:v>54.121863799283155</c:v>
                </c:pt>
                <c:pt idx="37">
                  <c:v>67.45519713261649</c:v>
                </c:pt>
                <c:pt idx="38">
                  <c:v>63.225806451612897</c:v>
                </c:pt>
                <c:pt idx="39">
                  <c:v>66.8100358422939</c:v>
                </c:pt>
                <c:pt idx="40">
                  <c:v>93.534050179211462</c:v>
                </c:pt>
                <c:pt idx="41">
                  <c:v>130.94767025089604</c:v>
                </c:pt>
                <c:pt idx="42">
                  <c:v>183.32673835125442</c:v>
                </c:pt>
                <c:pt idx="43">
                  <c:v>256.65743369175618</c:v>
                </c:pt>
                <c:pt idx="44">
                  <c:v>359.32040716845864</c:v>
                </c:pt>
                <c:pt idx="45">
                  <c:v>503.04857003584209</c:v>
                </c:pt>
                <c:pt idx="46">
                  <c:v>704.2679980501789</c:v>
                </c:pt>
                <c:pt idx="47">
                  <c:v>985.97519727025042</c:v>
                </c:pt>
                <c:pt idx="48">
                  <c:v>1380.3652761783505</c:v>
                </c:pt>
                <c:pt idx="49">
                  <c:v>1932.5113866496904</c:v>
                </c:pt>
                <c:pt idx="50">
                  <c:v>2705.5159413095662</c:v>
                </c:pt>
                <c:pt idx="51">
                  <c:v>3787.7223178333925</c:v>
                </c:pt>
                <c:pt idx="52">
                  <c:v>5302.8112449667497</c:v>
                </c:pt>
                <c:pt idx="53">
                  <c:v>7423.9357429534493</c:v>
                </c:pt>
                <c:pt idx="54">
                  <c:v>10393.510040134828</c:v>
                </c:pt>
                <c:pt idx="55">
                  <c:v>14550.914056188758</c:v>
                </c:pt>
                <c:pt idx="56">
                  <c:v>20371.279678664261</c:v>
                </c:pt>
                <c:pt idx="57">
                  <c:v>28519.791550129969</c:v>
                </c:pt>
                <c:pt idx="58">
                  <c:v>39927.708170181948</c:v>
                </c:pt>
                <c:pt idx="59">
                  <c:v>55898.791438254724</c:v>
                </c:pt>
                <c:pt idx="60">
                  <c:v>78258.308013556598</c:v>
                </c:pt>
                <c:pt idx="61">
                  <c:v>109561.63121897924</c:v>
                </c:pt>
                <c:pt idx="62">
                  <c:v>153386.28370657092</c:v>
                </c:pt>
                <c:pt idx="63">
                  <c:v>214740.79718919928</c:v>
                </c:pt>
                <c:pt idx="64">
                  <c:v>300637.116064879</c:v>
                </c:pt>
                <c:pt idx="65">
                  <c:v>420891.96249083057</c:v>
                </c:pt>
                <c:pt idx="66">
                  <c:v>589248.74748716271</c:v>
                </c:pt>
                <c:pt idx="67">
                  <c:v>824948.24648202781</c:v>
                </c:pt>
                <c:pt idx="68">
                  <c:v>1154927.5450748389</c:v>
                </c:pt>
                <c:pt idx="69">
                  <c:v>1616898.5631047743</c:v>
                </c:pt>
                <c:pt idx="70">
                  <c:v>2263657.9883466838</c:v>
                </c:pt>
                <c:pt idx="71">
                  <c:v>3169121.1836853572</c:v>
                </c:pt>
                <c:pt idx="72">
                  <c:v>3626565.189964158</c:v>
                </c:pt>
                <c:pt idx="73">
                  <c:v>3626565.189964158</c:v>
                </c:pt>
                <c:pt idx="74">
                  <c:v>3626565.189964158</c:v>
                </c:pt>
                <c:pt idx="75">
                  <c:v>3626565.189964158</c:v>
                </c:pt>
                <c:pt idx="76">
                  <c:v>3626565.189964158</c:v>
                </c:pt>
                <c:pt idx="77">
                  <c:v>3626565.189964158</c:v>
                </c:pt>
                <c:pt idx="78">
                  <c:v>3626565.189964158</c:v>
                </c:pt>
                <c:pt idx="79">
                  <c:v>3626565.189964158</c:v>
                </c:pt>
                <c:pt idx="80">
                  <c:v>3626565.189964158</c:v>
                </c:pt>
                <c:pt idx="81">
                  <c:v>3626565.189964158</c:v>
                </c:pt>
                <c:pt idx="82">
                  <c:v>3626565.189964158</c:v>
                </c:pt>
                <c:pt idx="83">
                  <c:v>3626565.189964158</c:v>
                </c:pt>
                <c:pt idx="84">
                  <c:v>3626565.189964158</c:v>
                </c:pt>
                <c:pt idx="85">
                  <c:v>3626565.189964158</c:v>
                </c:pt>
                <c:pt idx="86">
                  <c:v>3626565.189964158</c:v>
                </c:pt>
                <c:pt idx="87">
                  <c:v>3626565.189964158</c:v>
                </c:pt>
                <c:pt idx="88">
                  <c:v>3626565.189964158</c:v>
                </c:pt>
                <c:pt idx="89">
                  <c:v>3626565.189964158</c:v>
                </c:pt>
                <c:pt idx="90">
                  <c:v>3626565.189964158</c:v>
                </c:pt>
                <c:pt idx="91">
                  <c:v>3626565.189964158</c:v>
                </c:pt>
                <c:pt idx="92">
                  <c:v>3626565.189964158</c:v>
                </c:pt>
                <c:pt idx="93">
                  <c:v>3626565.189964158</c:v>
                </c:pt>
                <c:pt idx="94">
                  <c:v>3626565.189964158</c:v>
                </c:pt>
                <c:pt idx="95">
                  <c:v>3626565.189964158</c:v>
                </c:pt>
                <c:pt idx="96">
                  <c:v>3626565.189964158</c:v>
                </c:pt>
                <c:pt idx="97">
                  <c:v>3626565.189964158</c:v>
                </c:pt>
                <c:pt idx="98">
                  <c:v>3626565.189964158</c:v>
                </c:pt>
                <c:pt idx="99">
                  <c:v>3626565.189964158</c:v>
                </c:pt>
                <c:pt idx="100">
                  <c:v>3626565.189964158</c:v>
                </c:pt>
                <c:pt idx="101">
                  <c:v>3626565.189964158</c:v>
                </c:pt>
                <c:pt idx="102">
                  <c:v>3626565.189964158</c:v>
                </c:pt>
                <c:pt idx="103">
                  <c:v>3626565.189964158</c:v>
                </c:pt>
                <c:pt idx="104">
                  <c:v>3626565.189964158</c:v>
                </c:pt>
                <c:pt idx="105">
                  <c:v>3626565.189964158</c:v>
                </c:pt>
                <c:pt idx="106">
                  <c:v>3626565.189964158</c:v>
                </c:pt>
                <c:pt idx="107">
                  <c:v>3626565.189964158</c:v>
                </c:pt>
                <c:pt idx="108">
                  <c:v>3626565.189964158</c:v>
                </c:pt>
                <c:pt idx="109">
                  <c:v>3626565.189964158</c:v>
                </c:pt>
                <c:pt idx="110">
                  <c:v>3626565.189964158</c:v>
                </c:pt>
                <c:pt idx="111">
                  <c:v>3626565.189964158</c:v>
                </c:pt>
                <c:pt idx="112">
                  <c:v>3626565.189964158</c:v>
                </c:pt>
                <c:pt idx="113">
                  <c:v>3626565.189964158</c:v>
                </c:pt>
                <c:pt idx="114">
                  <c:v>3626565.189964158</c:v>
                </c:pt>
                <c:pt idx="115">
                  <c:v>3626565.189964158</c:v>
                </c:pt>
                <c:pt idx="116">
                  <c:v>3626565.189964158</c:v>
                </c:pt>
                <c:pt idx="117">
                  <c:v>3626565.189964158</c:v>
                </c:pt>
                <c:pt idx="118">
                  <c:v>3626565.189964158</c:v>
                </c:pt>
                <c:pt idx="119">
                  <c:v>3626565.189964158</c:v>
                </c:pt>
                <c:pt idx="120">
                  <c:v>3626565.189964158</c:v>
                </c:pt>
                <c:pt idx="121">
                  <c:v>3626565.189964158</c:v>
                </c:pt>
                <c:pt idx="122">
                  <c:v>3626565.189964158</c:v>
                </c:pt>
                <c:pt idx="123">
                  <c:v>3626565.189964158</c:v>
                </c:pt>
                <c:pt idx="124">
                  <c:v>3626565.189964158</c:v>
                </c:pt>
                <c:pt idx="125">
                  <c:v>3626565.189964158</c:v>
                </c:pt>
                <c:pt idx="126">
                  <c:v>3626565.189964158</c:v>
                </c:pt>
                <c:pt idx="127">
                  <c:v>3626565.189964158</c:v>
                </c:pt>
                <c:pt idx="128">
                  <c:v>3626565.189964158</c:v>
                </c:pt>
                <c:pt idx="129">
                  <c:v>3626565.189964158</c:v>
                </c:pt>
                <c:pt idx="130">
                  <c:v>3626565.189964158</c:v>
                </c:pt>
                <c:pt idx="131">
                  <c:v>3626565.189964158</c:v>
                </c:pt>
                <c:pt idx="132">
                  <c:v>3626565.189964158</c:v>
                </c:pt>
                <c:pt idx="133">
                  <c:v>3626565.189964158</c:v>
                </c:pt>
                <c:pt idx="134">
                  <c:v>3626565.189964158</c:v>
                </c:pt>
                <c:pt idx="135">
                  <c:v>3626565.189964158</c:v>
                </c:pt>
                <c:pt idx="136">
                  <c:v>3626565.189964158</c:v>
                </c:pt>
                <c:pt idx="137">
                  <c:v>3626565.189964158</c:v>
                </c:pt>
                <c:pt idx="138">
                  <c:v>3626565.189964158</c:v>
                </c:pt>
                <c:pt idx="139">
                  <c:v>3626565.189964158</c:v>
                </c:pt>
                <c:pt idx="140">
                  <c:v>3626565.189964158</c:v>
                </c:pt>
                <c:pt idx="141">
                  <c:v>3626565.189964158</c:v>
                </c:pt>
                <c:pt idx="142">
                  <c:v>3626565.189964158</c:v>
                </c:pt>
                <c:pt idx="143">
                  <c:v>3626565.189964158</c:v>
                </c:pt>
                <c:pt idx="144">
                  <c:v>3626565.189964158</c:v>
                </c:pt>
                <c:pt idx="145">
                  <c:v>3626565.189964158</c:v>
                </c:pt>
                <c:pt idx="146">
                  <c:v>3626565.189964158</c:v>
                </c:pt>
                <c:pt idx="147">
                  <c:v>3626565.189964158</c:v>
                </c:pt>
                <c:pt idx="148">
                  <c:v>3626565.189964158</c:v>
                </c:pt>
                <c:pt idx="149">
                  <c:v>3626565.189964158</c:v>
                </c:pt>
                <c:pt idx="150">
                  <c:v>3626565.189964158</c:v>
                </c:pt>
                <c:pt idx="151">
                  <c:v>3626565.189964158</c:v>
                </c:pt>
                <c:pt idx="152">
                  <c:v>3626565.189964158</c:v>
                </c:pt>
                <c:pt idx="153">
                  <c:v>3626565.189964158</c:v>
                </c:pt>
                <c:pt idx="154">
                  <c:v>3626565.189964158</c:v>
                </c:pt>
                <c:pt idx="155">
                  <c:v>3626565.189964158</c:v>
                </c:pt>
                <c:pt idx="156">
                  <c:v>3626565.189964158</c:v>
                </c:pt>
                <c:pt idx="157">
                  <c:v>3626565.189964158</c:v>
                </c:pt>
                <c:pt idx="158">
                  <c:v>3626565.189964158</c:v>
                </c:pt>
                <c:pt idx="159">
                  <c:v>3626565.189964158</c:v>
                </c:pt>
                <c:pt idx="160">
                  <c:v>3626565.189964158</c:v>
                </c:pt>
                <c:pt idx="161">
                  <c:v>3626565.189964158</c:v>
                </c:pt>
                <c:pt idx="162">
                  <c:v>3626565.189964158</c:v>
                </c:pt>
                <c:pt idx="163">
                  <c:v>3626565.189964158</c:v>
                </c:pt>
                <c:pt idx="164">
                  <c:v>3626565.189964158</c:v>
                </c:pt>
                <c:pt idx="165">
                  <c:v>3626565.189964158</c:v>
                </c:pt>
                <c:pt idx="166">
                  <c:v>3626565.189964158</c:v>
                </c:pt>
                <c:pt idx="167">
                  <c:v>3626565.189964158</c:v>
                </c:pt>
                <c:pt idx="168">
                  <c:v>3626565.189964158</c:v>
                </c:pt>
                <c:pt idx="169">
                  <c:v>3626565.189964158</c:v>
                </c:pt>
                <c:pt idx="170">
                  <c:v>3626565.189964158</c:v>
                </c:pt>
                <c:pt idx="171">
                  <c:v>3626565.189964158</c:v>
                </c:pt>
                <c:pt idx="172">
                  <c:v>3626565.189964158</c:v>
                </c:pt>
                <c:pt idx="173">
                  <c:v>3626565.189964158</c:v>
                </c:pt>
                <c:pt idx="174">
                  <c:v>3626565.189964158</c:v>
                </c:pt>
                <c:pt idx="175">
                  <c:v>3626565.189964158</c:v>
                </c:pt>
                <c:pt idx="176">
                  <c:v>3626565.189964158</c:v>
                </c:pt>
                <c:pt idx="177">
                  <c:v>3626565.189964158</c:v>
                </c:pt>
                <c:pt idx="178">
                  <c:v>3626565.189964158</c:v>
                </c:pt>
                <c:pt idx="179">
                  <c:v>3626565.189964158</c:v>
                </c:pt>
                <c:pt idx="180">
                  <c:v>3626565.189964158</c:v>
                </c:pt>
                <c:pt idx="181">
                  <c:v>3626565.189964158</c:v>
                </c:pt>
                <c:pt idx="182">
                  <c:v>3626565.189964158</c:v>
                </c:pt>
                <c:pt idx="183">
                  <c:v>3626565.189964158</c:v>
                </c:pt>
                <c:pt idx="184">
                  <c:v>3626565.189964158</c:v>
                </c:pt>
                <c:pt idx="185">
                  <c:v>3626565.189964158</c:v>
                </c:pt>
                <c:pt idx="186">
                  <c:v>3626565.189964158</c:v>
                </c:pt>
                <c:pt idx="187">
                  <c:v>3626565.189964158</c:v>
                </c:pt>
                <c:pt idx="188">
                  <c:v>3626565.189964158</c:v>
                </c:pt>
                <c:pt idx="189">
                  <c:v>3626565.189964158</c:v>
                </c:pt>
                <c:pt idx="190">
                  <c:v>3626565.189964158</c:v>
                </c:pt>
                <c:pt idx="191">
                  <c:v>3626565.189964158</c:v>
                </c:pt>
                <c:pt idx="192">
                  <c:v>3626565.189964158</c:v>
                </c:pt>
                <c:pt idx="193">
                  <c:v>3626565.189964158</c:v>
                </c:pt>
                <c:pt idx="194">
                  <c:v>3626565.189964158</c:v>
                </c:pt>
                <c:pt idx="195">
                  <c:v>3626565.189964158</c:v>
                </c:pt>
                <c:pt idx="196">
                  <c:v>3626565.189964158</c:v>
                </c:pt>
                <c:pt idx="197">
                  <c:v>3626565.189964158</c:v>
                </c:pt>
                <c:pt idx="198">
                  <c:v>3626565.189964158</c:v>
                </c:pt>
                <c:pt idx="199">
                  <c:v>3626565.189964158</c:v>
                </c:pt>
                <c:pt idx="200">
                  <c:v>3626565.189964158</c:v>
                </c:pt>
                <c:pt idx="201">
                  <c:v>3626565.189964158</c:v>
                </c:pt>
                <c:pt idx="202">
                  <c:v>3626565.189964158</c:v>
                </c:pt>
                <c:pt idx="203">
                  <c:v>3626565.189964158</c:v>
                </c:pt>
                <c:pt idx="204">
                  <c:v>3626565.189964158</c:v>
                </c:pt>
                <c:pt idx="205">
                  <c:v>3626565.189964158</c:v>
                </c:pt>
                <c:pt idx="206">
                  <c:v>3626565.189964158</c:v>
                </c:pt>
                <c:pt idx="207">
                  <c:v>3626565.189964158</c:v>
                </c:pt>
                <c:pt idx="208">
                  <c:v>3626565.189964158</c:v>
                </c:pt>
                <c:pt idx="209">
                  <c:v>3626565.189964158</c:v>
                </c:pt>
                <c:pt idx="210">
                  <c:v>3626565.189964158</c:v>
                </c:pt>
                <c:pt idx="211">
                  <c:v>3626565.189964158</c:v>
                </c:pt>
                <c:pt idx="212">
                  <c:v>3626565.189964158</c:v>
                </c:pt>
                <c:pt idx="213">
                  <c:v>3626565.189964158</c:v>
                </c:pt>
                <c:pt idx="214">
                  <c:v>3626565.189964158</c:v>
                </c:pt>
                <c:pt idx="215">
                  <c:v>3626565.189964158</c:v>
                </c:pt>
                <c:pt idx="216">
                  <c:v>3626565.189964158</c:v>
                </c:pt>
                <c:pt idx="217">
                  <c:v>3626565.189964158</c:v>
                </c:pt>
                <c:pt idx="218">
                  <c:v>3626565.189964158</c:v>
                </c:pt>
                <c:pt idx="219">
                  <c:v>3626565.189964158</c:v>
                </c:pt>
                <c:pt idx="220">
                  <c:v>3626565.189964158</c:v>
                </c:pt>
                <c:pt idx="221">
                  <c:v>3626565.189964158</c:v>
                </c:pt>
                <c:pt idx="222">
                  <c:v>3626565.189964158</c:v>
                </c:pt>
                <c:pt idx="223">
                  <c:v>3626565.189964158</c:v>
                </c:pt>
                <c:pt idx="224">
                  <c:v>3626565.189964158</c:v>
                </c:pt>
                <c:pt idx="225">
                  <c:v>3626565.189964158</c:v>
                </c:pt>
                <c:pt idx="226">
                  <c:v>3626565.189964158</c:v>
                </c:pt>
                <c:pt idx="227">
                  <c:v>3626565.189964158</c:v>
                </c:pt>
                <c:pt idx="228">
                  <c:v>3626565.189964158</c:v>
                </c:pt>
                <c:pt idx="229">
                  <c:v>3626565.189964158</c:v>
                </c:pt>
                <c:pt idx="230">
                  <c:v>3626565.189964158</c:v>
                </c:pt>
                <c:pt idx="231">
                  <c:v>3626565.189964158</c:v>
                </c:pt>
                <c:pt idx="232">
                  <c:v>3626565.189964158</c:v>
                </c:pt>
                <c:pt idx="233">
                  <c:v>3626565.189964158</c:v>
                </c:pt>
                <c:pt idx="234">
                  <c:v>3626565.189964158</c:v>
                </c:pt>
                <c:pt idx="235">
                  <c:v>3626565.189964158</c:v>
                </c:pt>
                <c:pt idx="236">
                  <c:v>3626565.189964158</c:v>
                </c:pt>
                <c:pt idx="237">
                  <c:v>3626565.189964158</c:v>
                </c:pt>
                <c:pt idx="238">
                  <c:v>3626565.189964158</c:v>
                </c:pt>
                <c:pt idx="239">
                  <c:v>3626565.189964158</c:v>
                </c:pt>
                <c:pt idx="240">
                  <c:v>3626565.189964158</c:v>
                </c:pt>
                <c:pt idx="241">
                  <c:v>3626565.189964158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7.5268817204301071</c:v>
                </c:pt>
                <c:pt idx="1">
                  <c:v>8.2437275985663074</c:v>
                </c:pt>
                <c:pt idx="2">
                  <c:v>8.9605734767025087</c:v>
                </c:pt>
                <c:pt idx="3">
                  <c:v>9.67741935483871</c:v>
                </c:pt>
                <c:pt idx="4">
                  <c:v>10.394265232974909</c:v>
                </c:pt>
                <c:pt idx="5">
                  <c:v>12.043010752688172</c:v>
                </c:pt>
                <c:pt idx="6">
                  <c:v>14.086021505376344</c:v>
                </c:pt>
                <c:pt idx="7">
                  <c:v>15.268817204301074</c:v>
                </c:pt>
                <c:pt idx="8">
                  <c:v>16.335125448028673</c:v>
                </c:pt>
                <c:pt idx="9">
                  <c:v>17.514934289127837</c:v>
                </c:pt>
                <c:pt idx="10">
                  <c:v>18.888888888888889</c:v>
                </c:pt>
                <c:pt idx="11">
                  <c:v>20.319322254806124</c:v>
                </c:pt>
                <c:pt idx="12">
                  <c:v>13.763440860215052</c:v>
                </c:pt>
                <c:pt idx="13">
                  <c:v>13.476702508960573</c:v>
                </c:pt>
                <c:pt idx="14">
                  <c:v>17.849462365591396</c:v>
                </c:pt>
                <c:pt idx="15">
                  <c:v>20.071684587813618</c:v>
                </c:pt>
                <c:pt idx="16">
                  <c:v>21.0752688172043</c:v>
                </c:pt>
                <c:pt idx="17">
                  <c:v>19.498207885304659</c:v>
                </c:pt>
                <c:pt idx="18">
                  <c:v>24.301075268817204</c:v>
                </c:pt>
                <c:pt idx="19">
                  <c:v>27.240143369175627</c:v>
                </c:pt>
                <c:pt idx="20">
                  <c:v>25.949820788530463</c:v>
                </c:pt>
                <c:pt idx="21">
                  <c:v>28.673835125448026</c:v>
                </c:pt>
                <c:pt idx="22">
                  <c:v>32.186379928315411</c:v>
                </c:pt>
                <c:pt idx="23">
                  <c:v>32.831541218637994</c:v>
                </c:pt>
                <c:pt idx="24">
                  <c:v>31.03942652329749</c:v>
                </c:pt>
                <c:pt idx="25">
                  <c:v>27.168458781362006</c:v>
                </c:pt>
                <c:pt idx="26">
                  <c:v>26.379928315412187</c:v>
                </c:pt>
                <c:pt idx="27">
                  <c:v>25.949820788530463</c:v>
                </c:pt>
                <c:pt idx="28">
                  <c:v>30.107526881720428</c:v>
                </c:pt>
                <c:pt idx="29">
                  <c:v>23.727598566308242</c:v>
                </c:pt>
                <c:pt idx="30">
                  <c:v>27.455197132616487</c:v>
                </c:pt>
                <c:pt idx="31">
                  <c:v>33.261648745519715</c:v>
                </c:pt>
                <c:pt idx="32">
                  <c:v>29.318996415770609</c:v>
                </c:pt>
                <c:pt idx="33">
                  <c:v>31.68458781362007</c:v>
                </c:pt>
                <c:pt idx="34">
                  <c:v>32.759856630824373</c:v>
                </c:pt>
                <c:pt idx="35">
                  <c:v>43.87096774193548</c:v>
                </c:pt>
                <c:pt idx="36">
                  <c:v>54.121863799283155</c:v>
                </c:pt>
                <c:pt idx="37">
                  <c:v>67.45519713261649</c:v>
                </c:pt>
                <c:pt idx="38">
                  <c:v>63.225806451612897</c:v>
                </c:pt>
                <c:pt idx="39">
                  <c:v>66.8100358422939</c:v>
                </c:pt>
                <c:pt idx="40">
                  <c:v>77.559796799970428</c:v>
                </c:pt>
                <c:pt idx="41">
                  <c:v>90.039198509823208</c:v>
                </c:pt>
                <c:pt idx="42">
                  <c:v>104.52654084692547</c:v>
                </c:pt>
                <c:pt idx="43">
                  <c:v>121.34490224534798</c:v>
                </c:pt>
                <c:pt idx="44">
                  <c:v>140.86934458585566</c:v>
                </c:pt>
                <c:pt idx="45">
                  <c:v>163.53527735285891</c:v>
                </c:pt>
                <c:pt idx="46">
                  <c:v>189.84816758749776</c:v>
                </c:pt>
                <c:pt idx="47">
                  <c:v>220.39481217598302</c:v>
                </c:pt>
                <c:pt idx="48">
                  <c:v>255.85642385355115</c:v>
                </c:pt>
                <c:pt idx="49">
                  <c:v>297.02382275158482</c:v>
                </c:pt>
                <c:pt idx="50">
                  <c:v>344.8150722706211</c:v>
                </c:pt>
                <c:pt idx="51">
                  <c:v>400.29595257223934</c:v>
                </c:pt>
                <c:pt idx="52">
                  <c:v>464.70372826382101</c:v>
                </c:pt>
                <c:pt idx="53">
                  <c:v>539.47474031310333</c:v>
                </c:pt>
                <c:pt idx="54">
                  <c:v>626.27643751260257</c:v>
                </c:pt>
                <c:pt idx="55">
                  <c:v>727.04456181921819</c:v>
                </c:pt>
                <c:pt idx="56">
                  <c:v>844.02631682955848</c:v>
                </c:pt>
                <c:pt idx="57">
                  <c:v>979.83048207986678</c:v>
                </c:pt>
                <c:pt idx="58">
                  <c:v>1137.4855907564538</c:v>
                </c:pt>
                <c:pt idx="59">
                  <c:v>1320.5074682225431</c:v>
                </c:pt>
                <c:pt idx="60">
                  <c:v>1532.9776375205631</c:v>
                </c:pt>
                <c:pt idx="61">
                  <c:v>1779.6343403504945</c:v>
                </c:pt>
                <c:pt idx="62">
                  <c:v>2065.9782033593146</c:v>
                </c:pt>
                <c:pt idx="63">
                  <c:v>2398.3949061778376</c:v>
                </c:pt>
                <c:pt idx="64">
                  <c:v>2784.297586792768</c:v>
                </c:pt>
                <c:pt idx="65">
                  <c:v>3232.2921599989454</c:v>
                </c:pt>
                <c:pt idx="66">
                  <c:v>3752.3692356553624</c:v>
                </c:pt>
                <c:pt idx="67">
                  <c:v>4356.1269166638085</c:v>
                </c:pt>
                <c:pt idx="68">
                  <c:v>5057.0294452296221</c:v>
                </c:pt>
                <c:pt idx="69">
                  <c:v>5870.7074654071894</c:v>
                </c:pt>
                <c:pt idx="70">
                  <c:v>6815.3065980067195</c:v>
                </c:pt>
                <c:pt idx="71">
                  <c:v>7911.8921013401723</c:v>
                </c:pt>
                <c:pt idx="72">
                  <c:v>9184.9186420398364</c:v>
                </c:pt>
                <c:pt idx="73">
                  <c:v>10662.77565218577</c:v>
                </c:pt>
                <c:pt idx="74">
                  <c:v>12378.42043460885</c:v>
                </c:pt>
                <c:pt idx="75">
                  <c:v>14370.113135085252</c:v>
                </c:pt>
                <c:pt idx="76">
                  <c:v>16682.269971845159</c:v>
                </c:pt>
                <c:pt idx="77">
                  <c:v>19366.453750043882</c:v>
                </c:pt>
                <c:pt idx="78">
                  <c:v>22482.523750399716</c:v>
                </c:pt>
                <c:pt idx="79">
                  <c:v>26099.97063536436</c:v>
                </c:pt>
                <c:pt idx="80">
                  <c:v>30299.466142219491</c:v>
                </c:pt>
                <c:pt idx="81">
                  <c:v>35174.662122400092</c:v>
                </c:pt>
                <c:pt idx="82">
                  <c:v>40834.279046950112</c:v>
                </c:pt>
                <c:pt idx="83">
                  <c:v>47404.530553324723</c:v>
                </c:pt>
                <c:pt idx="84">
                  <c:v>55031.938102723485</c:v>
                </c:pt>
                <c:pt idx="85">
                  <c:v>63886.598516891834</c:v>
                </c:pt>
                <c:pt idx="86">
                  <c:v>74165.977262874847</c:v>
                </c:pt>
                <c:pt idx="87">
                  <c:v>86099.312078774921</c:v>
                </c:pt>
                <c:pt idx="88">
                  <c:v>99952.725144620126</c:v>
                </c:pt>
                <c:pt idx="89">
                  <c:v>116035.15780352947</c:v>
                </c:pt>
                <c:pt idx="90">
                  <c:v>134705.2601818399</c:v>
                </c:pt>
                <c:pt idx="91">
                  <c:v>156379.38935181286</c:v>
                </c:pt>
                <c:pt idx="92">
                  <c:v>181540.89440185559</c:v>
                </c:pt>
                <c:pt idx="93">
                  <c:v>210750.89547818102</c:v>
                </c:pt>
                <c:pt idx="94">
                  <c:v>244660.79717849617</c:v>
                </c:pt>
                <c:pt idx="95">
                  <c:v>284026.8153556406</c:v>
                </c:pt>
                <c:pt idx="96">
                  <c:v>329726.84128962515</c:v>
                </c:pt>
                <c:pt idx="97">
                  <c:v>382780.0193115623</c:v>
                </c:pt>
                <c:pt idx="98">
                  <c:v>444369.47447496216</c:v>
                </c:pt>
                <c:pt idx="99">
                  <c:v>515868.69711824961</c:v>
                </c:pt>
                <c:pt idx="100">
                  <c:v>598872.17271373305</c:v>
                </c:pt>
                <c:pt idx="101">
                  <c:v>695230.94007128046</c:v>
                </c:pt>
                <c:pt idx="102">
                  <c:v>807093.8708709057</c:v>
                </c:pt>
                <c:pt idx="103">
                  <c:v>936955.59108833037</c:v>
                </c:pt>
                <c:pt idx="104">
                  <c:v>1087712.1129967051</c:v>
                </c:pt>
                <c:pt idx="105">
                  <c:v>1262725.4183792151</c:v>
                </c:pt>
                <c:pt idx="106">
                  <c:v>1465898.433205914</c:v>
                </c:pt>
                <c:pt idx="107">
                  <c:v>1701762.0657654481</c:v>
                </c:pt>
                <c:pt idx="108">
                  <c:v>1975576.2492663004</c:v>
                </c:pt>
                <c:pt idx="109">
                  <c:v>2293447.2422321793</c:v>
                </c:pt>
                <c:pt idx="110">
                  <c:v>2662463.8025770136</c:v>
                </c:pt>
                <c:pt idx="111">
                  <c:v>3090855.2721419949</c:v>
                </c:pt>
                <c:pt idx="112">
                  <c:v>3588175.0970966029</c:v>
                </c:pt>
                <c:pt idx="113">
                  <c:v>3626565.189964158</c:v>
                </c:pt>
                <c:pt idx="114">
                  <c:v>3626565.189964158</c:v>
                </c:pt>
                <c:pt idx="115">
                  <c:v>3626565.189964158</c:v>
                </c:pt>
                <c:pt idx="116">
                  <c:v>3626565.189964158</c:v>
                </c:pt>
                <c:pt idx="117">
                  <c:v>3626565.189964158</c:v>
                </c:pt>
                <c:pt idx="118">
                  <c:v>3626565.189964158</c:v>
                </c:pt>
                <c:pt idx="119">
                  <c:v>3626565.189964158</c:v>
                </c:pt>
                <c:pt idx="120">
                  <c:v>3626565.189964158</c:v>
                </c:pt>
                <c:pt idx="121">
                  <c:v>3626565.189964158</c:v>
                </c:pt>
                <c:pt idx="122">
                  <c:v>3626565.189964158</c:v>
                </c:pt>
                <c:pt idx="123">
                  <c:v>3626565.189964158</c:v>
                </c:pt>
                <c:pt idx="124">
                  <c:v>3626565.189964158</c:v>
                </c:pt>
                <c:pt idx="125">
                  <c:v>3626565.189964158</c:v>
                </c:pt>
                <c:pt idx="126">
                  <c:v>3626565.189964158</c:v>
                </c:pt>
                <c:pt idx="127">
                  <c:v>3626565.189964158</c:v>
                </c:pt>
                <c:pt idx="128">
                  <c:v>3626565.189964158</c:v>
                </c:pt>
                <c:pt idx="129">
                  <c:v>3626565.189964158</c:v>
                </c:pt>
                <c:pt idx="130">
                  <c:v>3626565.189964158</c:v>
                </c:pt>
                <c:pt idx="131">
                  <c:v>3626565.189964158</c:v>
                </c:pt>
                <c:pt idx="132">
                  <c:v>3626565.189964158</c:v>
                </c:pt>
                <c:pt idx="133">
                  <c:v>3626565.189964158</c:v>
                </c:pt>
                <c:pt idx="134">
                  <c:v>3626565.189964158</c:v>
                </c:pt>
                <c:pt idx="135">
                  <c:v>3626565.189964158</c:v>
                </c:pt>
                <c:pt idx="136">
                  <c:v>3626565.189964158</c:v>
                </c:pt>
                <c:pt idx="137">
                  <c:v>3626565.189964158</c:v>
                </c:pt>
                <c:pt idx="138">
                  <c:v>3626565.189964158</c:v>
                </c:pt>
                <c:pt idx="139">
                  <c:v>3626565.189964158</c:v>
                </c:pt>
                <c:pt idx="140">
                  <c:v>3626565.189964158</c:v>
                </c:pt>
                <c:pt idx="141">
                  <c:v>3626565.189964158</c:v>
                </c:pt>
                <c:pt idx="142">
                  <c:v>3626565.189964158</c:v>
                </c:pt>
                <c:pt idx="143">
                  <c:v>3626565.189964158</c:v>
                </c:pt>
                <c:pt idx="144">
                  <c:v>3626565.189964158</c:v>
                </c:pt>
                <c:pt idx="145">
                  <c:v>3626565.189964158</c:v>
                </c:pt>
                <c:pt idx="146">
                  <c:v>3626565.189964158</c:v>
                </c:pt>
                <c:pt idx="147">
                  <c:v>3626565.189964158</c:v>
                </c:pt>
                <c:pt idx="148">
                  <c:v>3626565.189964158</c:v>
                </c:pt>
                <c:pt idx="149">
                  <c:v>3626565.189964158</c:v>
                </c:pt>
                <c:pt idx="150">
                  <c:v>3626565.189964158</c:v>
                </c:pt>
                <c:pt idx="151">
                  <c:v>3626565.189964158</c:v>
                </c:pt>
                <c:pt idx="152">
                  <c:v>3626565.189964158</c:v>
                </c:pt>
                <c:pt idx="153">
                  <c:v>3626565.189964158</c:v>
                </c:pt>
                <c:pt idx="154">
                  <c:v>3626565.189964158</c:v>
                </c:pt>
                <c:pt idx="155">
                  <c:v>3626565.189964158</c:v>
                </c:pt>
                <c:pt idx="156">
                  <c:v>3626565.189964158</c:v>
                </c:pt>
                <c:pt idx="157">
                  <c:v>3626565.189964158</c:v>
                </c:pt>
                <c:pt idx="158">
                  <c:v>3626565.189964158</c:v>
                </c:pt>
                <c:pt idx="159">
                  <c:v>3626565.189964158</c:v>
                </c:pt>
                <c:pt idx="160">
                  <c:v>3626565.189964158</c:v>
                </c:pt>
                <c:pt idx="161">
                  <c:v>3626565.189964158</c:v>
                </c:pt>
                <c:pt idx="162">
                  <c:v>3626565.189964158</c:v>
                </c:pt>
                <c:pt idx="163">
                  <c:v>3626565.189964158</c:v>
                </c:pt>
                <c:pt idx="164">
                  <c:v>3626565.189964158</c:v>
                </c:pt>
                <c:pt idx="165">
                  <c:v>3626565.189964158</c:v>
                </c:pt>
                <c:pt idx="166">
                  <c:v>3626565.189964158</c:v>
                </c:pt>
                <c:pt idx="167">
                  <c:v>3626565.189964158</c:v>
                </c:pt>
                <c:pt idx="168">
                  <c:v>3626565.189964158</c:v>
                </c:pt>
                <c:pt idx="169">
                  <c:v>3626565.189964158</c:v>
                </c:pt>
                <c:pt idx="170">
                  <c:v>3626565.189964158</c:v>
                </c:pt>
                <c:pt idx="171">
                  <c:v>3626565.189964158</c:v>
                </c:pt>
                <c:pt idx="172">
                  <c:v>3626565.189964158</c:v>
                </c:pt>
                <c:pt idx="173">
                  <c:v>3626565.189964158</c:v>
                </c:pt>
                <c:pt idx="174">
                  <c:v>3626565.189964158</c:v>
                </c:pt>
                <c:pt idx="175">
                  <c:v>3626565.189964158</c:v>
                </c:pt>
                <c:pt idx="176">
                  <c:v>3626565.189964158</c:v>
                </c:pt>
                <c:pt idx="177">
                  <c:v>3626565.189964158</c:v>
                </c:pt>
                <c:pt idx="178">
                  <c:v>3626565.189964158</c:v>
                </c:pt>
                <c:pt idx="179">
                  <c:v>3626565.189964158</c:v>
                </c:pt>
                <c:pt idx="180">
                  <c:v>3626565.189964158</c:v>
                </c:pt>
                <c:pt idx="181">
                  <c:v>3626565.189964158</c:v>
                </c:pt>
                <c:pt idx="182">
                  <c:v>3626565.189964158</c:v>
                </c:pt>
                <c:pt idx="183">
                  <c:v>3626565.189964158</c:v>
                </c:pt>
                <c:pt idx="184">
                  <c:v>3626565.189964158</c:v>
                </c:pt>
                <c:pt idx="185">
                  <c:v>3626565.189964158</c:v>
                </c:pt>
                <c:pt idx="186">
                  <c:v>3626565.189964158</c:v>
                </c:pt>
                <c:pt idx="187">
                  <c:v>3626565.189964158</c:v>
                </c:pt>
                <c:pt idx="188">
                  <c:v>3626565.189964158</c:v>
                </c:pt>
                <c:pt idx="189">
                  <c:v>3626565.189964158</c:v>
                </c:pt>
                <c:pt idx="190">
                  <c:v>3626565.189964158</c:v>
                </c:pt>
                <c:pt idx="191">
                  <c:v>3626565.189964158</c:v>
                </c:pt>
                <c:pt idx="192">
                  <c:v>3626565.189964158</c:v>
                </c:pt>
                <c:pt idx="193">
                  <c:v>3626565.189964158</c:v>
                </c:pt>
                <c:pt idx="194">
                  <c:v>3626565.189964158</c:v>
                </c:pt>
                <c:pt idx="195">
                  <c:v>3626565.189964158</c:v>
                </c:pt>
                <c:pt idx="196">
                  <c:v>3626565.189964158</c:v>
                </c:pt>
                <c:pt idx="197">
                  <c:v>3626565.189964158</c:v>
                </c:pt>
                <c:pt idx="198">
                  <c:v>3626565.189964158</c:v>
                </c:pt>
                <c:pt idx="199">
                  <c:v>3626565.189964158</c:v>
                </c:pt>
                <c:pt idx="200">
                  <c:v>3626565.189964158</c:v>
                </c:pt>
                <c:pt idx="201">
                  <c:v>3626565.189964158</c:v>
                </c:pt>
                <c:pt idx="202">
                  <c:v>3626565.189964158</c:v>
                </c:pt>
                <c:pt idx="203">
                  <c:v>3626565.189964158</c:v>
                </c:pt>
                <c:pt idx="204">
                  <c:v>3626565.189964158</c:v>
                </c:pt>
                <c:pt idx="205">
                  <c:v>3626565.189964158</c:v>
                </c:pt>
                <c:pt idx="206">
                  <c:v>3626565.189964158</c:v>
                </c:pt>
                <c:pt idx="207">
                  <c:v>3626565.189964158</c:v>
                </c:pt>
                <c:pt idx="208">
                  <c:v>3626565.189964158</c:v>
                </c:pt>
                <c:pt idx="209">
                  <c:v>3626565.189964158</c:v>
                </c:pt>
                <c:pt idx="210">
                  <c:v>3626565.189964158</c:v>
                </c:pt>
                <c:pt idx="211">
                  <c:v>3626565.189964158</c:v>
                </c:pt>
                <c:pt idx="212">
                  <c:v>3626565.189964158</c:v>
                </c:pt>
                <c:pt idx="213">
                  <c:v>3626565.189964158</c:v>
                </c:pt>
                <c:pt idx="214">
                  <c:v>3626565.189964158</c:v>
                </c:pt>
                <c:pt idx="215">
                  <c:v>3626565.189964158</c:v>
                </c:pt>
                <c:pt idx="216">
                  <c:v>3626565.189964158</c:v>
                </c:pt>
                <c:pt idx="217">
                  <c:v>3626565.189964158</c:v>
                </c:pt>
                <c:pt idx="218">
                  <c:v>3626565.189964158</c:v>
                </c:pt>
                <c:pt idx="219">
                  <c:v>3626565.189964158</c:v>
                </c:pt>
                <c:pt idx="220">
                  <c:v>3626565.189964158</c:v>
                </c:pt>
                <c:pt idx="221">
                  <c:v>3626565.189964158</c:v>
                </c:pt>
                <c:pt idx="222">
                  <c:v>3626565.189964158</c:v>
                </c:pt>
                <c:pt idx="223">
                  <c:v>3626565.189964158</c:v>
                </c:pt>
                <c:pt idx="224">
                  <c:v>3626565.189964158</c:v>
                </c:pt>
                <c:pt idx="225">
                  <c:v>3626565.189964158</c:v>
                </c:pt>
                <c:pt idx="226">
                  <c:v>3626565.189964158</c:v>
                </c:pt>
                <c:pt idx="227">
                  <c:v>3626565.189964158</c:v>
                </c:pt>
                <c:pt idx="228">
                  <c:v>3626565.189964158</c:v>
                </c:pt>
                <c:pt idx="229">
                  <c:v>3626565.189964158</c:v>
                </c:pt>
                <c:pt idx="230">
                  <c:v>3626565.189964158</c:v>
                </c:pt>
                <c:pt idx="231">
                  <c:v>3626565.189964158</c:v>
                </c:pt>
                <c:pt idx="232">
                  <c:v>3626565.189964158</c:v>
                </c:pt>
                <c:pt idx="233">
                  <c:v>3626565.189964158</c:v>
                </c:pt>
                <c:pt idx="234">
                  <c:v>3626565.189964158</c:v>
                </c:pt>
                <c:pt idx="235">
                  <c:v>3626565.189964158</c:v>
                </c:pt>
                <c:pt idx="236">
                  <c:v>3626565.189964158</c:v>
                </c:pt>
                <c:pt idx="237">
                  <c:v>3626565.189964158</c:v>
                </c:pt>
                <c:pt idx="238">
                  <c:v>3626565.189964158</c:v>
                </c:pt>
                <c:pt idx="239">
                  <c:v>3626565.189964158</c:v>
                </c:pt>
                <c:pt idx="240">
                  <c:v>3626565.189964158</c:v>
                </c:pt>
                <c:pt idx="241">
                  <c:v>3626565.189964158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1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59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3777.37796305975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1081.9591653595876</c:v>
                </c:pt>
                <c:pt idx="41">
                  <c:v>1256.0468192120338</c:v>
                </c:pt>
                <c:pt idx="42">
                  <c:v>1458.1452448146104</c:v>
                </c:pt>
                <c:pt idx="43">
                  <c:v>1692.7613863226045</c:v>
                </c:pt>
                <c:pt idx="44">
                  <c:v>1965.1273569726864</c:v>
                </c:pt>
                <c:pt idx="45">
                  <c:v>2281.317119072382</c:v>
                </c:pt>
                <c:pt idx="46">
                  <c:v>2648.3819378455937</c:v>
                </c:pt>
                <c:pt idx="47">
                  <c:v>3074.5076298549634</c:v>
                </c:pt>
                <c:pt idx="48">
                  <c:v>3569.1971127570387</c:v>
                </c:pt>
                <c:pt idx="49">
                  <c:v>4143.4823273846087</c:v>
                </c:pt>
                <c:pt idx="50">
                  <c:v>4810.1702581751642</c:v>
                </c:pt>
                <c:pt idx="51">
                  <c:v>5584.128538382739</c:v>
                </c:pt>
                <c:pt idx="52">
                  <c:v>6482.6170092803031</c:v>
                </c:pt>
                <c:pt idx="53">
                  <c:v>7525.6726273677923</c:v>
                </c:pt>
                <c:pt idx="54">
                  <c:v>8736.5563033008057</c:v>
                </c:pt>
                <c:pt idx="55">
                  <c:v>10142.271637378095</c:v>
                </c:pt>
                <c:pt idx="56">
                  <c:v>11774.167119772341</c:v>
                </c:pt>
                <c:pt idx="57">
                  <c:v>13668.635225014143</c:v>
                </c:pt>
                <c:pt idx="58">
                  <c:v>15867.923991052532</c:v>
                </c:pt>
                <c:pt idx="59">
                  <c:v>18421.079181704477</c:v>
                </c:pt>
                <c:pt idx="60">
                  <c:v>21385.038043411856</c:v>
                </c:pt>
                <c:pt idx="61">
                  <c:v>24825.899047889401</c:v>
                </c:pt>
                <c:pt idx="62">
                  <c:v>28820.395936862442</c:v>
                </c:pt>
                <c:pt idx="63">
                  <c:v>33457.608941180835</c:v>
                </c:pt>
                <c:pt idx="64">
                  <c:v>38840.951335759113</c:v>
                </c:pt>
                <c:pt idx="65">
                  <c:v>45090.47563198529</c:v>
                </c:pt>
                <c:pt idx="66">
                  <c:v>52345.550837392308</c:v>
                </c:pt>
                <c:pt idx="67">
                  <c:v>60767.97048746013</c:v>
                </c:pt>
                <c:pt idx="68">
                  <c:v>70545.560760953231</c:v>
                </c:pt>
                <c:pt idx="69">
                  <c:v>81896.369142430296</c:v>
                </c:pt>
                <c:pt idx="70">
                  <c:v>95073.527042193746</c:v>
                </c:pt>
                <c:pt idx="71">
                  <c:v>110370.89481369541</c:v>
                </c:pt>
                <c:pt idx="72">
                  <c:v>128129.61505645572</c:v>
                </c:pt>
                <c:pt idx="73">
                  <c:v>148745.7203479915</c:v>
                </c:pt>
                <c:pt idx="74">
                  <c:v>172678.96506279346</c:v>
                </c:pt>
                <c:pt idx="75">
                  <c:v>200463.07823443928</c:v>
                </c:pt>
                <c:pt idx="76">
                  <c:v>232717.66610723996</c:v>
                </c:pt>
                <c:pt idx="77">
                  <c:v>270162.02981311217</c:v>
                </c:pt>
                <c:pt idx="78">
                  <c:v>313631.20631807606</c:v>
                </c:pt>
                <c:pt idx="79">
                  <c:v>364094.59036333283</c:v>
                </c:pt>
                <c:pt idx="80">
                  <c:v>422677.55268396193</c:v>
                </c:pt>
                <c:pt idx="81">
                  <c:v>490686.53660748131</c:v>
                </c:pt>
                <c:pt idx="82">
                  <c:v>569638.19270495407</c:v>
                </c:pt>
                <c:pt idx="83">
                  <c:v>661293.2012188799</c:v>
                </c:pt>
                <c:pt idx="84">
                  <c:v>767695.53653299261</c:v>
                </c:pt>
                <c:pt idx="85">
                  <c:v>891218.04931064113</c:v>
                </c:pt>
                <c:pt idx="86">
                  <c:v>1034615.3828171041</c:v>
                </c:pt>
                <c:pt idx="87">
                  <c:v>1201085.4034989101</c:v>
                </c:pt>
                <c:pt idx="88">
                  <c:v>1394340.5157674509</c:v>
                </c:pt>
                <c:pt idx="89">
                  <c:v>1618690.4513592361</c:v>
                </c:pt>
                <c:pt idx="90">
                  <c:v>1879138.3795366667</c:v>
                </c:pt>
                <c:pt idx="91">
                  <c:v>2181492.4814577894</c:v>
                </c:pt>
                <c:pt idx="92">
                  <c:v>2532495.4769058856</c:v>
                </c:pt>
                <c:pt idx="93">
                  <c:v>2939974.9919206253</c:v>
                </c:pt>
                <c:pt idx="94">
                  <c:v>3413018.1206400217</c:v>
                </c:pt>
                <c:pt idx="95">
                  <c:v>3962174.0742111867</c:v>
                </c:pt>
                <c:pt idx="96">
                  <c:v>4599689.4359902712</c:v>
                </c:pt>
                <c:pt idx="97">
                  <c:v>5339781.2693962939</c:v>
                </c:pt>
                <c:pt idx="98">
                  <c:v>6198954.1689257221</c:v>
                </c:pt>
                <c:pt idx="99">
                  <c:v>7196368.3247995824</c:v>
                </c:pt>
                <c:pt idx="100">
                  <c:v>8354266.8093565768</c:v>
                </c:pt>
                <c:pt idx="101">
                  <c:v>9698471.6139943637</c:v>
                </c:pt>
                <c:pt idx="102">
                  <c:v>11258959.498649135</c:v>
                </c:pt>
                <c:pt idx="103">
                  <c:v>13070530.49568221</c:v>
                </c:pt>
                <c:pt idx="104">
                  <c:v>15173583.976304036</c:v>
                </c:pt>
                <c:pt idx="105">
                  <c:v>17615019.586390052</c:v>
                </c:pt>
                <c:pt idx="106">
                  <c:v>20449283.1432225</c:v>
                </c:pt>
                <c:pt idx="107">
                  <c:v>23739580.817428004</c:v>
                </c:pt>
                <c:pt idx="108">
                  <c:v>27559288.677264892</c:v>
                </c:pt>
                <c:pt idx="109">
                  <c:v>31993589.0291389</c:v>
                </c:pt>
                <c:pt idx="110">
                  <c:v>37141370.04594934</c:v>
                </c:pt>
                <c:pt idx="111">
                  <c:v>43117431.046380833</c:v>
                </c:pt>
                <c:pt idx="112">
                  <c:v>50055042.604497612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31-4164-ABC4-CCF1AB3D6DD0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1025.2</c:v>
                </c:pt>
                <c:pt idx="41">
                  <c:v>1127.7200000000003</c:v>
                </c:pt>
                <c:pt idx="42">
                  <c:v>1240.4920000000004</c:v>
                </c:pt>
                <c:pt idx="43">
                  <c:v>1364.5412000000006</c:v>
                </c:pt>
                <c:pt idx="44">
                  <c:v>1500.9953200000007</c:v>
                </c:pt>
                <c:pt idx="45">
                  <c:v>1651.0948520000009</c:v>
                </c:pt>
                <c:pt idx="46">
                  <c:v>1816.2043372000012</c:v>
                </c:pt>
                <c:pt idx="47">
                  <c:v>1997.8247709200016</c:v>
                </c:pt>
                <c:pt idx="48">
                  <c:v>2197.6072480120019</c:v>
                </c:pt>
                <c:pt idx="49">
                  <c:v>2417.3679728132024</c:v>
                </c:pt>
                <c:pt idx="50">
                  <c:v>2659.1047700945228</c:v>
                </c:pt>
                <c:pt idx="51">
                  <c:v>2925.0152471039755</c:v>
                </c:pt>
                <c:pt idx="52">
                  <c:v>3217.5167718143734</c:v>
                </c:pt>
                <c:pt idx="53">
                  <c:v>3539.268448995811</c:v>
                </c:pt>
                <c:pt idx="54">
                  <c:v>3893.1952938953923</c:v>
                </c:pt>
                <c:pt idx="55">
                  <c:v>4282.5148232849315</c:v>
                </c:pt>
                <c:pt idx="56">
                  <c:v>4710.7663056134252</c:v>
                </c:pt>
                <c:pt idx="57">
                  <c:v>5181.8429361747685</c:v>
                </c:pt>
                <c:pt idx="58">
                  <c:v>5700.0272297922456</c:v>
                </c:pt>
                <c:pt idx="59">
                  <c:v>6270.0299527714706</c:v>
                </c:pt>
                <c:pt idx="60">
                  <c:v>6897.032948048618</c:v>
                </c:pt>
                <c:pt idx="61">
                  <c:v>7586.7362428534807</c:v>
                </c:pt>
                <c:pt idx="62">
                  <c:v>8345.4098671388292</c:v>
                </c:pt>
                <c:pt idx="63">
                  <c:v>9179.9508538527134</c:v>
                </c:pt>
                <c:pt idx="64">
                  <c:v>10097.945939237985</c:v>
                </c:pt>
                <c:pt idx="65">
                  <c:v>11107.740533161785</c:v>
                </c:pt>
                <c:pt idx="66">
                  <c:v>12218.514586477964</c:v>
                </c:pt>
                <c:pt idx="67">
                  <c:v>13440.366045125762</c:v>
                </c:pt>
                <c:pt idx="68">
                  <c:v>14784.402649638339</c:v>
                </c:pt>
                <c:pt idx="69">
                  <c:v>16262.842914602175</c:v>
                </c:pt>
                <c:pt idx="70">
                  <c:v>17889.127206062396</c:v>
                </c:pt>
                <c:pt idx="71">
                  <c:v>19678.039926668636</c:v>
                </c:pt>
                <c:pt idx="72">
                  <c:v>21645.843919335501</c:v>
                </c:pt>
                <c:pt idx="73">
                  <c:v>23810.428311269054</c:v>
                </c:pt>
                <c:pt idx="74">
                  <c:v>26191.47114239596</c:v>
                </c:pt>
                <c:pt idx="75">
                  <c:v>28810.618256635556</c:v>
                </c:pt>
                <c:pt idx="76">
                  <c:v>31691.680082299114</c:v>
                </c:pt>
                <c:pt idx="77">
                  <c:v>34860.848090529027</c:v>
                </c:pt>
                <c:pt idx="78">
                  <c:v>38346.932899581931</c:v>
                </c:pt>
                <c:pt idx="79">
                  <c:v>42181.626189540126</c:v>
                </c:pt>
                <c:pt idx="80">
                  <c:v>46399.788808494144</c:v>
                </c:pt>
                <c:pt idx="81">
                  <c:v>51039.767689343564</c:v>
                </c:pt>
                <c:pt idx="82">
                  <c:v>56143.744458277928</c:v>
                </c:pt>
                <c:pt idx="83">
                  <c:v>61758.118904105722</c:v>
                </c:pt>
                <c:pt idx="84">
                  <c:v>67933.930794516302</c:v>
                </c:pt>
                <c:pt idx="85">
                  <c:v>74727.323873967936</c:v>
                </c:pt>
                <c:pt idx="86">
                  <c:v>82200.056261364734</c:v>
                </c:pt>
                <c:pt idx="87">
                  <c:v>90420.061887501215</c:v>
                </c:pt>
                <c:pt idx="88">
                  <c:v>99462.068076251351</c:v>
                </c:pt>
                <c:pt idx="89">
                  <c:v>109408.2748838765</c:v>
                </c:pt>
                <c:pt idx="90">
                  <c:v>120349.10237226415</c:v>
                </c:pt>
                <c:pt idx="91">
                  <c:v>132384.01260949057</c:v>
                </c:pt>
                <c:pt idx="92">
                  <c:v>145622.41387043963</c:v>
                </c:pt>
                <c:pt idx="93">
                  <c:v>160184.6552574836</c:v>
                </c:pt>
                <c:pt idx="94">
                  <c:v>176203.12078323198</c:v>
                </c:pt>
                <c:pt idx="95">
                  <c:v>193823.43286155519</c:v>
                </c:pt>
                <c:pt idx="96">
                  <c:v>213205.77614771074</c:v>
                </c:pt>
                <c:pt idx="97">
                  <c:v>234526.35376248183</c:v>
                </c:pt>
                <c:pt idx="98">
                  <c:v>257978.98913873004</c:v>
                </c:pt>
                <c:pt idx="99">
                  <c:v>283776.88805260306</c:v>
                </c:pt>
                <c:pt idx="100">
                  <c:v>312154.5768578634</c:v>
                </c:pt>
                <c:pt idx="101">
                  <c:v>343370.03454364976</c:v>
                </c:pt>
                <c:pt idx="102">
                  <c:v>377707.03799801477</c:v>
                </c:pt>
                <c:pt idx="103">
                  <c:v>415477.7417978163</c:v>
                </c:pt>
                <c:pt idx="104">
                  <c:v>457025.51597759797</c:v>
                </c:pt>
                <c:pt idx="105">
                  <c:v>502728.0675753578</c:v>
                </c:pt>
                <c:pt idx="106">
                  <c:v>553000.87433289364</c:v>
                </c:pt>
                <c:pt idx="107">
                  <c:v>608300.96176618303</c:v>
                </c:pt>
                <c:pt idx="108">
                  <c:v>669131.05794280139</c:v>
                </c:pt>
                <c:pt idx="109">
                  <c:v>736044.16373708157</c:v>
                </c:pt>
                <c:pt idx="110">
                  <c:v>809648.58011078974</c:v>
                </c:pt>
                <c:pt idx="111">
                  <c:v>890613.43812186876</c:v>
                </c:pt>
                <c:pt idx="112">
                  <c:v>979674.78193405573</c:v>
                </c:pt>
                <c:pt idx="113">
                  <c:v>1077642.2601274613</c:v>
                </c:pt>
                <c:pt idx="114">
                  <c:v>1185406.4861402076</c:v>
                </c:pt>
                <c:pt idx="115">
                  <c:v>1303947.1347542284</c:v>
                </c:pt>
                <c:pt idx="116">
                  <c:v>1434341.8482296513</c:v>
                </c:pt>
                <c:pt idx="117">
                  <c:v>1577776.0330526165</c:v>
                </c:pt>
                <c:pt idx="118">
                  <c:v>1735553.6363578783</c:v>
                </c:pt>
                <c:pt idx="119">
                  <c:v>1909108.9999936663</c:v>
                </c:pt>
                <c:pt idx="120">
                  <c:v>2100019.8999930331</c:v>
                </c:pt>
                <c:pt idx="121">
                  <c:v>2310021.8899923367</c:v>
                </c:pt>
                <c:pt idx="122">
                  <c:v>2541024.0789915705</c:v>
                </c:pt>
                <c:pt idx="123">
                  <c:v>2795126.4868907277</c:v>
                </c:pt>
                <c:pt idx="124">
                  <c:v>3074639.1355798007</c:v>
                </c:pt>
                <c:pt idx="125">
                  <c:v>3382103.0491377809</c:v>
                </c:pt>
                <c:pt idx="126">
                  <c:v>3720313.3540515592</c:v>
                </c:pt>
                <c:pt idx="127">
                  <c:v>4092344.6894567157</c:v>
                </c:pt>
                <c:pt idx="128">
                  <c:v>4501579.158402388</c:v>
                </c:pt>
                <c:pt idx="129">
                  <c:v>4951737.0742426272</c:v>
                </c:pt>
                <c:pt idx="130">
                  <c:v>5446910.7816668907</c:v>
                </c:pt>
                <c:pt idx="131">
                  <c:v>5991601.8598335804</c:v>
                </c:pt>
                <c:pt idx="132">
                  <c:v>6590762.0458169393</c:v>
                </c:pt>
                <c:pt idx="133">
                  <c:v>7249838.250398634</c:v>
                </c:pt>
                <c:pt idx="134">
                  <c:v>7974822.0754384976</c:v>
                </c:pt>
                <c:pt idx="135">
                  <c:v>8772304.2829823475</c:v>
                </c:pt>
                <c:pt idx="136">
                  <c:v>9649534.7112805825</c:v>
                </c:pt>
                <c:pt idx="137">
                  <c:v>10614488.182408642</c:v>
                </c:pt>
                <c:pt idx="138">
                  <c:v>11675937.000649508</c:v>
                </c:pt>
                <c:pt idx="139">
                  <c:v>12843530.70071446</c:v>
                </c:pt>
                <c:pt idx="140">
                  <c:v>14127883.770785907</c:v>
                </c:pt>
                <c:pt idx="141">
                  <c:v>15540672.1478645</c:v>
                </c:pt>
                <c:pt idx="142">
                  <c:v>17094739.362650953</c:v>
                </c:pt>
                <c:pt idx="143">
                  <c:v>18804213.298916049</c:v>
                </c:pt>
                <c:pt idx="144">
                  <c:v>20684634.628807656</c:v>
                </c:pt>
                <c:pt idx="145">
                  <c:v>22753098.091688424</c:v>
                </c:pt>
                <c:pt idx="146">
                  <c:v>25028407.90085727</c:v>
                </c:pt>
                <c:pt idx="147">
                  <c:v>27531248.690942999</c:v>
                </c:pt>
                <c:pt idx="148">
                  <c:v>30284373.5600373</c:v>
                </c:pt>
                <c:pt idx="149">
                  <c:v>33312810.916041031</c:v>
                </c:pt>
                <c:pt idx="150">
                  <c:v>36644092.007645138</c:v>
                </c:pt>
                <c:pt idx="151">
                  <c:v>40308501.208409652</c:v>
                </c:pt>
                <c:pt idx="152">
                  <c:v>44339351.329250619</c:v>
                </c:pt>
                <c:pt idx="153">
                  <c:v>48773286.462175682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31-4164-ABC4-CCF1AB3D6DD0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1165</c:v>
                </c:pt>
                <c:pt idx="41">
                  <c:v>1456.25</c:v>
                </c:pt>
                <c:pt idx="42">
                  <c:v>1820.3125</c:v>
                </c:pt>
                <c:pt idx="43">
                  <c:v>2275.390625</c:v>
                </c:pt>
                <c:pt idx="44">
                  <c:v>2844.23828125</c:v>
                </c:pt>
                <c:pt idx="45">
                  <c:v>3555.2978515625</c:v>
                </c:pt>
                <c:pt idx="46">
                  <c:v>4444.122314453125</c:v>
                </c:pt>
                <c:pt idx="47">
                  <c:v>5555.1528930664063</c:v>
                </c:pt>
                <c:pt idx="48">
                  <c:v>6943.9411163330078</c:v>
                </c:pt>
                <c:pt idx="49">
                  <c:v>8679.9263954162598</c:v>
                </c:pt>
                <c:pt idx="50">
                  <c:v>10849.907994270325</c:v>
                </c:pt>
                <c:pt idx="51">
                  <c:v>13562.384992837906</c:v>
                </c:pt>
                <c:pt idx="52">
                  <c:v>16952.981241047382</c:v>
                </c:pt>
                <c:pt idx="53">
                  <c:v>21191.226551309228</c:v>
                </c:pt>
                <c:pt idx="54">
                  <c:v>26489.033189136535</c:v>
                </c:pt>
                <c:pt idx="55">
                  <c:v>33111.291486420669</c:v>
                </c:pt>
                <c:pt idx="56">
                  <c:v>41389.114358025836</c:v>
                </c:pt>
                <c:pt idx="57">
                  <c:v>51736.392947532295</c:v>
                </c:pt>
                <c:pt idx="58">
                  <c:v>64670.491184415368</c:v>
                </c:pt>
                <c:pt idx="59">
                  <c:v>80838.113980519207</c:v>
                </c:pt>
                <c:pt idx="60">
                  <c:v>101047.64247564902</c:v>
                </c:pt>
                <c:pt idx="61">
                  <c:v>126309.55309456127</c:v>
                </c:pt>
                <c:pt idx="62">
                  <c:v>157886.94136820157</c:v>
                </c:pt>
                <c:pt idx="63">
                  <c:v>197358.67671025195</c:v>
                </c:pt>
                <c:pt idx="64">
                  <c:v>246698.34588781494</c:v>
                </c:pt>
                <c:pt idx="65">
                  <c:v>308372.93235976866</c:v>
                </c:pt>
                <c:pt idx="66">
                  <c:v>385466.1654497108</c:v>
                </c:pt>
                <c:pt idx="67">
                  <c:v>481832.70681213849</c:v>
                </c:pt>
                <c:pt idx="68">
                  <c:v>602290.8835151731</c:v>
                </c:pt>
                <c:pt idx="69">
                  <c:v>752863.60439396638</c:v>
                </c:pt>
                <c:pt idx="70">
                  <c:v>941079.505492458</c:v>
                </c:pt>
                <c:pt idx="71">
                  <c:v>1176349.3818655724</c:v>
                </c:pt>
                <c:pt idx="72">
                  <c:v>1470436.7273319655</c:v>
                </c:pt>
                <c:pt idx="73">
                  <c:v>1838045.9091649568</c:v>
                </c:pt>
                <c:pt idx="74">
                  <c:v>2297557.3864561962</c:v>
                </c:pt>
                <c:pt idx="75">
                  <c:v>2871946.733070245</c:v>
                </c:pt>
                <c:pt idx="76">
                  <c:v>3589933.4163378063</c:v>
                </c:pt>
                <c:pt idx="77">
                  <c:v>4487416.7704222575</c:v>
                </c:pt>
                <c:pt idx="78">
                  <c:v>5609270.9630278219</c:v>
                </c:pt>
                <c:pt idx="79">
                  <c:v>7011588.7037847769</c:v>
                </c:pt>
                <c:pt idx="80">
                  <c:v>8764485.8797309715</c:v>
                </c:pt>
                <c:pt idx="81">
                  <c:v>10955607.349663714</c:v>
                </c:pt>
                <c:pt idx="82">
                  <c:v>13694509.187079642</c:v>
                </c:pt>
                <c:pt idx="83">
                  <c:v>17118136.483849552</c:v>
                </c:pt>
                <c:pt idx="84">
                  <c:v>21397670.60481194</c:v>
                </c:pt>
                <c:pt idx="85">
                  <c:v>26747088.256014924</c:v>
                </c:pt>
                <c:pt idx="86">
                  <c:v>33433860.320018657</c:v>
                </c:pt>
                <c:pt idx="87">
                  <c:v>41792325.400023319</c:v>
                </c:pt>
                <c:pt idx="88">
                  <c:v>50590584.400000006</c:v>
                </c:pt>
                <c:pt idx="89">
                  <c:v>50590584.400000006</c:v>
                </c:pt>
                <c:pt idx="90">
                  <c:v>50590584.400000006</c:v>
                </c:pt>
                <c:pt idx="91">
                  <c:v>50590584.400000006</c:v>
                </c:pt>
                <c:pt idx="92">
                  <c:v>50590584.400000006</c:v>
                </c:pt>
                <c:pt idx="93">
                  <c:v>50590584.400000006</c:v>
                </c:pt>
                <c:pt idx="94">
                  <c:v>50590584.400000006</c:v>
                </c:pt>
                <c:pt idx="95">
                  <c:v>50590584.400000006</c:v>
                </c:pt>
                <c:pt idx="96">
                  <c:v>50590584.400000006</c:v>
                </c:pt>
                <c:pt idx="97">
                  <c:v>50590584.400000006</c:v>
                </c:pt>
                <c:pt idx="98">
                  <c:v>50590584.400000006</c:v>
                </c:pt>
                <c:pt idx="99">
                  <c:v>50590584.400000006</c:v>
                </c:pt>
                <c:pt idx="100">
                  <c:v>50590584.400000006</c:v>
                </c:pt>
                <c:pt idx="101">
                  <c:v>50590584.400000006</c:v>
                </c:pt>
                <c:pt idx="102">
                  <c:v>50590584.400000006</c:v>
                </c:pt>
                <c:pt idx="103">
                  <c:v>50590584.400000006</c:v>
                </c:pt>
                <c:pt idx="104">
                  <c:v>50590584.400000006</c:v>
                </c:pt>
                <c:pt idx="105">
                  <c:v>50590584.400000006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31-4164-ABC4-CCF1AB3D6DD0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1304.8</c:v>
                </c:pt>
                <c:pt idx="41">
                  <c:v>1826.7199999999998</c:v>
                </c:pt>
                <c:pt idx="42">
                  <c:v>2557.4079999999994</c:v>
                </c:pt>
                <c:pt idx="43">
                  <c:v>3580.3711999999991</c:v>
                </c:pt>
                <c:pt idx="44">
                  <c:v>5012.5196799999985</c:v>
                </c:pt>
                <c:pt idx="45">
                  <c:v>7017.5275519999977</c:v>
                </c:pt>
                <c:pt idx="46">
                  <c:v>9824.5385727999965</c:v>
                </c:pt>
                <c:pt idx="47">
                  <c:v>13754.354001919994</c:v>
                </c:pt>
                <c:pt idx="48">
                  <c:v>19256.09560268799</c:v>
                </c:pt>
                <c:pt idx="49">
                  <c:v>26958.533843763184</c:v>
                </c:pt>
                <c:pt idx="50">
                  <c:v>37741.947381268452</c:v>
                </c:pt>
                <c:pt idx="51">
                  <c:v>52838.726333775827</c:v>
                </c:pt>
                <c:pt idx="52">
                  <c:v>73974.216867286159</c:v>
                </c:pt>
                <c:pt idx="53">
                  <c:v>103563.90361420062</c:v>
                </c:pt>
                <c:pt idx="54">
                  <c:v>144989.46505988087</c:v>
                </c:pt>
                <c:pt idx="55">
                  <c:v>202985.25108383319</c:v>
                </c:pt>
                <c:pt idx="56">
                  <c:v>284179.35151736648</c:v>
                </c:pt>
                <c:pt idx="57">
                  <c:v>397851.09212431306</c:v>
                </c:pt>
                <c:pt idx="58">
                  <c:v>556991.5289740382</c:v>
                </c:pt>
                <c:pt idx="59">
                  <c:v>779788.14056365343</c:v>
                </c:pt>
                <c:pt idx="60">
                  <c:v>1091703.3967891147</c:v>
                </c:pt>
                <c:pt idx="61">
                  <c:v>1528384.7555047604</c:v>
                </c:pt>
                <c:pt idx="62">
                  <c:v>2139738.6577066644</c:v>
                </c:pt>
                <c:pt idx="63">
                  <c:v>2995634.12078933</c:v>
                </c:pt>
                <c:pt idx="64">
                  <c:v>4193887.7691050619</c:v>
                </c:pt>
                <c:pt idx="65">
                  <c:v>5871442.8767470866</c:v>
                </c:pt>
                <c:pt idx="66">
                  <c:v>8220020.0274459207</c:v>
                </c:pt>
                <c:pt idx="67">
                  <c:v>11508028.038424289</c:v>
                </c:pt>
                <c:pt idx="68">
                  <c:v>16111239.253794003</c:v>
                </c:pt>
                <c:pt idx="69">
                  <c:v>22555734.955311604</c:v>
                </c:pt>
                <c:pt idx="70">
                  <c:v>31578028.937436242</c:v>
                </c:pt>
                <c:pt idx="71">
                  <c:v>44209240.512410738</c:v>
                </c:pt>
                <c:pt idx="72">
                  <c:v>50590584.400000006</c:v>
                </c:pt>
                <c:pt idx="73">
                  <c:v>50590584.400000006</c:v>
                </c:pt>
                <c:pt idx="74">
                  <c:v>50590584.400000006</c:v>
                </c:pt>
                <c:pt idx="75">
                  <c:v>50590584.400000006</c:v>
                </c:pt>
                <c:pt idx="76">
                  <c:v>50590584.400000006</c:v>
                </c:pt>
                <c:pt idx="77">
                  <c:v>50590584.400000006</c:v>
                </c:pt>
                <c:pt idx="78">
                  <c:v>50590584.400000006</c:v>
                </c:pt>
                <c:pt idx="79">
                  <c:v>50590584.400000006</c:v>
                </c:pt>
                <c:pt idx="80">
                  <c:v>50590584.400000006</c:v>
                </c:pt>
                <c:pt idx="81">
                  <c:v>50590584.400000006</c:v>
                </c:pt>
                <c:pt idx="82">
                  <c:v>50590584.400000006</c:v>
                </c:pt>
                <c:pt idx="83">
                  <c:v>50590584.400000006</c:v>
                </c:pt>
                <c:pt idx="84">
                  <c:v>50590584.400000006</c:v>
                </c:pt>
                <c:pt idx="85">
                  <c:v>50590584.400000006</c:v>
                </c:pt>
                <c:pt idx="86">
                  <c:v>50590584.400000006</c:v>
                </c:pt>
                <c:pt idx="87">
                  <c:v>50590584.400000006</c:v>
                </c:pt>
                <c:pt idx="88">
                  <c:v>50590584.400000006</c:v>
                </c:pt>
                <c:pt idx="89">
                  <c:v>50590584.400000006</c:v>
                </c:pt>
                <c:pt idx="90">
                  <c:v>50590584.400000006</c:v>
                </c:pt>
                <c:pt idx="91">
                  <c:v>50590584.400000006</c:v>
                </c:pt>
                <c:pt idx="92">
                  <c:v>50590584.400000006</c:v>
                </c:pt>
                <c:pt idx="93">
                  <c:v>50590584.400000006</c:v>
                </c:pt>
                <c:pt idx="94">
                  <c:v>50590584.400000006</c:v>
                </c:pt>
                <c:pt idx="95">
                  <c:v>50590584.400000006</c:v>
                </c:pt>
                <c:pt idx="96">
                  <c:v>50590584.400000006</c:v>
                </c:pt>
                <c:pt idx="97">
                  <c:v>50590584.400000006</c:v>
                </c:pt>
                <c:pt idx="98">
                  <c:v>50590584.400000006</c:v>
                </c:pt>
                <c:pt idx="99">
                  <c:v>50590584.400000006</c:v>
                </c:pt>
                <c:pt idx="100">
                  <c:v>50590584.400000006</c:v>
                </c:pt>
                <c:pt idx="101">
                  <c:v>50590584.400000006</c:v>
                </c:pt>
                <c:pt idx="102">
                  <c:v>50590584.400000006</c:v>
                </c:pt>
                <c:pt idx="103">
                  <c:v>50590584.400000006</c:v>
                </c:pt>
                <c:pt idx="104">
                  <c:v>50590584.400000006</c:v>
                </c:pt>
                <c:pt idx="105">
                  <c:v>50590584.400000006</c:v>
                </c:pt>
                <c:pt idx="106">
                  <c:v>50590584.400000006</c:v>
                </c:pt>
                <c:pt idx="107">
                  <c:v>50590584.400000006</c:v>
                </c:pt>
                <c:pt idx="108">
                  <c:v>50590584.400000006</c:v>
                </c:pt>
                <c:pt idx="109">
                  <c:v>50590584.400000006</c:v>
                </c:pt>
                <c:pt idx="110">
                  <c:v>50590584.400000006</c:v>
                </c:pt>
                <c:pt idx="111">
                  <c:v>50590584.400000006</c:v>
                </c:pt>
                <c:pt idx="112">
                  <c:v>50590584.400000006</c:v>
                </c:pt>
                <c:pt idx="113">
                  <c:v>50590584.400000006</c:v>
                </c:pt>
                <c:pt idx="114">
                  <c:v>50590584.400000006</c:v>
                </c:pt>
                <c:pt idx="115">
                  <c:v>50590584.400000006</c:v>
                </c:pt>
                <c:pt idx="116">
                  <c:v>50590584.400000006</c:v>
                </c:pt>
                <c:pt idx="117">
                  <c:v>50590584.400000006</c:v>
                </c:pt>
                <c:pt idx="118">
                  <c:v>50590584.400000006</c:v>
                </c:pt>
                <c:pt idx="119">
                  <c:v>50590584.400000006</c:v>
                </c:pt>
                <c:pt idx="120">
                  <c:v>50590584.400000006</c:v>
                </c:pt>
                <c:pt idx="121">
                  <c:v>50590584.400000006</c:v>
                </c:pt>
                <c:pt idx="122">
                  <c:v>50590584.400000006</c:v>
                </c:pt>
                <c:pt idx="123">
                  <c:v>50590584.400000006</c:v>
                </c:pt>
                <c:pt idx="124">
                  <c:v>50590584.400000006</c:v>
                </c:pt>
                <c:pt idx="125">
                  <c:v>50590584.400000006</c:v>
                </c:pt>
                <c:pt idx="126">
                  <c:v>50590584.400000006</c:v>
                </c:pt>
                <c:pt idx="127">
                  <c:v>50590584.400000006</c:v>
                </c:pt>
                <c:pt idx="128">
                  <c:v>50590584.400000006</c:v>
                </c:pt>
                <c:pt idx="129">
                  <c:v>50590584.400000006</c:v>
                </c:pt>
                <c:pt idx="130">
                  <c:v>50590584.400000006</c:v>
                </c:pt>
                <c:pt idx="131">
                  <c:v>50590584.400000006</c:v>
                </c:pt>
                <c:pt idx="132">
                  <c:v>50590584.400000006</c:v>
                </c:pt>
                <c:pt idx="133">
                  <c:v>50590584.400000006</c:v>
                </c:pt>
                <c:pt idx="134">
                  <c:v>50590584.400000006</c:v>
                </c:pt>
                <c:pt idx="135">
                  <c:v>50590584.400000006</c:v>
                </c:pt>
                <c:pt idx="136">
                  <c:v>50590584.400000006</c:v>
                </c:pt>
                <c:pt idx="137">
                  <c:v>50590584.400000006</c:v>
                </c:pt>
                <c:pt idx="138">
                  <c:v>50590584.400000006</c:v>
                </c:pt>
                <c:pt idx="139">
                  <c:v>50590584.400000006</c:v>
                </c:pt>
                <c:pt idx="140">
                  <c:v>50590584.400000006</c:v>
                </c:pt>
                <c:pt idx="141">
                  <c:v>50590584.400000006</c:v>
                </c:pt>
                <c:pt idx="142">
                  <c:v>50590584.400000006</c:v>
                </c:pt>
                <c:pt idx="143">
                  <c:v>50590584.400000006</c:v>
                </c:pt>
                <c:pt idx="144">
                  <c:v>50590584.400000006</c:v>
                </c:pt>
                <c:pt idx="145">
                  <c:v>50590584.400000006</c:v>
                </c:pt>
                <c:pt idx="146">
                  <c:v>50590584.400000006</c:v>
                </c:pt>
                <c:pt idx="147">
                  <c:v>50590584.400000006</c:v>
                </c:pt>
                <c:pt idx="148">
                  <c:v>50590584.400000006</c:v>
                </c:pt>
                <c:pt idx="149">
                  <c:v>50590584.400000006</c:v>
                </c:pt>
                <c:pt idx="150">
                  <c:v>50590584.400000006</c:v>
                </c:pt>
                <c:pt idx="151">
                  <c:v>50590584.400000006</c:v>
                </c:pt>
                <c:pt idx="152">
                  <c:v>50590584.400000006</c:v>
                </c:pt>
                <c:pt idx="153">
                  <c:v>50590584.400000006</c:v>
                </c:pt>
                <c:pt idx="154">
                  <c:v>50590584.400000006</c:v>
                </c:pt>
                <c:pt idx="155">
                  <c:v>50590584.400000006</c:v>
                </c:pt>
                <c:pt idx="156">
                  <c:v>50590584.400000006</c:v>
                </c:pt>
                <c:pt idx="157">
                  <c:v>50590584.400000006</c:v>
                </c:pt>
                <c:pt idx="158">
                  <c:v>50590584.400000006</c:v>
                </c:pt>
                <c:pt idx="159">
                  <c:v>50590584.400000006</c:v>
                </c:pt>
                <c:pt idx="160">
                  <c:v>50590584.400000006</c:v>
                </c:pt>
                <c:pt idx="161">
                  <c:v>50590584.400000006</c:v>
                </c:pt>
                <c:pt idx="162">
                  <c:v>50590584.400000006</c:v>
                </c:pt>
                <c:pt idx="163">
                  <c:v>50590584.400000006</c:v>
                </c:pt>
                <c:pt idx="164">
                  <c:v>50590584.400000006</c:v>
                </c:pt>
                <c:pt idx="165">
                  <c:v>50590584.400000006</c:v>
                </c:pt>
                <c:pt idx="166">
                  <c:v>50590584.400000006</c:v>
                </c:pt>
                <c:pt idx="167">
                  <c:v>50590584.400000006</c:v>
                </c:pt>
                <c:pt idx="168">
                  <c:v>50590584.400000006</c:v>
                </c:pt>
                <c:pt idx="169">
                  <c:v>50590584.400000006</c:v>
                </c:pt>
                <c:pt idx="170">
                  <c:v>50590584.400000006</c:v>
                </c:pt>
                <c:pt idx="171">
                  <c:v>50590584.400000006</c:v>
                </c:pt>
                <c:pt idx="172">
                  <c:v>50590584.400000006</c:v>
                </c:pt>
                <c:pt idx="173">
                  <c:v>50590584.400000006</c:v>
                </c:pt>
                <c:pt idx="174">
                  <c:v>50590584.400000006</c:v>
                </c:pt>
                <c:pt idx="175">
                  <c:v>50590584.400000006</c:v>
                </c:pt>
                <c:pt idx="176">
                  <c:v>50590584.400000006</c:v>
                </c:pt>
                <c:pt idx="177">
                  <c:v>50590584.400000006</c:v>
                </c:pt>
                <c:pt idx="178">
                  <c:v>50590584.400000006</c:v>
                </c:pt>
                <c:pt idx="179">
                  <c:v>50590584.400000006</c:v>
                </c:pt>
                <c:pt idx="180">
                  <c:v>50590584.400000006</c:v>
                </c:pt>
                <c:pt idx="181">
                  <c:v>50590584.400000006</c:v>
                </c:pt>
                <c:pt idx="182">
                  <c:v>50590584.400000006</c:v>
                </c:pt>
                <c:pt idx="183">
                  <c:v>50590584.400000006</c:v>
                </c:pt>
                <c:pt idx="184">
                  <c:v>50590584.400000006</c:v>
                </c:pt>
                <c:pt idx="185">
                  <c:v>50590584.400000006</c:v>
                </c:pt>
                <c:pt idx="186">
                  <c:v>50590584.400000006</c:v>
                </c:pt>
                <c:pt idx="187">
                  <c:v>50590584.400000006</c:v>
                </c:pt>
                <c:pt idx="188">
                  <c:v>50590584.400000006</c:v>
                </c:pt>
                <c:pt idx="189">
                  <c:v>50590584.400000006</c:v>
                </c:pt>
                <c:pt idx="190">
                  <c:v>50590584.400000006</c:v>
                </c:pt>
                <c:pt idx="191">
                  <c:v>50590584.400000006</c:v>
                </c:pt>
                <c:pt idx="192">
                  <c:v>50590584.400000006</c:v>
                </c:pt>
                <c:pt idx="193">
                  <c:v>50590584.400000006</c:v>
                </c:pt>
                <c:pt idx="194">
                  <c:v>50590584.400000006</c:v>
                </c:pt>
                <c:pt idx="195">
                  <c:v>50590584.400000006</c:v>
                </c:pt>
                <c:pt idx="196">
                  <c:v>50590584.400000006</c:v>
                </c:pt>
                <c:pt idx="197">
                  <c:v>50590584.400000006</c:v>
                </c:pt>
                <c:pt idx="198">
                  <c:v>50590584.400000006</c:v>
                </c:pt>
                <c:pt idx="199">
                  <c:v>50590584.400000006</c:v>
                </c:pt>
                <c:pt idx="200">
                  <c:v>50590584.400000006</c:v>
                </c:pt>
                <c:pt idx="201">
                  <c:v>50590584.400000006</c:v>
                </c:pt>
                <c:pt idx="202">
                  <c:v>50590584.400000006</c:v>
                </c:pt>
                <c:pt idx="203">
                  <c:v>50590584.400000006</c:v>
                </c:pt>
                <c:pt idx="204">
                  <c:v>50590584.400000006</c:v>
                </c:pt>
                <c:pt idx="205">
                  <c:v>50590584.400000006</c:v>
                </c:pt>
                <c:pt idx="206">
                  <c:v>50590584.400000006</c:v>
                </c:pt>
                <c:pt idx="207">
                  <c:v>50590584.400000006</c:v>
                </c:pt>
                <c:pt idx="208">
                  <c:v>50590584.400000006</c:v>
                </c:pt>
                <c:pt idx="209">
                  <c:v>50590584.400000006</c:v>
                </c:pt>
                <c:pt idx="210">
                  <c:v>50590584.400000006</c:v>
                </c:pt>
                <c:pt idx="211">
                  <c:v>50590584.400000006</c:v>
                </c:pt>
                <c:pt idx="212">
                  <c:v>50590584.400000006</c:v>
                </c:pt>
                <c:pt idx="213">
                  <c:v>50590584.400000006</c:v>
                </c:pt>
                <c:pt idx="214">
                  <c:v>50590584.400000006</c:v>
                </c:pt>
                <c:pt idx="215">
                  <c:v>50590584.400000006</c:v>
                </c:pt>
                <c:pt idx="216">
                  <c:v>50590584.400000006</c:v>
                </c:pt>
                <c:pt idx="217">
                  <c:v>50590584.400000006</c:v>
                </c:pt>
                <c:pt idx="218">
                  <c:v>50590584.400000006</c:v>
                </c:pt>
                <c:pt idx="219">
                  <c:v>50590584.400000006</c:v>
                </c:pt>
                <c:pt idx="220">
                  <c:v>50590584.400000006</c:v>
                </c:pt>
                <c:pt idx="221">
                  <c:v>50590584.400000006</c:v>
                </c:pt>
                <c:pt idx="222">
                  <c:v>50590584.400000006</c:v>
                </c:pt>
                <c:pt idx="223">
                  <c:v>50590584.400000006</c:v>
                </c:pt>
                <c:pt idx="224">
                  <c:v>50590584.400000006</c:v>
                </c:pt>
                <c:pt idx="225">
                  <c:v>50590584.400000006</c:v>
                </c:pt>
                <c:pt idx="226">
                  <c:v>50590584.400000006</c:v>
                </c:pt>
                <c:pt idx="227">
                  <c:v>50590584.400000006</c:v>
                </c:pt>
                <c:pt idx="228">
                  <c:v>50590584.400000006</c:v>
                </c:pt>
                <c:pt idx="229">
                  <c:v>50590584.400000006</c:v>
                </c:pt>
                <c:pt idx="230">
                  <c:v>50590584.400000006</c:v>
                </c:pt>
                <c:pt idx="231">
                  <c:v>50590584.400000006</c:v>
                </c:pt>
                <c:pt idx="232">
                  <c:v>50590584.400000006</c:v>
                </c:pt>
                <c:pt idx="233">
                  <c:v>50590584.400000006</c:v>
                </c:pt>
                <c:pt idx="234">
                  <c:v>50590584.400000006</c:v>
                </c:pt>
                <c:pt idx="235">
                  <c:v>50590584.400000006</c:v>
                </c:pt>
                <c:pt idx="236">
                  <c:v>50590584.400000006</c:v>
                </c:pt>
                <c:pt idx="237">
                  <c:v>50590584.400000006</c:v>
                </c:pt>
                <c:pt idx="238">
                  <c:v>50590584.400000006</c:v>
                </c:pt>
                <c:pt idx="239">
                  <c:v>50590584.400000006</c:v>
                </c:pt>
                <c:pt idx="240">
                  <c:v>50590584.400000006</c:v>
                </c:pt>
                <c:pt idx="241">
                  <c:v>50590584.400000006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31-4164-ABC4-CCF1AB3D6DD0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1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31-4164-ABC4-CCF1AB3D6DD0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31-4164-ABC4-CCF1AB3D6DD0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105</c:v>
                </c:pt>
                <c:pt idx="1">
                  <c:v>115</c:v>
                </c:pt>
                <c:pt idx="2">
                  <c:v>125</c:v>
                </c:pt>
                <c:pt idx="3">
                  <c:v>135</c:v>
                </c:pt>
                <c:pt idx="4">
                  <c:v>145</c:v>
                </c:pt>
                <c:pt idx="5">
                  <c:v>168</c:v>
                </c:pt>
                <c:pt idx="6">
                  <c:v>196.5</c:v>
                </c:pt>
                <c:pt idx="7">
                  <c:v>213</c:v>
                </c:pt>
                <c:pt idx="8">
                  <c:v>227.875</c:v>
                </c:pt>
                <c:pt idx="9">
                  <c:v>244.33333333333334</c:v>
                </c:pt>
                <c:pt idx="10">
                  <c:v>263.5</c:v>
                </c:pt>
                <c:pt idx="11">
                  <c:v>283.45454545454544</c:v>
                </c:pt>
                <c:pt idx="12">
                  <c:v>192</c:v>
                </c:pt>
                <c:pt idx="13">
                  <c:v>188</c:v>
                </c:pt>
                <c:pt idx="14">
                  <c:v>249</c:v>
                </c:pt>
                <c:pt idx="15">
                  <c:v>280</c:v>
                </c:pt>
                <c:pt idx="16">
                  <c:v>294</c:v>
                </c:pt>
                <c:pt idx="17">
                  <c:v>272</c:v>
                </c:pt>
                <c:pt idx="18">
                  <c:v>339</c:v>
                </c:pt>
                <c:pt idx="19">
                  <c:v>380</c:v>
                </c:pt>
                <c:pt idx="20">
                  <c:v>362</c:v>
                </c:pt>
                <c:pt idx="21">
                  <c:v>400</c:v>
                </c:pt>
                <c:pt idx="22">
                  <c:v>449</c:v>
                </c:pt>
                <c:pt idx="23">
                  <c:v>458</c:v>
                </c:pt>
                <c:pt idx="24">
                  <c:v>433</c:v>
                </c:pt>
                <c:pt idx="25">
                  <c:v>379</c:v>
                </c:pt>
                <c:pt idx="26">
                  <c:v>368</c:v>
                </c:pt>
                <c:pt idx="27">
                  <c:v>362</c:v>
                </c:pt>
                <c:pt idx="28">
                  <c:v>420</c:v>
                </c:pt>
                <c:pt idx="29">
                  <c:v>331</c:v>
                </c:pt>
                <c:pt idx="30">
                  <c:v>383</c:v>
                </c:pt>
                <c:pt idx="31">
                  <c:v>464</c:v>
                </c:pt>
                <c:pt idx="32">
                  <c:v>409</c:v>
                </c:pt>
                <c:pt idx="33">
                  <c:v>442</c:v>
                </c:pt>
                <c:pt idx="34">
                  <c:v>457</c:v>
                </c:pt>
                <c:pt idx="35">
                  <c:v>612</c:v>
                </c:pt>
                <c:pt idx="36">
                  <c:v>755</c:v>
                </c:pt>
                <c:pt idx="37">
                  <c:v>941</c:v>
                </c:pt>
                <c:pt idx="38">
                  <c:v>882</c:v>
                </c:pt>
                <c:pt idx="39">
                  <c:v>932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31-4164-ABC4-CCF1AB3D6DD0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</c:v>
                </c:pt>
                <c:pt idx="18">
                  <c:v>10</c:v>
                </c:pt>
                <c:pt idx="19">
                  <c:v>15</c:v>
                </c:pt>
                <c:pt idx="20">
                  <c:v>16</c:v>
                </c:pt>
                <c:pt idx="21">
                  <c:v>19</c:v>
                </c:pt>
                <c:pt idx="22">
                  <c:v>22</c:v>
                </c:pt>
                <c:pt idx="23">
                  <c:v>22</c:v>
                </c:pt>
                <c:pt idx="24">
                  <c:v>27</c:v>
                </c:pt>
                <c:pt idx="25">
                  <c:v>29</c:v>
                </c:pt>
                <c:pt idx="26">
                  <c:v>29</c:v>
                </c:pt>
                <c:pt idx="27">
                  <c:v>29</c:v>
                </c:pt>
                <c:pt idx="28">
                  <c:v>33</c:v>
                </c:pt>
                <c:pt idx="29">
                  <c:v>35</c:v>
                </c:pt>
                <c:pt idx="30">
                  <c:v>41</c:v>
                </c:pt>
                <c:pt idx="31">
                  <c:v>42</c:v>
                </c:pt>
                <c:pt idx="32">
                  <c:v>43</c:v>
                </c:pt>
                <c:pt idx="33">
                  <c:v>45</c:v>
                </c:pt>
                <c:pt idx="34">
                  <c:v>47</c:v>
                </c:pt>
                <c:pt idx="35">
                  <c:v>49</c:v>
                </c:pt>
                <c:pt idx="36">
                  <c:v>52</c:v>
                </c:pt>
                <c:pt idx="37">
                  <c:v>54</c:v>
                </c:pt>
                <c:pt idx="38">
                  <c:v>54</c:v>
                </c:pt>
                <c:pt idx="39">
                  <c:v>56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9.5238095238095344E-2</c:v>
                </c:pt>
                <c:pt idx="1">
                  <c:v>9.5238095238095344E-2</c:v>
                </c:pt>
                <c:pt idx="2">
                  <c:v>9.3855213885384162E-2</c:v>
                </c:pt>
                <c:pt idx="3">
                  <c:v>9.1235973140316437E-2</c:v>
                </c:pt>
                <c:pt idx="4">
                  <c:v>8.7502749098723534E-2</c:v>
                </c:pt>
                <c:pt idx="5">
                  <c:v>8.9993113140775557E-2</c:v>
                </c:pt>
                <c:pt idx="6">
                  <c:v>9.8565262867934392E-2</c:v>
                </c:pt>
                <c:pt idx="7">
                  <c:v>0.10804724522285143</c:v>
                </c:pt>
                <c:pt idx="8">
                  <c:v>0.11198787537690065</c:v>
                </c:pt>
                <c:pt idx="9">
                  <c:v>0.11095557128452545</c:v>
                </c:pt>
                <c:pt idx="10">
                  <c:v>0.10485872963075719</c:v>
                </c:pt>
                <c:pt idx="11">
                  <c:v>9.3407748616697914E-2</c:v>
                </c:pt>
                <c:pt idx="12">
                  <c:v>4.9892656452014017E-2</c:v>
                </c:pt>
                <c:pt idx="13">
                  <c:v>5.9145606695459874E-3</c:v>
                </c:pt>
                <c:pt idx="14">
                  <c:v>-1.8164914697727741E-2</c:v>
                </c:pt>
                <c:pt idx="15">
                  <c:v>-7.2426843405669255E-3</c:v>
                </c:pt>
                <c:pt idx="16">
                  <c:v>7.781579399646521E-3</c:v>
                </c:pt>
                <c:pt idx="17">
                  <c:v>3.0566233158508E-2</c:v>
                </c:pt>
                <c:pt idx="18">
                  <c:v>6.8207350567768943E-2</c:v>
                </c:pt>
                <c:pt idx="19">
                  <c:v>9.5170023250855287E-2</c:v>
                </c:pt>
                <c:pt idx="20">
                  <c:v>8.8692779654723955E-2</c:v>
                </c:pt>
                <c:pt idx="21">
                  <c:v>6.8148666412584616E-2</c:v>
                </c:pt>
                <c:pt idx="22">
                  <c:v>7.3888808797194352E-2</c:v>
                </c:pt>
                <c:pt idx="23">
                  <c:v>7.6991419117641582E-2</c:v>
                </c:pt>
                <c:pt idx="24">
                  <c:v>6.4639718261056675E-2</c:v>
                </c:pt>
                <c:pt idx="25">
                  <c:v>3.2566336602623723E-2</c:v>
                </c:pt>
                <c:pt idx="26">
                  <c:v>6.3799473551674479E-3</c:v>
                </c:pt>
                <c:pt idx="27">
                  <c:v>-1.6492849043775421E-2</c:v>
                </c:pt>
                <c:pt idx="28">
                  <c:v>-2.529097077423163E-2</c:v>
                </c:pt>
                <c:pt idx="29">
                  <c:v>-3.7213704699752492E-2</c:v>
                </c:pt>
                <c:pt idx="30">
                  <c:v>-2.2459332155314593E-2</c:v>
                </c:pt>
                <c:pt idx="31">
                  <c:v>-9.1750561984460521E-4</c:v>
                </c:pt>
                <c:pt idx="32">
                  <c:v>2.4756127323387094E-2</c:v>
                </c:pt>
                <c:pt idx="33">
                  <c:v>2.7476587927756979E-2</c:v>
                </c:pt>
                <c:pt idx="34">
                  <c:v>3.387248260932544E-2</c:v>
                </c:pt>
                <c:pt idx="35">
                  <c:v>5.8392118474046052E-2</c:v>
                </c:pt>
                <c:pt idx="36">
                  <c:v>8.9059147958698917E-2</c:v>
                </c:pt>
                <c:pt idx="37">
                  <c:v>0.12729117267065782</c:v>
                </c:pt>
                <c:pt idx="38">
                  <c:v>0.14392602199887206</c:v>
                </c:pt>
                <c:pt idx="39">
                  <c:v>0.16090039201672482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31-4164-ABC4-CCF1AB3D6DD0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43882</c:v>
                </c:pt>
                <c:pt idx="1">
                  <c:v>43883</c:v>
                </c:pt>
                <c:pt idx="2">
                  <c:v>43884</c:v>
                </c:pt>
                <c:pt idx="3">
                  <c:v>43885</c:v>
                </c:pt>
                <c:pt idx="4">
                  <c:v>43886</c:v>
                </c:pt>
                <c:pt idx="5">
                  <c:v>43887</c:v>
                </c:pt>
                <c:pt idx="6">
                  <c:v>43888</c:v>
                </c:pt>
                <c:pt idx="7">
                  <c:v>43889</c:v>
                </c:pt>
                <c:pt idx="8">
                  <c:v>43890</c:v>
                </c:pt>
                <c:pt idx="9">
                  <c:v>43891</c:v>
                </c:pt>
                <c:pt idx="10">
                  <c:v>43892</c:v>
                </c:pt>
                <c:pt idx="11">
                  <c:v>43893</c:v>
                </c:pt>
                <c:pt idx="12">
                  <c:v>43894</c:v>
                </c:pt>
                <c:pt idx="13">
                  <c:v>43895</c:v>
                </c:pt>
                <c:pt idx="14">
                  <c:v>43896</c:v>
                </c:pt>
                <c:pt idx="15">
                  <c:v>43897</c:v>
                </c:pt>
                <c:pt idx="16">
                  <c:v>43898</c:v>
                </c:pt>
                <c:pt idx="17">
                  <c:v>43899</c:v>
                </c:pt>
                <c:pt idx="18">
                  <c:v>43900</c:v>
                </c:pt>
                <c:pt idx="19">
                  <c:v>43901</c:v>
                </c:pt>
                <c:pt idx="20">
                  <c:v>43902</c:v>
                </c:pt>
                <c:pt idx="21">
                  <c:v>43903</c:v>
                </c:pt>
                <c:pt idx="22">
                  <c:v>43904</c:v>
                </c:pt>
                <c:pt idx="23">
                  <c:v>43905</c:v>
                </c:pt>
                <c:pt idx="24">
                  <c:v>43906</c:v>
                </c:pt>
                <c:pt idx="25">
                  <c:v>43907</c:v>
                </c:pt>
                <c:pt idx="26">
                  <c:v>43908</c:v>
                </c:pt>
                <c:pt idx="27">
                  <c:v>43909</c:v>
                </c:pt>
                <c:pt idx="28">
                  <c:v>43910</c:v>
                </c:pt>
                <c:pt idx="29">
                  <c:v>43911</c:v>
                </c:pt>
                <c:pt idx="30">
                  <c:v>43912</c:v>
                </c:pt>
                <c:pt idx="31">
                  <c:v>43913</c:v>
                </c:pt>
                <c:pt idx="32">
                  <c:v>43914</c:v>
                </c:pt>
                <c:pt idx="33">
                  <c:v>43915</c:v>
                </c:pt>
                <c:pt idx="34">
                  <c:v>43916</c:v>
                </c:pt>
                <c:pt idx="35">
                  <c:v>43917</c:v>
                </c:pt>
                <c:pt idx="36">
                  <c:v>43918</c:v>
                </c:pt>
                <c:pt idx="37">
                  <c:v>43919</c:v>
                </c:pt>
                <c:pt idx="38">
                  <c:v>43920</c:v>
                </c:pt>
                <c:pt idx="39">
                  <c:v>43921</c:v>
                </c:pt>
                <c:pt idx="40">
                  <c:v>43922</c:v>
                </c:pt>
                <c:pt idx="41">
                  <c:v>43923</c:v>
                </c:pt>
                <c:pt idx="42">
                  <c:v>43924</c:v>
                </c:pt>
                <c:pt idx="43">
                  <c:v>43925</c:v>
                </c:pt>
                <c:pt idx="44">
                  <c:v>43926</c:v>
                </c:pt>
                <c:pt idx="45">
                  <c:v>43927</c:v>
                </c:pt>
                <c:pt idx="46">
                  <c:v>43928</c:v>
                </c:pt>
                <c:pt idx="47">
                  <c:v>43929</c:v>
                </c:pt>
                <c:pt idx="48">
                  <c:v>43930</c:v>
                </c:pt>
                <c:pt idx="49">
                  <c:v>43931</c:v>
                </c:pt>
                <c:pt idx="50">
                  <c:v>43932</c:v>
                </c:pt>
                <c:pt idx="51">
                  <c:v>43933</c:v>
                </c:pt>
                <c:pt idx="52">
                  <c:v>43934</c:v>
                </c:pt>
                <c:pt idx="53">
                  <c:v>43935</c:v>
                </c:pt>
                <c:pt idx="54">
                  <c:v>43936</c:v>
                </c:pt>
                <c:pt idx="55">
                  <c:v>43937</c:v>
                </c:pt>
                <c:pt idx="56">
                  <c:v>43938</c:v>
                </c:pt>
                <c:pt idx="57">
                  <c:v>43939</c:v>
                </c:pt>
                <c:pt idx="58">
                  <c:v>43940</c:v>
                </c:pt>
                <c:pt idx="59">
                  <c:v>43941</c:v>
                </c:pt>
                <c:pt idx="60">
                  <c:v>43942</c:v>
                </c:pt>
                <c:pt idx="61">
                  <c:v>43943</c:v>
                </c:pt>
                <c:pt idx="62">
                  <c:v>43944</c:v>
                </c:pt>
                <c:pt idx="63">
                  <c:v>43945</c:v>
                </c:pt>
                <c:pt idx="64">
                  <c:v>43946</c:v>
                </c:pt>
                <c:pt idx="65">
                  <c:v>43947</c:v>
                </c:pt>
                <c:pt idx="66">
                  <c:v>43948</c:v>
                </c:pt>
                <c:pt idx="67">
                  <c:v>43949</c:v>
                </c:pt>
                <c:pt idx="68">
                  <c:v>43950</c:v>
                </c:pt>
                <c:pt idx="69">
                  <c:v>43951</c:v>
                </c:pt>
                <c:pt idx="70">
                  <c:v>43952</c:v>
                </c:pt>
                <c:pt idx="71">
                  <c:v>43953</c:v>
                </c:pt>
                <c:pt idx="72">
                  <c:v>43954</c:v>
                </c:pt>
                <c:pt idx="73">
                  <c:v>43955</c:v>
                </c:pt>
                <c:pt idx="74">
                  <c:v>43956</c:v>
                </c:pt>
                <c:pt idx="75">
                  <c:v>43957</c:v>
                </c:pt>
                <c:pt idx="76">
                  <c:v>43958</c:v>
                </c:pt>
                <c:pt idx="77">
                  <c:v>43959</c:v>
                </c:pt>
                <c:pt idx="78">
                  <c:v>43960</c:v>
                </c:pt>
                <c:pt idx="79">
                  <c:v>43961</c:v>
                </c:pt>
                <c:pt idx="80">
                  <c:v>43962</c:v>
                </c:pt>
                <c:pt idx="81">
                  <c:v>43963</c:v>
                </c:pt>
                <c:pt idx="82">
                  <c:v>43964</c:v>
                </c:pt>
                <c:pt idx="83">
                  <c:v>43965</c:v>
                </c:pt>
                <c:pt idx="84">
                  <c:v>43966</c:v>
                </c:pt>
                <c:pt idx="85">
                  <c:v>43967</c:v>
                </c:pt>
                <c:pt idx="86">
                  <c:v>43968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43974</c:v>
                </c:pt>
                <c:pt idx="93">
                  <c:v>43975</c:v>
                </c:pt>
                <c:pt idx="94">
                  <c:v>43976</c:v>
                </c:pt>
                <c:pt idx="95">
                  <c:v>43977</c:v>
                </c:pt>
                <c:pt idx="96">
                  <c:v>43978</c:v>
                </c:pt>
                <c:pt idx="97">
                  <c:v>43979</c:v>
                </c:pt>
                <c:pt idx="98">
                  <c:v>43980</c:v>
                </c:pt>
                <c:pt idx="99">
                  <c:v>43981</c:v>
                </c:pt>
                <c:pt idx="100">
                  <c:v>43982</c:v>
                </c:pt>
                <c:pt idx="101">
                  <c:v>43983</c:v>
                </c:pt>
                <c:pt idx="102">
                  <c:v>43984</c:v>
                </c:pt>
                <c:pt idx="103">
                  <c:v>43985</c:v>
                </c:pt>
                <c:pt idx="104">
                  <c:v>43986</c:v>
                </c:pt>
                <c:pt idx="105">
                  <c:v>43987</c:v>
                </c:pt>
                <c:pt idx="106">
                  <c:v>43988</c:v>
                </c:pt>
                <c:pt idx="107">
                  <c:v>43989</c:v>
                </c:pt>
                <c:pt idx="108">
                  <c:v>43990</c:v>
                </c:pt>
                <c:pt idx="109">
                  <c:v>43991</c:v>
                </c:pt>
                <c:pt idx="110">
                  <c:v>43992</c:v>
                </c:pt>
                <c:pt idx="111">
                  <c:v>43993</c:v>
                </c:pt>
                <c:pt idx="112">
                  <c:v>43994</c:v>
                </c:pt>
                <c:pt idx="113">
                  <c:v>43995</c:v>
                </c:pt>
                <c:pt idx="114">
                  <c:v>43996</c:v>
                </c:pt>
                <c:pt idx="115">
                  <c:v>43997</c:v>
                </c:pt>
                <c:pt idx="116">
                  <c:v>43998</c:v>
                </c:pt>
                <c:pt idx="117">
                  <c:v>43999</c:v>
                </c:pt>
                <c:pt idx="118">
                  <c:v>44000</c:v>
                </c:pt>
                <c:pt idx="119">
                  <c:v>44001</c:v>
                </c:pt>
                <c:pt idx="120">
                  <c:v>44002</c:v>
                </c:pt>
                <c:pt idx="121">
                  <c:v>44003</c:v>
                </c:pt>
                <c:pt idx="122">
                  <c:v>44004</c:v>
                </c:pt>
                <c:pt idx="123">
                  <c:v>44005</c:v>
                </c:pt>
                <c:pt idx="124">
                  <c:v>44006</c:v>
                </c:pt>
                <c:pt idx="125">
                  <c:v>44007</c:v>
                </c:pt>
                <c:pt idx="126">
                  <c:v>44008</c:v>
                </c:pt>
                <c:pt idx="127">
                  <c:v>44009</c:v>
                </c:pt>
                <c:pt idx="128">
                  <c:v>44010</c:v>
                </c:pt>
                <c:pt idx="129">
                  <c:v>44011</c:v>
                </c:pt>
                <c:pt idx="130">
                  <c:v>44012</c:v>
                </c:pt>
                <c:pt idx="131">
                  <c:v>44013</c:v>
                </c:pt>
                <c:pt idx="132">
                  <c:v>44014</c:v>
                </c:pt>
                <c:pt idx="133">
                  <c:v>44015</c:v>
                </c:pt>
                <c:pt idx="134">
                  <c:v>44016</c:v>
                </c:pt>
                <c:pt idx="135">
                  <c:v>44017</c:v>
                </c:pt>
                <c:pt idx="136">
                  <c:v>44018</c:v>
                </c:pt>
                <c:pt idx="137">
                  <c:v>44019</c:v>
                </c:pt>
                <c:pt idx="138">
                  <c:v>44020</c:v>
                </c:pt>
                <c:pt idx="139">
                  <c:v>44021</c:v>
                </c:pt>
                <c:pt idx="140">
                  <c:v>44022</c:v>
                </c:pt>
                <c:pt idx="141">
                  <c:v>44023</c:v>
                </c:pt>
                <c:pt idx="142">
                  <c:v>44024</c:v>
                </c:pt>
                <c:pt idx="143">
                  <c:v>44025</c:v>
                </c:pt>
                <c:pt idx="144">
                  <c:v>44026</c:v>
                </c:pt>
                <c:pt idx="145">
                  <c:v>44027</c:v>
                </c:pt>
                <c:pt idx="146">
                  <c:v>44028</c:v>
                </c:pt>
                <c:pt idx="147">
                  <c:v>44029</c:v>
                </c:pt>
                <c:pt idx="148">
                  <c:v>44030</c:v>
                </c:pt>
                <c:pt idx="149">
                  <c:v>44031</c:v>
                </c:pt>
                <c:pt idx="150">
                  <c:v>44032</c:v>
                </c:pt>
                <c:pt idx="151">
                  <c:v>44033</c:v>
                </c:pt>
                <c:pt idx="152">
                  <c:v>44034</c:v>
                </c:pt>
                <c:pt idx="153">
                  <c:v>44035</c:v>
                </c:pt>
                <c:pt idx="154">
                  <c:v>44036</c:v>
                </c:pt>
                <c:pt idx="155">
                  <c:v>44037</c:v>
                </c:pt>
                <c:pt idx="156">
                  <c:v>44038</c:v>
                </c:pt>
                <c:pt idx="157">
                  <c:v>44039</c:v>
                </c:pt>
                <c:pt idx="158">
                  <c:v>44040</c:v>
                </c:pt>
                <c:pt idx="159">
                  <c:v>44041</c:v>
                </c:pt>
                <c:pt idx="160">
                  <c:v>44042</c:v>
                </c:pt>
                <c:pt idx="161">
                  <c:v>44043</c:v>
                </c:pt>
                <c:pt idx="162">
                  <c:v>44044</c:v>
                </c:pt>
                <c:pt idx="163">
                  <c:v>44045</c:v>
                </c:pt>
                <c:pt idx="164">
                  <c:v>44046</c:v>
                </c:pt>
                <c:pt idx="165">
                  <c:v>44047</c:v>
                </c:pt>
                <c:pt idx="166">
                  <c:v>44048</c:v>
                </c:pt>
                <c:pt idx="167">
                  <c:v>44049</c:v>
                </c:pt>
                <c:pt idx="168">
                  <c:v>44050</c:v>
                </c:pt>
                <c:pt idx="169">
                  <c:v>44051</c:v>
                </c:pt>
                <c:pt idx="170">
                  <c:v>44052</c:v>
                </c:pt>
                <c:pt idx="171">
                  <c:v>44053</c:v>
                </c:pt>
                <c:pt idx="172">
                  <c:v>44054</c:v>
                </c:pt>
                <c:pt idx="173">
                  <c:v>44055</c:v>
                </c:pt>
                <c:pt idx="174">
                  <c:v>44056</c:v>
                </c:pt>
                <c:pt idx="175">
                  <c:v>44057</c:v>
                </c:pt>
                <c:pt idx="176">
                  <c:v>44058</c:v>
                </c:pt>
                <c:pt idx="177">
                  <c:v>44059</c:v>
                </c:pt>
                <c:pt idx="178">
                  <c:v>44060</c:v>
                </c:pt>
                <c:pt idx="179">
                  <c:v>44061</c:v>
                </c:pt>
                <c:pt idx="180">
                  <c:v>44062</c:v>
                </c:pt>
                <c:pt idx="181">
                  <c:v>44063</c:v>
                </c:pt>
                <c:pt idx="182">
                  <c:v>44064</c:v>
                </c:pt>
                <c:pt idx="183">
                  <c:v>44065</c:v>
                </c:pt>
                <c:pt idx="184">
                  <c:v>44066</c:v>
                </c:pt>
                <c:pt idx="185">
                  <c:v>44067</c:v>
                </c:pt>
                <c:pt idx="186">
                  <c:v>44068</c:v>
                </c:pt>
                <c:pt idx="187">
                  <c:v>44069</c:v>
                </c:pt>
                <c:pt idx="188">
                  <c:v>44070</c:v>
                </c:pt>
                <c:pt idx="189">
                  <c:v>44071</c:v>
                </c:pt>
                <c:pt idx="190">
                  <c:v>44072</c:v>
                </c:pt>
                <c:pt idx="191">
                  <c:v>44073</c:v>
                </c:pt>
                <c:pt idx="192">
                  <c:v>44074</c:v>
                </c:pt>
                <c:pt idx="193">
                  <c:v>44075</c:v>
                </c:pt>
                <c:pt idx="194">
                  <c:v>44076</c:v>
                </c:pt>
                <c:pt idx="195">
                  <c:v>44077</c:v>
                </c:pt>
                <c:pt idx="196">
                  <c:v>44078</c:v>
                </c:pt>
                <c:pt idx="197">
                  <c:v>44079</c:v>
                </c:pt>
                <c:pt idx="198">
                  <c:v>44080</c:v>
                </c:pt>
                <c:pt idx="199">
                  <c:v>44081</c:v>
                </c:pt>
                <c:pt idx="200">
                  <c:v>44082</c:v>
                </c:pt>
                <c:pt idx="201">
                  <c:v>44083</c:v>
                </c:pt>
                <c:pt idx="202">
                  <c:v>44084</c:v>
                </c:pt>
                <c:pt idx="203">
                  <c:v>44085</c:v>
                </c:pt>
                <c:pt idx="204">
                  <c:v>44086</c:v>
                </c:pt>
                <c:pt idx="205">
                  <c:v>44087</c:v>
                </c:pt>
                <c:pt idx="206">
                  <c:v>44088</c:v>
                </c:pt>
                <c:pt idx="207">
                  <c:v>44089</c:v>
                </c:pt>
                <c:pt idx="208">
                  <c:v>44090</c:v>
                </c:pt>
                <c:pt idx="209">
                  <c:v>44091</c:v>
                </c:pt>
                <c:pt idx="210">
                  <c:v>44092</c:v>
                </c:pt>
                <c:pt idx="211">
                  <c:v>44093</c:v>
                </c:pt>
                <c:pt idx="212">
                  <c:v>44094</c:v>
                </c:pt>
                <c:pt idx="213">
                  <c:v>44095</c:v>
                </c:pt>
                <c:pt idx="214">
                  <c:v>44096</c:v>
                </c:pt>
                <c:pt idx="215">
                  <c:v>44097</c:v>
                </c:pt>
                <c:pt idx="216">
                  <c:v>44098</c:v>
                </c:pt>
                <c:pt idx="217">
                  <c:v>44099</c:v>
                </c:pt>
                <c:pt idx="218">
                  <c:v>44100</c:v>
                </c:pt>
                <c:pt idx="219">
                  <c:v>44101</c:v>
                </c:pt>
                <c:pt idx="220">
                  <c:v>44102</c:v>
                </c:pt>
                <c:pt idx="221">
                  <c:v>44103</c:v>
                </c:pt>
                <c:pt idx="222">
                  <c:v>44104</c:v>
                </c:pt>
                <c:pt idx="223">
                  <c:v>44105</c:v>
                </c:pt>
                <c:pt idx="224">
                  <c:v>44106</c:v>
                </c:pt>
                <c:pt idx="225">
                  <c:v>44107</c:v>
                </c:pt>
                <c:pt idx="226">
                  <c:v>44108</c:v>
                </c:pt>
                <c:pt idx="227">
                  <c:v>44109</c:v>
                </c:pt>
                <c:pt idx="228">
                  <c:v>44110</c:v>
                </c:pt>
                <c:pt idx="229">
                  <c:v>44111</c:v>
                </c:pt>
                <c:pt idx="230">
                  <c:v>44112</c:v>
                </c:pt>
                <c:pt idx="231">
                  <c:v>44113</c:v>
                </c:pt>
                <c:pt idx="232">
                  <c:v>44114</c:v>
                </c:pt>
                <c:pt idx="233">
                  <c:v>44115</c:v>
                </c:pt>
                <c:pt idx="234">
                  <c:v>44116</c:v>
                </c:pt>
                <c:pt idx="235">
                  <c:v>44117</c:v>
                </c:pt>
                <c:pt idx="236">
                  <c:v>44118</c:v>
                </c:pt>
                <c:pt idx="237">
                  <c:v>44119</c:v>
                </c:pt>
                <c:pt idx="238">
                  <c:v>44120</c:v>
                </c:pt>
                <c:pt idx="239">
                  <c:v>44121</c:v>
                </c:pt>
                <c:pt idx="240">
                  <c:v>44122</c:v>
                </c:pt>
                <c:pt idx="241">
                  <c:v>44123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0.13145065555891181</c:v>
                </c:pt>
                <c:pt idx="21">
                  <c:v>0.18946895087358465</c:v>
                </c:pt>
                <c:pt idx="22">
                  <c:v>0.17148896473135244</c:v>
                </c:pt>
                <c:pt idx="23">
                  <c:v>0.1718882372912677</c:v>
                </c:pt>
                <c:pt idx="24">
                  <c:v>0.15545197969062649</c:v>
                </c:pt>
                <c:pt idx="25">
                  <c:v>0.14061832177438327</c:v>
                </c:pt>
                <c:pt idx="26">
                  <c:v>0.11310018747870039</c:v>
                </c:pt>
                <c:pt idx="27">
                  <c:v>9.0453315276804558E-2</c:v>
                </c:pt>
                <c:pt idx="28">
                  <c:v>7.6509259270649846E-2</c:v>
                </c:pt>
                <c:pt idx="29">
                  <c:v>6.4850012105732116E-2</c:v>
                </c:pt>
                <c:pt idx="30">
                  <c:v>6.9818088360324035E-2</c:v>
                </c:pt>
                <c:pt idx="31">
                  <c:v>6.7289933981643221E-2</c:v>
                </c:pt>
                <c:pt idx="32">
                  <c:v>7.6854741355738929E-2</c:v>
                </c:pt>
                <c:pt idx="33">
                  <c:v>7.428327052737245E-2</c:v>
                </c:pt>
                <c:pt idx="34">
                  <c:v>6.8898405519664863E-2</c:v>
                </c:pt>
                <c:pt idx="35">
                  <c:v>5.3673579909939484E-2</c:v>
                </c:pt>
                <c:pt idx="36">
                  <c:v>4.6888551355056908E-2</c:v>
                </c:pt>
                <c:pt idx="37">
                  <c:v>4.2181125651868566E-2</c:v>
                </c:pt>
                <c:pt idx="38">
                  <c:v>4.2462650805350798E-2</c:v>
                </c:pt>
                <c:pt idx="39">
                  <c:v>3.9803235550439187E-2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31-4164-ABC4-CCF1AB3D6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6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188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43"/>
          <c:order val="10"/>
          <c:tx>
            <c:strRef>
              <c:f>Days_Since_100!$H$19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  <c:pt idx="19">
                  <c:v>12874</c:v>
                </c:pt>
                <c:pt idx="20">
                  <c:v>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11"/>
          <c:tx>
            <c:strRef>
              <c:f>Days_Since_100!$H$20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  <c:pt idx="12">
                  <c:v>13531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8"/>
          <c:order val="12"/>
          <c:tx>
            <c:strRef>
              <c:f>Days_Since_100!$H$23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  <c:pt idx="19">
                  <c:v>7657</c:v>
                </c:pt>
                <c:pt idx="20">
                  <c:v>8271</c:v>
                </c:pt>
                <c:pt idx="21">
                  <c:v>8788</c:v>
                </c:pt>
                <c:pt idx="22">
                  <c:v>9618</c:v>
                </c:pt>
                <c:pt idx="23">
                  <c:v>10180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51"/>
          <c:order val="13"/>
          <c:tx>
            <c:strRef>
              <c:f>Days_Since_100!$H$24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  <c:pt idx="37">
                  <c:v>9478</c:v>
                </c:pt>
                <c:pt idx="38">
                  <c:v>9583</c:v>
                </c:pt>
                <c:pt idx="39">
                  <c:v>9661</c:v>
                </c:pt>
                <c:pt idx="40">
                  <c:v>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14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  <c:pt idx="17">
                  <c:v>5576</c:v>
                </c:pt>
                <c:pt idx="18">
                  <c:v>6280</c:v>
                </c:pt>
                <c:pt idx="19">
                  <c:v>7398</c:v>
                </c:pt>
                <c:pt idx="20">
                  <c:v>8527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15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  <c:pt idx="15">
                  <c:v>5170</c:v>
                </c:pt>
                <c:pt idx="16">
                  <c:v>5962</c:v>
                </c:pt>
                <c:pt idx="17">
                  <c:v>6408</c:v>
                </c:pt>
                <c:pt idx="18">
                  <c:v>7443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16"/>
          <c:tx>
            <c:strRef>
              <c:f>Days_Since_100!$H$27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  <c:pt idx="15">
                  <c:v>3904</c:v>
                </c:pt>
                <c:pt idx="16">
                  <c:v>4256</c:v>
                </c:pt>
                <c:pt idx="17">
                  <c:v>4579</c:v>
                </c:pt>
                <c:pt idx="18">
                  <c:v>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17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  <c:pt idx="16">
                  <c:v>3619</c:v>
                </c:pt>
                <c:pt idx="17">
                  <c:v>4247</c:v>
                </c:pt>
                <c:pt idx="18">
                  <c:v>4695</c:v>
                </c:pt>
                <c:pt idx="19">
                  <c:v>5358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18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  <c:pt idx="20">
                  <c:v>4492</c:v>
                </c:pt>
                <c:pt idx="21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19"/>
          <c:tx>
            <c:strRef>
              <c:f>Days_Since_100!$H$30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  <c:pt idx="25">
                  <c:v>4641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20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  <c:pt idx="18">
                  <c:v>3640</c:v>
                </c:pt>
                <c:pt idx="19">
                  <c:v>3984</c:v>
                </c:pt>
                <c:pt idx="20">
                  <c:v>4361</c:v>
                </c:pt>
                <c:pt idx="21">
                  <c:v>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21"/>
          <c:tx>
            <c:strRef>
              <c:f>Days_Since_100!$H$32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  <c:pt idx="25">
                  <c:v>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22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  <c:pt idx="18">
                  <c:v>3308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23"/>
          <c:tx>
            <c:strRef>
              <c:f>Days_Since_100!$H$34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  <c:pt idx="17">
                  <c:v>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24"/>
          <c:tx>
            <c:strRef>
              <c:f>Days_Since_100!$H$35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25"/>
          <c:tx>
            <c:strRef>
              <c:f>Days_Since_100!$H$36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  <c:pt idx="21">
                  <c:v>2626</c:v>
                </c:pt>
                <c:pt idx="22">
                  <c:v>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26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  <c:pt idx="15">
                  <c:v>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27"/>
          <c:tx>
            <c:strRef>
              <c:f>Days_Since_100!$H$38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  <c:pt idx="14">
                  <c:v>2337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28"/>
          <c:tx>
            <c:strRef>
              <c:f>Days_Since_100!$H$39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  <c:pt idx="17">
                  <c:v>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29"/>
          <c:tx>
            <c:strRef>
              <c:f>Days_Since_100!$H$40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  <c:pt idx="17">
                  <c:v>2245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30"/>
          <c:tx>
            <c:strRef>
              <c:f>Days_Since_100!$H$41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  <c:pt idx="13">
                  <c:v>2240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31"/>
          <c:tx>
            <c:strRef>
              <c:f>Days_Since_100!$H$42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  <c:pt idx="14">
                  <c:v>2178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32"/>
          <c:tx>
            <c:strRef>
              <c:f>Days_Since_100!$H$43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  <c:pt idx="17">
                  <c:v>2084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33"/>
          <c:tx>
            <c:strRef>
              <c:f>Days_Since_100!$H$44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34"/>
          <c:tx>
            <c:strRef>
              <c:f>Days_Since_100!$H$45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  <c:pt idx="15">
                  <c:v>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35"/>
          <c:tx>
            <c:strRef>
              <c:f>Days_Since_100!$H$46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  <c:pt idx="16">
                  <c:v>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36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  <c:pt idx="17">
                  <c:v>1563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37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  <c:pt idx="16">
                  <c:v>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38"/>
          <c:tx>
            <c:strRef>
              <c:f>Days_Since_100!$H$49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  <c:pt idx="15">
                  <c:v>1167</c:v>
                </c:pt>
                <c:pt idx="16">
                  <c:v>1240</c:v>
                </c:pt>
                <c:pt idx="17">
                  <c:v>1352</c:v>
                </c:pt>
                <c:pt idx="18">
                  <c:v>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39"/>
          <c:tx>
            <c:strRef>
              <c:f>Days_Since_100!$H$50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  <c:pt idx="17">
                  <c:v>1397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40"/>
          <c:tx>
            <c:strRef>
              <c:f>Days_Since_100!$H$51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  <c:pt idx="13">
                  <c:v>1353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41"/>
          <c:tx>
            <c:strRef>
              <c:f>Days_Since_100!$H$52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  <c:pt idx="15">
                  <c:v>1061</c:v>
                </c:pt>
                <c:pt idx="16">
                  <c:v>1156</c:v>
                </c:pt>
                <c:pt idx="17">
                  <c:v>1212</c:v>
                </c:pt>
                <c:pt idx="18">
                  <c:v>1314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42"/>
          <c:tx>
            <c:strRef>
              <c:f>Days_Since_100!$H$53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  <c:pt idx="12">
                  <c:v>1181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43"/>
          <c:tx>
            <c:strRef>
              <c:f>Days_Since_100!$H$54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  <c:pt idx="19">
                  <c:v>1135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44"/>
          <c:tx>
            <c:strRef>
              <c:f>Days_Since_100!$H$55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  <c:pt idx="10">
                  <c:v>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45"/>
          <c:tx>
            <c:strRef>
              <c:f>Days_Since_100!$H$56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  <c:pt idx="12">
                  <c:v>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46"/>
          <c:tx>
            <c:strRef>
              <c:f>Days_Since_100!$H$57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  <c:pt idx="14">
                  <c:v>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47"/>
          <c:tx>
            <c:strRef>
              <c:f>Days_Since_100!$H$58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  <c:pt idx="11">
                  <c:v>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48"/>
          <c:tx>
            <c:strRef>
              <c:f>Days_Since_100!$H$59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  <c:pt idx="31">
                  <c:v>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49"/>
          <c:tx>
            <c:strRef>
              <c:f>Days_Since_100!$H$60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  <c:pt idx="12">
                  <c:v>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50"/>
          <c:tx>
            <c:strRef>
              <c:f>Days_Since_100!$H$61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  <c:pt idx="12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51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  <c:pt idx="12">
                  <c:v>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52"/>
          <c:tx>
            <c:strRef>
              <c:f>Days_Since_100!$H$63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  <c:pt idx="18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53"/>
          <c:tx>
            <c:strRef>
              <c:f>Days_Since_100!$H$64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  <c:pt idx="20">
                  <c:v>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54"/>
          <c:tx>
            <c:strRef>
              <c:f>Days_Since_100!$H$65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  <c:pt idx="17">
                  <c:v>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55"/>
          <c:tx>
            <c:strRef>
              <c:f>Days_Since_100!$H$66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  <c:pt idx="10">
                  <c:v>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56"/>
          <c:tx>
            <c:strRef>
              <c:f>Days_Since_100!$H$67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  <c:pt idx="17">
                  <c:v>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57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  <c:pt idx="15">
                  <c:v>506</c:v>
                </c:pt>
                <c:pt idx="16">
                  <c:v>547</c:v>
                </c:pt>
                <c:pt idx="17">
                  <c:v>630</c:v>
                </c:pt>
                <c:pt idx="18">
                  <c:v>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58"/>
          <c:tx>
            <c:strRef>
              <c:f>Days_Since_100!$H$69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  <c:pt idx="13">
                  <c:v>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59"/>
          <c:tx>
            <c:strRef>
              <c:f>Days_Since_100!$H$70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  <c:pt idx="9">
                  <c:v>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60"/>
          <c:tx>
            <c:strRef>
              <c:f>Days_Since_100!$H$71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  <c:pt idx="6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61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62"/>
          <c:tx>
            <c:strRef>
              <c:f>Days_Since_100!$H$73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  <c:pt idx="18">
                  <c:v>476</c:v>
                </c:pt>
                <c:pt idx="19">
                  <c:v>499</c:v>
                </c:pt>
                <c:pt idx="20">
                  <c:v>515</c:v>
                </c:pt>
                <c:pt idx="21">
                  <c:v>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63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  <c:pt idx="9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64"/>
          <c:tx>
            <c:strRef>
              <c:f>Days_Since_100!$H$75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  <c:pt idx="12">
                  <c:v>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65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  <c:pt idx="10">
                  <c:v>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66"/>
          <c:tx>
            <c:strRef>
              <c:f>Days_Since_100!$H$77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  <c:pt idx="13">
                  <c:v>412</c:v>
                </c:pt>
                <c:pt idx="14">
                  <c:v>438</c:v>
                </c:pt>
                <c:pt idx="15">
                  <c:v>446</c:v>
                </c:pt>
                <c:pt idx="16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67"/>
          <c:tx>
            <c:strRef>
              <c:f>Days_Since_100!$H$78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  <c:pt idx="9">
                  <c:v>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68"/>
          <c:tx>
            <c:strRef>
              <c:f>Days_Since_100!$H$79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  <c:pt idx="11">
                  <c:v>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69"/>
          <c:tx>
            <c:strRef>
              <c:f>Days_Since_100!$H$80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  <c:pt idx="11">
                  <c:v>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70"/>
          <c:tx>
            <c:strRef>
              <c:f>Days_Since_100!$H$81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  <c:pt idx="7">
                  <c:v>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71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  <c:pt idx="9">
                  <c:v>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72"/>
          <c:tx>
            <c:strRef>
              <c:f>Days_Since_100!$H$83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  <c:pt idx="13">
                  <c:v>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73"/>
          <c:tx>
            <c:strRef>
              <c:f>Days_Since_100!$H$84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  <c:pt idx="8">
                  <c:v>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74"/>
          <c:tx>
            <c:strRef>
              <c:f>Days_Since_100!$H$85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  <c:pt idx="7">
                  <c:v>295</c:v>
                </c:pt>
                <c:pt idx="8">
                  <c:v>314</c:v>
                </c:pt>
                <c:pt idx="9">
                  <c:v>330</c:v>
                </c:pt>
                <c:pt idx="10">
                  <c:v>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75"/>
          <c:tx>
            <c:strRef>
              <c:f>Days_Since_100!$H$86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  <c:pt idx="5">
                  <c:v>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76"/>
          <c:tx>
            <c:strRef>
              <c:f>Days_Since_100!$H$87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  <c:pt idx="9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77"/>
          <c:tx>
            <c:strRef>
              <c:f>Days_Since_100!$H$88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  <c:pt idx="13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ser>
          <c:idx val="15"/>
          <c:order val="78"/>
          <c:tx>
            <c:strRef>
              <c:f>Days_Since_100!$H$89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  <c:pt idx="5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B-4C7E-BF82-300F91A3A73B}"/>
            </c:ext>
          </c:extLst>
        </c:ser>
        <c:ser>
          <c:idx val="17"/>
          <c:order val="79"/>
          <c:tx>
            <c:strRef>
              <c:f>Days_Since_100!$H$90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  <c:pt idx="14">
                  <c:v>235</c:v>
                </c:pt>
                <c:pt idx="15">
                  <c:v>255</c:v>
                </c:pt>
                <c:pt idx="16">
                  <c:v>266</c:v>
                </c:pt>
                <c:pt idx="17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B-4C7E-BF82-300F91A3A73B}"/>
            </c:ext>
          </c:extLst>
        </c:ser>
        <c:ser>
          <c:idx val="21"/>
          <c:order val="80"/>
          <c:tx>
            <c:strRef>
              <c:f>Days_Since_100!$H$91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  <c:pt idx="9">
                  <c:v>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B-4C7E-BF82-300F91A3A73B}"/>
            </c:ext>
          </c:extLst>
        </c:ser>
        <c:ser>
          <c:idx val="27"/>
          <c:order val="81"/>
          <c:tx>
            <c:strRef>
              <c:f>Days_Since_100!$H$92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  <c:pt idx="8">
                  <c:v>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B-4C7E-BF82-300F91A3A73B}"/>
            </c:ext>
          </c:extLst>
        </c:ser>
        <c:ser>
          <c:idx val="32"/>
          <c:order val="82"/>
          <c:tx>
            <c:strRef>
              <c:f>Days_Since_100!$H$93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  <c:pt idx="7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B-4C7E-BF82-300F91A3A73B}"/>
            </c:ext>
          </c:extLst>
        </c:ser>
        <c:ser>
          <c:idx val="33"/>
          <c:order val="83"/>
          <c:tx>
            <c:strRef>
              <c:f>Days_Since_100!$H$94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  <c:pt idx="8">
                  <c:v>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4B-4C7E-BF82-300F91A3A73B}"/>
            </c:ext>
          </c:extLst>
        </c:ser>
        <c:ser>
          <c:idx val="34"/>
          <c:order val="84"/>
          <c:tx>
            <c:strRef>
              <c:f>Days_Since_100!$H$95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  <c:pt idx="13">
                  <c:v>224</c:v>
                </c:pt>
                <c:pt idx="14">
                  <c:v>224</c:v>
                </c:pt>
                <c:pt idx="15">
                  <c:v>230</c:v>
                </c:pt>
                <c:pt idx="16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4B-4C7E-BF82-300F91A3A73B}"/>
            </c:ext>
          </c:extLst>
        </c:ser>
        <c:ser>
          <c:idx val="36"/>
          <c:order val="85"/>
          <c:tx>
            <c:strRef>
              <c:f>Days_Since_100!$H$96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  <c:pt idx="9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4B-4C7E-BF82-300F91A3A73B}"/>
            </c:ext>
          </c:extLst>
        </c:ser>
        <c:ser>
          <c:idx val="37"/>
          <c:order val="86"/>
          <c:tx>
            <c:strRef>
              <c:f>Days_Since_100!$H$97</c:f>
              <c:strCache>
                <c:ptCount val="1"/>
                <c:pt idx="0">
                  <c:v>Cameroon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139</c:v>
                </c:pt>
                <c:pt idx="1">
                  <c:v>139</c:v>
                </c:pt>
                <c:pt idx="2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4B-4C7E-BF82-300F91A3A73B}"/>
            </c:ext>
          </c:extLst>
        </c:ser>
        <c:ser>
          <c:idx val="38"/>
          <c:order val="87"/>
          <c:tx>
            <c:strRef>
              <c:f>Days_Since_100!$H$98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  <c:pt idx="5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4B-4C7E-BF82-300F91A3A73B}"/>
            </c:ext>
          </c:extLst>
        </c:ser>
        <c:ser>
          <c:idx val="45"/>
          <c:order val="88"/>
          <c:tx>
            <c:strRef>
              <c:f>Days_Since_100!$H$99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  <c:pt idx="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4B-4C7E-BF82-300F91A3A73B}"/>
            </c:ext>
          </c:extLst>
        </c:ser>
        <c:ser>
          <c:idx val="49"/>
          <c:order val="89"/>
          <c:tx>
            <c:strRef>
              <c:f>Days_Since_100!$H$100</c:f>
              <c:strCache>
                <c:ptCount val="1"/>
                <c:pt idx="0">
                  <c:v>Cote d'Ivoire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101</c:v>
                </c:pt>
                <c:pt idx="1">
                  <c:v>101</c:v>
                </c:pt>
                <c:pt idx="2">
                  <c:v>165</c:v>
                </c:pt>
                <c:pt idx="3">
                  <c:v>168</c:v>
                </c:pt>
                <c:pt idx="4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4B-4C7E-BF82-300F91A3A73B}"/>
            </c:ext>
          </c:extLst>
        </c:ser>
        <c:ser>
          <c:idx val="50"/>
          <c:order val="90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  <c:pt idx="2">
                  <c:v>130</c:v>
                </c:pt>
                <c:pt idx="3">
                  <c:v>142</c:v>
                </c:pt>
                <c:pt idx="4">
                  <c:v>162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4B-4C7E-BF82-300F91A3A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585193603387"/>
          <c:y val="7.8034561373258995E-2"/>
          <c:w val="0.17510414806396624"/>
          <c:h val="0.799853727295534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1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  <c:pt idx="33">
                  <c:v>21776</c:v>
                </c:pt>
                <c:pt idx="34">
                  <c:v>24334</c:v>
                </c:pt>
                <c:pt idx="35">
                  <c:v>27207</c:v>
                </c:pt>
                <c:pt idx="36">
                  <c:v>30471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27"/>
          <c:order val="11"/>
          <c:tx>
            <c:strRef>
              <c:f>Deaths_since_10!$H$16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  <c:pt idx="34">
                  <c:v>2595</c:v>
                </c:pt>
                <c:pt idx="35">
                  <c:v>2730</c:v>
                </c:pt>
                <c:pt idx="36">
                  <c:v>2857</c:v>
                </c:pt>
                <c:pt idx="37">
                  <c:v>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12"/>
          <c:tx>
            <c:strRef>
              <c:f>Deaths_since_10!$H$17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  <c:pt idx="34">
                  <c:v>2517</c:v>
                </c:pt>
                <c:pt idx="35">
                  <c:v>2640</c:v>
                </c:pt>
                <c:pt idx="36">
                  <c:v>2757</c:v>
                </c:pt>
                <c:pt idx="37">
                  <c:v>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13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  <c:pt idx="16">
                  <c:v>772</c:v>
                </c:pt>
                <c:pt idx="17">
                  <c:v>865</c:v>
                </c:pt>
                <c:pt idx="18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14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  <c:pt idx="14">
                  <c:v>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15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  <c:pt idx="18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16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  <c:pt idx="13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17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  <c:pt idx="10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18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  <c:pt idx="11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19"/>
          <c:tx>
            <c:strRef>
              <c:f>Deaths_since_10!$H$24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  <c:pt idx="1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20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  <c:pt idx="16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21"/>
          <c:tx>
            <c:strRef>
              <c:f>Deaths_since_10!$H$26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  <c:pt idx="36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22"/>
          <c:tx>
            <c:strRef>
              <c:f>Deaths_since_10!$H$27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  <c:pt idx="10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23"/>
          <c:tx>
            <c:strRef>
              <c:f>Deaths_since_10!$H$28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  <c:pt idx="13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24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  <c:pt idx="10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25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  <c:pt idx="13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26"/>
          <c:tx>
            <c:strRef>
              <c:f>Deaths_since_10!$H$31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  <c:pt idx="11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27"/>
          <c:tx>
            <c:strRef>
              <c:f>Deaths_since_10!$H$32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  <c:pt idx="1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28"/>
          <c:tx>
            <c:strRef>
              <c:f>Deaths_since_10!$H$33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  <c:pt idx="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29"/>
          <c:tx>
            <c:strRef>
              <c:f>Deaths_since_10!$H$34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  <c:pt idx="9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30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  <c:pt idx="6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31"/>
          <c:tx>
            <c:strRef>
              <c:f>Deaths_since_10!$H$36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  <c:pt idx="22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32"/>
          <c:tx>
            <c:strRef>
              <c:f>Deaths_since_10!$H$37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  <c:pt idx="6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33"/>
          <c:tx>
            <c:strRef>
              <c:f>Deaths_since_10!$H$38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  <c:pt idx="19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34"/>
          <c:tx>
            <c:strRef>
              <c:f>Deaths_since_10!$H$39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  <c:pt idx="1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35"/>
          <c:tx>
            <c:strRef>
              <c:f>Deaths_since_10!$H$40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  <c:pt idx="11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36"/>
          <c:tx>
            <c:strRef>
              <c:f>Deaths_since_10!$H$41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  <c:pt idx="1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37"/>
          <c:tx>
            <c:strRef>
              <c:f>Deaths_since_10!$H$42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  <c:pt idx="9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38"/>
          <c:tx>
            <c:strRef>
              <c:f>Deaths_since_10!$H$43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  <c:pt idx="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39"/>
          <c:tx>
            <c:strRef>
              <c:f>Deaths_since_10!$H$44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40"/>
          <c:tx>
            <c:strRef>
              <c:f>Deaths_since_10!$H$45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  <c:pt idx="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41"/>
          <c:tx>
            <c:strRef>
              <c:f>Deaths_since_10!$H$46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42"/>
          <c:tx>
            <c:strRef>
              <c:f>Deaths_since_10!$H$47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43"/>
          <c:tx>
            <c:strRef>
              <c:f>Deaths_since_10!$H$48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44"/>
          <c:tx>
            <c:strRef>
              <c:f>Deaths_since_10!$H$49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45"/>
          <c:tx>
            <c:strRef>
              <c:f>Deaths_since_10!$H$50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ser>
          <c:idx val="12"/>
          <c:order val="46"/>
          <c:tx>
            <c:strRef>
              <c:f>Deaths_since_10!$H$51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8-4D42-86C7-6D6B3C7115D9}"/>
            </c:ext>
          </c:extLst>
        </c:ser>
        <c:ser>
          <c:idx val="19"/>
          <c:order val="47"/>
          <c:tx>
            <c:strRef>
              <c:f>Deaths_since_10!$H$52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25</c:v>
                </c:pt>
                <c:pt idx="1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8-4D42-86C7-6D6B3C7115D9}"/>
            </c:ext>
          </c:extLst>
        </c:ser>
        <c:ser>
          <c:idx val="20"/>
          <c:order val="48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8-4D42-86C7-6D6B3C7115D9}"/>
            </c:ext>
          </c:extLst>
        </c:ser>
        <c:ser>
          <c:idx val="21"/>
          <c:order val="49"/>
          <c:tx>
            <c:strRef>
              <c:f>Deaths_since_10!$H$54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58-4D42-86C7-6D6B3C7115D9}"/>
            </c:ext>
          </c:extLst>
        </c:ser>
        <c:ser>
          <c:idx val="22"/>
          <c:order val="50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58-4D42-86C7-6D6B3C7115D9}"/>
            </c:ext>
          </c:extLst>
        </c:ser>
        <c:ser>
          <c:idx val="23"/>
          <c:order val="51"/>
          <c:tx>
            <c:strRef>
              <c:f>Deaths_since_10!$H$56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58-4D42-86C7-6D6B3C711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489723543499"/>
          <c:y val="0.10493380998229521"/>
          <c:w val="0.16665102764564996"/>
          <c:h val="0.7978803588907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CumulativeConfirmed!$C$127:$BT$127</c:f>
              <c:numCache>
                <c:formatCode>General</c:formatCode>
                <c:ptCount val="70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CumulativeConfirmed!$C$128:$BT$128</c:f>
              <c:numCache>
                <c:formatCode>General</c:formatCode>
                <c:ptCount val="7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CumulativeConfirmed!$C$129:$BT$129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CumulativeConfirmed!$C$130:$BT$130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CumulativeConfirmed!$C$131:$BT$131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CumulativeConfirmed!$C$132:$BT$132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CumulativeConfirmed!$C$133:$BT$133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4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val>
            <c:numRef>
              <c:f>CumulativeConfirmed!$C$127:$BT$127</c:f>
              <c:numCache>
                <c:formatCode>General</c:formatCode>
                <c:ptCount val="70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CumulativeConfirmed!$C$128:$BT$128</c:f>
              <c:numCache>
                <c:formatCode>General</c:formatCode>
                <c:ptCount val="7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CumulativeConfirmed!$C$129:$BT$129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CumulativeConfirmed!$C$130:$BT$130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CumulativeConfirmed!$C$131:$BT$131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CumulativeConfirmed!$C$132:$BT$132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CumulativeConfirmed!$C$133:$BT$133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0.22495</cdr:x>
      <cdr:y>0.63103</cdr:y>
    </cdr:from>
    <cdr:to>
      <cdr:x>0.33629</cdr:x>
      <cdr:y>0.69104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359787" y="4120328"/>
          <a:ext cx="1167972" cy="3918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0.12797</cdr:x>
      <cdr:y>0.32737</cdr:y>
    </cdr:from>
    <cdr:to>
      <cdr:x>0.36623</cdr:x>
      <cdr:y>0.3952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342395" y="2137558"/>
          <a:ext cx="2499377" cy="4429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0.51202</cdr:x>
      <cdr:y>0.15686</cdr:y>
    </cdr:from>
    <cdr:to>
      <cdr:x>0.71093</cdr:x>
      <cdr:y>0.22469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371180" y="1024257"/>
          <a:ext cx="208659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0.67994</cdr:x>
      <cdr:y>0.71068</cdr:y>
    </cdr:from>
    <cdr:to>
      <cdr:x>0.79128</cdr:x>
      <cdr:y>0.77069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132624" y="4640420"/>
          <a:ext cx="1167971" cy="3918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3" zoomScaleNormal="63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1" t="str">
        <f>C7&amp;" Covid-19 Active Case Projections"</f>
        <v>Japan Covid-19 Active Case Projections</v>
      </c>
      <c r="C2" s="15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32"/>
      <c r="C3" s="13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3" t="s">
        <v>542</v>
      </c>
      <c r="X3" s="104"/>
      <c r="Y3" s="105"/>
      <c r="Z3" s="112" t="s">
        <v>36</v>
      </c>
      <c r="AA3" s="118"/>
      <c r="AB3" s="118"/>
      <c r="AC3" s="113"/>
    </row>
    <row r="4" spans="1:32" x14ac:dyDescent="0.25">
      <c r="A4" s="46"/>
      <c r="B4" s="132"/>
      <c r="C4" s="13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6"/>
      <c r="X4" s="107"/>
      <c r="Y4" s="108"/>
      <c r="Z4" s="114"/>
      <c r="AA4" s="119"/>
      <c r="AB4" s="119"/>
      <c r="AC4" s="115"/>
    </row>
    <row r="5" spans="1:32" x14ac:dyDescent="0.25">
      <c r="A5" s="46"/>
      <c r="B5" s="134"/>
      <c r="C5" s="13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9"/>
      <c r="X5" s="110"/>
      <c r="Y5" s="111"/>
      <c r="Z5" s="116"/>
      <c r="AA5" s="120"/>
      <c r="AB5" s="120"/>
      <c r="AC5" s="117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5" t="s">
        <v>476</v>
      </c>
      <c r="C7" s="153" t="str">
        <f>Z3</f>
        <v>Japan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6"/>
      <c r="C8" s="154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3" t="s">
        <v>541</v>
      </c>
      <c r="X8" s="104"/>
      <c r="Y8" s="105"/>
      <c r="Z8" s="112">
        <v>4</v>
      </c>
      <c r="AA8" s="113"/>
      <c r="AB8" s="121" t="s">
        <v>550</v>
      </c>
      <c r="AC8" s="122"/>
      <c r="AD8" s="122"/>
      <c r="AE8" s="122"/>
      <c r="AF8" s="122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6"/>
      <c r="X9" s="107"/>
      <c r="Y9" s="108"/>
      <c r="Z9" s="114"/>
      <c r="AA9" s="115"/>
      <c r="AB9" s="121"/>
      <c r="AC9" s="122"/>
      <c r="AD9" s="122"/>
      <c r="AE9" s="122"/>
      <c r="AF9" s="122"/>
    </row>
    <row r="10" spans="1:32" ht="18.600000000000001" customHeight="1" x14ac:dyDescent="0.25">
      <c r="A10" s="46"/>
      <c r="B10" s="155" t="s">
        <v>504</v>
      </c>
      <c r="C10" s="163">
        <f>Projections_Data!C4</f>
        <v>1953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9"/>
      <c r="X10" s="110"/>
      <c r="Y10" s="111"/>
      <c r="Z10" s="116"/>
      <c r="AA10" s="117"/>
      <c r="AB10" s="121"/>
      <c r="AC10" s="122"/>
      <c r="AD10" s="122"/>
      <c r="AE10" s="122"/>
      <c r="AF10" s="122"/>
    </row>
    <row r="11" spans="1:32" ht="18.600000000000001" customHeight="1" x14ac:dyDescent="0.25">
      <c r="A11" s="46"/>
      <c r="B11" s="156"/>
      <c r="C11" s="164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5" t="s">
        <v>589</v>
      </c>
      <c r="C12" s="161">
        <f ca="1">Projections_Data!C6</f>
        <v>932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6"/>
      <c r="C13" s="162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00" t="s">
        <v>543</v>
      </c>
      <c r="X13" s="100"/>
      <c r="Y13" s="100"/>
      <c r="Z13" s="100"/>
      <c r="AA13" s="100"/>
    </row>
    <row r="14" spans="1:32" ht="18.600000000000001" customHeight="1" x14ac:dyDescent="0.25">
      <c r="A14" s="46"/>
      <c r="B14" s="155" t="s">
        <v>590</v>
      </c>
      <c r="C14" s="159">
        <f ca="1">Projections_Data!C7</f>
        <v>965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00"/>
      <c r="X14" s="100"/>
      <c r="Y14" s="100"/>
      <c r="Z14" s="100"/>
      <c r="AA14" s="100"/>
    </row>
    <row r="15" spans="1:32" ht="18.600000000000001" customHeight="1" x14ac:dyDescent="0.25">
      <c r="A15" s="46"/>
      <c r="B15" s="156"/>
      <c r="C15" s="160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3" t="s">
        <v>544</v>
      </c>
      <c r="X15" s="123"/>
      <c r="Y15" s="123"/>
      <c r="Z15" s="124">
        <v>0.4</v>
      </c>
      <c r="AA15" s="125"/>
    </row>
    <row r="16" spans="1:32" ht="18.600000000000001" customHeight="1" x14ac:dyDescent="0.25">
      <c r="A16" s="46"/>
      <c r="B16" s="155" t="s">
        <v>513</v>
      </c>
      <c r="C16" s="157">
        <f>Projections_Data!C8</f>
        <v>56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3"/>
      <c r="X16" s="123"/>
      <c r="Y16" s="123"/>
      <c r="Z16" s="125"/>
      <c r="AA16" s="125"/>
    </row>
    <row r="17" spans="1:42" ht="18.600000000000001" customHeight="1" x14ac:dyDescent="0.25">
      <c r="A17" s="46"/>
      <c r="B17" s="156"/>
      <c r="C17" s="15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3" t="s">
        <v>545</v>
      </c>
      <c r="X17" s="123"/>
      <c r="Y17" s="123"/>
      <c r="Z17" s="124">
        <v>0.25</v>
      </c>
      <c r="AA17" s="125"/>
    </row>
    <row r="18" spans="1:42" ht="18.600000000000001" customHeight="1" x14ac:dyDescent="0.25">
      <c r="A18" s="46"/>
      <c r="B18" s="130" t="s">
        <v>602</v>
      </c>
      <c r="C18" s="143">
        <f ca="1">Projections_Data!C11</f>
        <v>0.16090039201672482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3"/>
      <c r="X18" s="123"/>
      <c r="Y18" s="123"/>
      <c r="Z18" s="125"/>
      <c r="AA18" s="125"/>
    </row>
    <row r="19" spans="1:42" ht="18.600000000000001" customHeight="1" x14ac:dyDescent="0.25">
      <c r="A19" s="46"/>
      <c r="B19" s="131"/>
      <c r="C19" s="144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3" t="s">
        <v>546</v>
      </c>
      <c r="X19" s="123"/>
      <c r="Y19" s="123"/>
      <c r="Z19" s="124">
        <v>0.1</v>
      </c>
      <c r="AA19" s="125"/>
    </row>
    <row r="20" spans="1:42" ht="18.600000000000001" customHeight="1" x14ac:dyDescent="0.25">
      <c r="A20" s="46"/>
      <c r="B20" s="139" t="s">
        <v>506</v>
      </c>
      <c r="C20" s="141">
        <f>Projections_Data!C14</f>
        <v>2091.3532699135594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3"/>
      <c r="X20" s="123"/>
      <c r="Y20" s="123"/>
      <c r="Z20" s="125"/>
      <c r="AA20" s="125"/>
    </row>
    <row r="21" spans="1:42" ht="18.600000000000001" customHeight="1" x14ac:dyDescent="0.25">
      <c r="A21" s="46"/>
      <c r="B21" s="140"/>
      <c r="C21" s="14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0" t="s">
        <v>603</v>
      </c>
      <c r="C22" s="165">
        <f ca="1">Projections_Data!C13</f>
        <v>3.9803235550439187E-2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1"/>
      <c r="C23" s="166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5" t="s">
        <v>604</v>
      </c>
      <c r="C24" s="157">
        <f ca="1">C16*(1+C22)</f>
        <v>58.228981190824598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6"/>
      <c r="C25" s="15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614</v>
      </c>
    </row>
    <row r="26" spans="1:42" ht="18.600000000000001" customHeight="1" x14ac:dyDescent="0.25">
      <c r="A26" s="46"/>
      <c r="B26" s="136" t="s">
        <v>528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37" t="str">
        <f>"Source: Analysis of John Hopkins University and WHO data.
Data updated: "&amp;TEXT(Projections_Data!C2,"DD/MM/YYYY")&amp;"."</f>
        <v>Source: Analysis of John Hopkins University and WHO data.
Data updated: 31/03/2020.</v>
      </c>
      <c r="C27" s="13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32" t="str">
        <f>Projections_Data!B35</f>
        <v xml:space="preserve">Japan critically ill projections </v>
      </c>
      <c r="C29" s="13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32"/>
      <c r="C30" s="13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32"/>
      <c r="C31" s="13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34"/>
      <c r="C32" s="13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00" t="s">
        <v>547</v>
      </c>
      <c r="X32" s="100"/>
      <c r="Y32" s="100"/>
      <c r="Z32" s="129"/>
      <c r="AA32" s="129"/>
      <c r="AB32" s="126" t="s">
        <v>548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00"/>
      <c r="X33" s="100"/>
      <c r="Y33" s="100"/>
      <c r="Z33" s="129"/>
      <c r="AA33" s="129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38" t="s">
        <v>464</v>
      </c>
      <c r="C34" s="101">
        <f>Projections_Data!C16</f>
        <v>9232.781653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00"/>
      <c r="X34" s="100"/>
      <c r="Y34" s="100"/>
      <c r="Z34" s="129"/>
      <c r="AA34" s="129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38"/>
      <c r="C35" s="101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00"/>
      <c r="X35" s="100"/>
      <c r="Y35" s="100"/>
      <c r="Z35" s="129"/>
      <c r="AA35" s="129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102" t="s">
        <v>518</v>
      </c>
      <c r="C36" s="167">
        <f>Projections_Data!C15</f>
        <v>7.1684587813620068E-2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00"/>
      <c r="X36" s="100"/>
      <c r="Y36" s="100"/>
      <c r="Z36" s="129"/>
      <c r="AA36" s="129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102"/>
      <c r="C37" s="16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02" t="s">
        <v>517</v>
      </c>
      <c r="C38" s="101">
        <f ca="1">Projections!C12*Projections!C36</f>
        <v>66.8100358422939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02"/>
      <c r="C39" s="101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00" t="s">
        <v>464</v>
      </c>
      <c r="X39" s="100"/>
      <c r="Y39" s="100"/>
      <c r="Z39" s="99"/>
      <c r="AA39" s="99"/>
      <c r="AB39" s="128" t="s">
        <v>549</v>
      </c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</row>
    <row r="40" spans="1:43" ht="20.399999999999999" customHeight="1" x14ac:dyDescent="0.25">
      <c r="A40" s="46"/>
      <c r="B40" s="102" t="s">
        <v>487</v>
      </c>
      <c r="C40" s="148">
        <f ca="1">Projections_Data!D31</f>
        <v>43955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00"/>
      <c r="X40" s="100"/>
      <c r="Y40" s="100"/>
      <c r="Z40" s="99"/>
      <c r="AA40" s="99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</row>
    <row r="41" spans="1:43" ht="20.399999999999999" customHeight="1" x14ac:dyDescent="0.25">
      <c r="A41" s="46"/>
      <c r="B41" s="102"/>
      <c r="C41" s="14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00"/>
      <c r="X41" s="100"/>
      <c r="Y41" s="100"/>
      <c r="Z41" s="99"/>
      <c r="AA41" s="99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</row>
    <row r="42" spans="1:43" ht="20.399999999999999" customHeight="1" x14ac:dyDescent="0.25">
      <c r="A42" s="46"/>
      <c r="B42" s="138" t="s">
        <v>488</v>
      </c>
      <c r="C42" s="147">
        <f ca="1">IFERROR(C40-TODAY(),"N/A")</f>
        <v>33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00"/>
      <c r="X42" s="100"/>
      <c r="Y42" s="100"/>
      <c r="Z42" s="99"/>
      <c r="AA42" s="99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</row>
    <row r="43" spans="1:43" ht="18" customHeight="1" x14ac:dyDescent="0.25">
      <c r="A43" s="46"/>
      <c r="B43" s="138"/>
      <c r="C43" s="1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4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45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46"/>
      <c r="C45" s="146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3" t="s">
        <v>541</v>
      </c>
      <c r="X45" s="104"/>
      <c r="Y45" s="105"/>
      <c r="Z45" s="112"/>
      <c r="AA45" s="113"/>
    </row>
    <row r="46" spans="1:43" ht="15.6" customHeight="1" x14ac:dyDescent="0.25">
      <c r="A46" s="46"/>
      <c r="B46" s="146"/>
      <c r="C46" s="146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6"/>
      <c r="X46" s="107"/>
      <c r="Y46" s="108"/>
      <c r="Z46" s="114"/>
      <c r="AA46" s="115"/>
    </row>
    <row r="47" spans="1:43" ht="13.8" customHeight="1" x14ac:dyDescent="0.25">
      <c r="A47" s="46"/>
      <c r="B47" s="146"/>
      <c r="C47" s="146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9"/>
      <c r="X47" s="110"/>
      <c r="Y47" s="111"/>
      <c r="Z47" s="116"/>
      <c r="AA47" s="117"/>
    </row>
    <row r="48" spans="1:43" ht="14.4" customHeight="1" x14ac:dyDescent="0.25">
      <c r="A48" s="46"/>
      <c r="B48" s="146"/>
      <c r="C48" s="14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9" t="str">
        <f>"Source: Analysis of John Hopkins University and WHO data.
Data updated: "&amp;TEXT(Projections_Data!C2,"DD/MM/YYYY")&amp;"."</f>
        <v>Source: Analysis of John Hopkins University and WHO data.
Data updated: 31/03/2020.</v>
      </c>
      <c r="C49" s="14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37"/>
      <c r="C50" s="13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37"/>
      <c r="C51" s="13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37"/>
      <c r="C52" s="13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50"/>
      <c r="C53" s="1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W3:Y5"/>
    <mergeCell ref="Z3:AC5"/>
    <mergeCell ref="AB8:AF10"/>
    <mergeCell ref="W13:AA14"/>
    <mergeCell ref="W15:Y16"/>
    <mergeCell ref="Z15:AA16"/>
    <mergeCell ref="Z39:AA42"/>
    <mergeCell ref="W39:Y42"/>
    <mergeCell ref="C38:C39"/>
    <mergeCell ref="B38:B39"/>
    <mergeCell ref="W45:Y47"/>
    <mergeCell ref="Z45:AA4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Days_Since_100!$C$5:$C$102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558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557</v>
      </c>
      <c r="E3" s="64" t="s">
        <v>502</v>
      </c>
      <c r="F3" s="64" t="s">
        <v>564</v>
      </c>
      <c r="G3" s="64" t="s">
        <v>566</v>
      </c>
      <c r="H3" s="65" t="s">
        <v>567</v>
      </c>
      <c r="J3" s="72" t="s">
        <v>539</v>
      </c>
      <c r="K3" s="64" t="s">
        <v>514</v>
      </c>
      <c r="L3" s="64" t="s">
        <v>477</v>
      </c>
      <c r="M3" s="65" t="s">
        <v>515</v>
      </c>
      <c r="Q3" s="73" t="s">
        <v>540</v>
      </c>
    </row>
    <row r="4" spans="2:18" s="59" customFormat="1" ht="13.8" customHeight="1" x14ac:dyDescent="0.3">
      <c r="B4" s="83">
        <v>1</v>
      </c>
      <c r="C4" s="78" t="s">
        <v>124</v>
      </c>
      <c r="D4" s="79">
        <f>VLOOKUP(C4,Country_Data!B:F,5,FALSE)</f>
        <v>2738</v>
      </c>
      <c r="E4" s="75">
        <f>D4*Projections_Data!$C$15</f>
        <v>196.27240143369175</v>
      </c>
      <c r="F4" s="79">
        <f>VLOOKUP(C4,Country_Data!C:G,5,FALSE)</f>
        <v>12</v>
      </c>
      <c r="G4" s="80">
        <f>IFERROR(VLOOKUP(C4,Days_Since_100!C:G,5,FALSE)-1,0)</f>
        <v>0.15957289018741139</v>
      </c>
      <c r="H4" s="84">
        <f>IFERROR(VLOOKUP(C4,Deaths_since_10!C:G,5,FALSE)-1,0)</f>
        <v>0.5</v>
      </c>
      <c r="J4" s="68">
        <f t="shared" ref="J4:J23" si="0">IFERROR(LOG((M4/E4),1+G4),"")</f>
        <v>22.612274047811951</v>
      </c>
      <c r="K4" s="67">
        <v>29.2</v>
      </c>
      <c r="L4" s="61">
        <f>VLOOKUP(C4,Country_Data!C:J,8,FALSE)</f>
        <v>19116201</v>
      </c>
      <c r="M4" s="60">
        <f t="shared" ref="M4:M10" si="1">(L4/100000)*K4</f>
        <v>5581.9306919999999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2">B4+1</f>
        <v>2</v>
      </c>
      <c r="C5" s="62" t="s">
        <v>63</v>
      </c>
      <c r="D5" s="75">
        <f>VLOOKUP(C5,Country_Data!B:F,5,FALSE)</f>
        <v>12775</v>
      </c>
      <c r="E5" s="75">
        <f>D5*Projections_Data!$C$15</f>
        <v>915.77060931899632</v>
      </c>
      <c r="F5" s="75">
        <f>VLOOKUP(C5,Country_Data!C:G,5,FALSE)</f>
        <v>705</v>
      </c>
      <c r="G5" s="76">
        <f>IFERROR(VLOOKUP(C5,Days_Since_100!C:G,5,FALSE)-1,0)</f>
        <v>0.15426330740948457</v>
      </c>
      <c r="H5" s="77">
        <f>IFERROR(VLOOKUP(C5,Deaths_since_10!C:G,5,FALSE)-1,0)</f>
        <v>0.26227298393267295</v>
      </c>
      <c r="J5" s="68">
        <f t="shared" si="0"/>
        <v>-8.6026884003406963</v>
      </c>
      <c r="K5" s="67">
        <v>2.2999999999999998</v>
      </c>
      <c r="L5" s="61">
        <f>VLOOKUP(C5,Country_Data!C:J,8,FALSE)</f>
        <v>11589623</v>
      </c>
      <c r="M5" s="60">
        <f t="shared" si="1"/>
        <v>266.561329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2"/>
        <v>3</v>
      </c>
      <c r="C6" s="62" t="s">
        <v>38</v>
      </c>
      <c r="D6" s="75">
        <f>VLOOKUP(C6,Country_Data!B:F,5,FALSE)</f>
        <v>188172</v>
      </c>
      <c r="E6" s="75">
        <f>D6*Projections_Data!$C$15</f>
        <v>13489.032258064515</v>
      </c>
      <c r="F6" s="75">
        <f>VLOOKUP(C6,Country_Data!C:G,5,FALSE)</f>
        <v>3873</v>
      </c>
      <c r="G6" s="76">
        <f>IFERROR(VLOOKUP(C6,Days_Since_100!C:G,5,FALSE)-1,0)</f>
        <v>0.17550610878046213</v>
      </c>
      <c r="H6" s="77">
        <f>IFERROR(VLOOKUP(C6,Deaths_since_10!C:G,5,FALSE)-1,0)</f>
        <v>0.26218855898130644</v>
      </c>
      <c r="J6" s="68" t="str">
        <f t="shared" si="0"/>
        <v/>
      </c>
      <c r="K6" s="67"/>
      <c r="L6" s="61">
        <f>VLOOKUP(C6,Country_Data!C:J,8,FALSE)</f>
        <v>331002651</v>
      </c>
      <c r="M6" s="60">
        <f t="shared" si="1"/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2"/>
        <v>4</v>
      </c>
      <c r="C7" s="62" t="s">
        <v>349</v>
      </c>
      <c r="D7" s="75">
        <f>VLOOKUP(C7,Country_Data!B:F,5,FALSE)</f>
        <v>25481</v>
      </c>
      <c r="E7" s="75">
        <f>D7*Projections_Data!$C$15</f>
        <v>1826.594982078853</v>
      </c>
      <c r="F7" s="75">
        <f>VLOOKUP(C7,Country_Data!C:G,5,FALSE)</f>
        <v>1793</v>
      </c>
      <c r="G7" s="76">
        <f>IFERROR(VLOOKUP(C7,Days_Since_100!C:G,5,FALSE)-1,0)</f>
        <v>0.16621495392637287</v>
      </c>
      <c r="H7" s="77">
        <f>IFERROR(VLOOKUP(C7,Deaths_since_10!C:G,5,FALSE)-1,0)</f>
        <v>0.25322906695391389</v>
      </c>
      <c r="J7" s="68">
        <f t="shared" si="0"/>
        <v>13.606072051323588</v>
      </c>
      <c r="K7" s="67">
        <v>21.8</v>
      </c>
      <c r="L7" s="61">
        <f>VLOOKUP(C7,Country_Data!C:J,8,FALSE)</f>
        <v>67886011</v>
      </c>
      <c r="M7" s="60">
        <f t="shared" si="1"/>
        <v>14799.150398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71808</v>
      </c>
      <c r="E8" s="75">
        <f>D8*Projections_Data!$C$15</f>
        <v>5147.5268817204296</v>
      </c>
      <c r="F8" s="75">
        <f>VLOOKUP(C8,Country_Data!C:G,5,FALSE)</f>
        <v>775</v>
      </c>
      <c r="G8" s="76">
        <f>IFERROR(VLOOKUP(C8,Days_Since_100!C:G,5,FALSE)-1,0)</f>
        <v>0.10323113355270253</v>
      </c>
      <c r="H8" s="77">
        <f>IFERROR(VLOOKUP(C8,Deaths_since_10!C:G,5,FALSE)-1,0)</f>
        <v>0.23753670322254794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2"/>
        <v>6</v>
      </c>
      <c r="C9" s="62" t="s">
        <v>108</v>
      </c>
      <c r="D9" s="75">
        <f>VLOOKUP(C9,Country_Data!B:F,5,FALSE)</f>
        <v>7443</v>
      </c>
      <c r="E9" s="75">
        <f>D9*Projections_Data!$C$15</f>
        <v>533.54838709677415</v>
      </c>
      <c r="F9" s="75">
        <f>VLOOKUP(C9,Country_Data!C:G,5,FALSE)</f>
        <v>160</v>
      </c>
      <c r="G9" s="76">
        <f>IFERROR(VLOOKUP(C9,Days_Since_100!C:G,5,FALSE)-1,0)</f>
        <v>0.15998096108635207</v>
      </c>
      <c r="H9" s="77">
        <f>IFERROR(VLOOKUP(C9,Deaths_since_10!C:G,5,FALSE)-1,0)</f>
        <v>0.21672868378641152</v>
      </c>
      <c r="J9" s="68">
        <f t="shared" si="0"/>
        <v>5.3644621182905619</v>
      </c>
      <c r="K9" s="67">
        <v>11.6</v>
      </c>
      <c r="L9" s="61">
        <f>VLOOKUP(C9,Country_Data!C:J,8,FALSE)</f>
        <v>10196709</v>
      </c>
      <c r="M9" s="60">
        <f t="shared" si="1"/>
        <v>1182.818244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2"/>
        <v>7</v>
      </c>
      <c r="C10" s="62" t="s">
        <v>45</v>
      </c>
      <c r="D10" s="75">
        <f>VLOOKUP(C10,Country_Data!B:F,5,FALSE)</f>
        <v>8527</v>
      </c>
      <c r="E10" s="75">
        <f>D10*Projections_Data!$C$15</f>
        <v>611.25448028673827</v>
      </c>
      <c r="F10" s="75">
        <f>VLOOKUP(C10,Country_Data!C:G,5,FALSE)</f>
        <v>101</v>
      </c>
      <c r="G10" s="76">
        <f>IFERROR(VLOOKUP(C10,Days_Since_100!C:G,5,FALSE)-1,0)</f>
        <v>0.1610207744696357</v>
      </c>
      <c r="H10" s="77">
        <f>IFERROR(VLOOKUP(C10,Deaths_since_10!C:G,5,FALSE)-1,0)</f>
        <v>0.21592714904321286</v>
      </c>
      <c r="J10" s="68">
        <f t="shared" si="0"/>
        <v>9.7078008546292214</v>
      </c>
      <c r="K10" s="67">
        <v>6.9</v>
      </c>
      <c r="L10" s="61">
        <f>VLOOKUP(C10,Country_Data!C:J,8,FALSE)</f>
        <v>37742154</v>
      </c>
      <c r="M10" s="60">
        <f t="shared" si="1"/>
        <v>2604.2086260000001</v>
      </c>
      <c r="O10" s="59">
        <f t="array" ref="O10">IF(OR(C10=$Q$4:$Q$22),1,0)</f>
        <v>0</v>
      </c>
    </row>
    <row r="11" spans="2:18" s="59" customFormat="1" ht="13.8" customHeight="1" x14ac:dyDescent="0.2">
      <c r="B11" s="66">
        <f t="shared" si="2"/>
        <v>8</v>
      </c>
      <c r="C11" s="62" t="s">
        <v>78</v>
      </c>
      <c r="D11" s="75">
        <f>VLOOKUP(C11,Country_Data!B:F,5,FALSE)</f>
        <v>10180</v>
      </c>
      <c r="E11" s="75">
        <f>D11*Projections_Data!$C$15</f>
        <v>729.74910394265225</v>
      </c>
      <c r="F11" s="75">
        <f>VLOOKUP(C11,Country_Data!C:G,5,FALSE)</f>
        <v>128</v>
      </c>
      <c r="G11" s="76">
        <f>IFERROR(VLOOKUP(C11,Days_Since_100!C:G,5,FALSE)-1,0)</f>
        <v>8.060386628059435E-2</v>
      </c>
      <c r="H11" s="77">
        <f>IFERROR(VLOOKUP(C11,Deaths_since_10!C:G,5,FALSE)-1,0)</f>
        <v>0.21172139990932592</v>
      </c>
      <c r="I11" s="58"/>
      <c r="J11" s="68" t="str">
        <f t="shared" si="0"/>
        <v/>
      </c>
      <c r="K11" s="67">
        <v>12.2</v>
      </c>
      <c r="L11" s="61">
        <f>VLOOKUP(C11,Country_Data!C:J,8,FALSE)</f>
        <v>9006398</v>
      </c>
      <c r="M11" s="60"/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81</v>
      </c>
      <c r="D12" s="75">
        <f>VLOOKUP(C12,Country_Data!B:F,5,FALSE)</f>
        <v>5717</v>
      </c>
      <c r="E12" s="75">
        <f>D12*Projections_Data!$C$15</f>
        <v>409.8207885304659</v>
      </c>
      <c r="F12" s="75">
        <f>VLOOKUP(C12,Country_Data!C:G,5,FALSE)</f>
        <v>201</v>
      </c>
      <c r="G12" s="76">
        <f>IFERROR(VLOOKUP(C12,Days_Since_100!C:G,5,FALSE)-1,0)</f>
        <v>0.13879295388550705</v>
      </c>
      <c r="H12" s="77">
        <f>IFERROR(VLOOKUP(C12,Deaths_since_10!C:G,5,FALSE)-1,0)</f>
        <v>0.21154923147385585</v>
      </c>
      <c r="J12" s="68">
        <f t="shared" si="0"/>
        <v>23.706990462204494</v>
      </c>
      <c r="K12" s="67">
        <v>4.2</v>
      </c>
      <c r="L12" s="61">
        <f>VLOOKUP(C12,Country_Data!C:J,8,FALSE)</f>
        <v>212559417</v>
      </c>
      <c r="M12" s="60">
        <f>(L12/100000)*K12</f>
        <v>8927.4955140000002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89</v>
      </c>
      <c r="D13" s="75">
        <f>VLOOKUP(C13,Country_Data!B:F,5,FALSE)</f>
        <v>12667</v>
      </c>
      <c r="E13" s="75">
        <f>D13*Projections_Data!$C$15</f>
        <v>908.02867383512546</v>
      </c>
      <c r="F13" s="75">
        <f>VLOOKUP(C13,Country_Data!C:G,5,FALSE)</f>
        <v>1040</v>
      </c>
      <c r="G13" s="76">
        <f>IFERROR(VLOOKUP(C13,Days_Since_100!C:G,5,FALSE)-1,0)</f>
        <v>0.11146013981529723</v>
      </c>
      <c r="H13" s="77">
        <f>IFERROR(VLOOKUP(C13,Deaths_since_10!C:G,5,FALSE)-1,0)</f>
        <v>0.19044357790453215</v>
      </c>
      <c r="J13" s="68" t="str">
        <f t="shared" si="0"/>
        <v/>
      </c>
      <c r="K13" s="67"/>
      <c r="L13" s="61">
        <f>VLOOKUP(C13,Country_Data!C:J,8,FALSE)</f>
        <v>17134872</v>
      </c>
      <c r="M13" s="60">
        <f>(L13/100000)*K13</f>
        <v>0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77</v>
      </c>
      <c r="D14" s="75">
        <f>VLOOKUP(C14,Country_Data!B:F,5,FALSE)</f>
        <v>16605</v>
      </c>
      <c r="E14" s="75">
        <f>D14*Projections_Data!$C$15</f>
        <v>1190.3225806451612</v>
      </c>
      <c r="F14" s="75">
        <f>VLOOKUP(C14,Country_Data!C:G,5,FALSE)</f>
        <v>433</v>
      </c>
      <c r="G14" s="76">
        <f>IFERROR(VLOOKUP(C14,Days_Since_100!C:G,5,FALSE)-1,0)</f>
        <v>7.0509293898893377E-2</v>
      </c>
      <c r="H14" s="77">
        <f>IFERROR(VLOOKUP(C14,Deaths_since_10!C:G,5,FALSE)-1,0)</f>
        <v>0.17785249390530899</v>
      </c>
      <c r="J14" s="68" t="str">
        <f t="shared" si="0"/>
        <v/>
      </c>
      <c r="K14" s="67"/>
      <c r="L14" s="61">
        <f>VLOOKUP(C14,Country_Data!C:J,8,FALSE)</f>
        <v>8654622</v>
      </c>
      <c r="M14" s="60">
        <f>(L14/100000)*K14</f>
        <v>0</v>
      </c>
      <c r="O14" s="59">
        <f t="array" ref="O14">IF(OR(C14=$Q$4:$Q$22),1,0)</f>
        <v>0</v>
      </c>
      <c r="P14" s="95" t="s">
        <v>593</v>
      </c>
      <c r="Q14" s="96">
        <v>20</v>
      </c>
      <c r="R14" s="95" t="s">
        <v>594</v>
      </c>
    </row>
    <row r="15" spans="2:18" s="59" customFormat="1" ht="13.8" customHeight="1" x14ac:dyDescent="0.3">
      <c r="B15" s="66">
        <f t="shared" si="2"/>
        <v>12</v>
      </c>
      <c r="C15" s="62" t="s">
        <v>103</v>
      </c>
      <c r="D15" s="75">
        <f>VLOOKUP(C15,Country_Data!B:F,5,FALSE)</f>
        <v>2240</v>
      </c>
      <c r="E15" s="75">
        <f>D15*Projections_Data!$C$15</f>
        <v>160.57347670250894</v>
      </c>
      <c r="F15" s="75">
        <f>VLOOKUP(C15,Country_Data!C:G,5,FALSE)</f>
        <v>75</v>
      </c>
      <c r="G15" s="76">
        <f>IFERROR(VLOOKUP(C15,Days_Since_100!C:G,5,FALSE)-1,0)</f>
        <v>9.809033602437589E-2</v>
      </c>
      <c r="H15" s="77">
        <f>IFERROR(VLOOKUP(C15,Deaths_since_10!C:G,5,FALSE)-1,0)</f>
        <v>0.17143034329661333</v>
      </c>
      <c r="J15" s="68" t="str">
        <f t="shared" si="0"/>
        <v/>
      </c>
      <c r="K15" s="67"/>
      <c r="L15" s="61">
        <f>VLOOKUP(C15,Country_Data!C:J,8,FALSE)</f>
        <v>17643054</v>
      </c>
      <c r="M15" s="60"/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41</v>
      </c>
      <c r="D16" s="75">
        <f>VLOOKUP(C16,Country_Data!B:F,5,FALSE)</f>
        <v>52827</v>
      </c>
      <c r="E16" s="75">
        <f>D16*Projections_Data!$C$15</f>
        <v>3786.8817204301072</v>
      </c>
      <c r="F16" s="75">
        <f>VLOOKUP(C16,Country_Data!C:G,5,FALSE)</f>
        <v>3532</v>
      </c>
      <c r="G16" s="76">
        <f>IFERROR(VLOOKUP(C16,Days_Since_100!C:G,5,FALSE)-1,0)</f>
        <v>0.12319911670972128</v>
      </c>
      <c r="H16" s="77">
        <f>IFERROR(VLOOKUP(C16,Deaths_since_10!C:G,5,FALSE)-1,0)</f>
        <v>0.15775483082822039</v>
      </c>
      <c r="J16" s="68">
        <f t="shared" si="0"/>
        <v>0.84498514625724852</v>
      </c>
      <c r="K16" s="67">
        <v>6.4</v>
      </c>
      <c r="L16" s="61">
        <f>VLOOKUP(C16,Country_Data!C:J,8,FALSE)</f>
        <v>65273511</v>
      </c>
      <c r="M16" s="60">
        <f t="shared" ref="M16:M23" si="3">(L16/100000)*K16</f>
        <v>4177.5047039999999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2"/>
        <v>14</v>
      </c>
      <c r="C17" s="62" t="s">
        <v>137</v>
      </c>
      <c r="D17" s="75">
        <f>VLOOKUP(C17,Country_Data!B:F,5,FALSE)</f>
        <v>2311</v>
      </c>
      <c r="E17" s="75">
        <f>D17*Projections_Data!$C$15</f>
        <v>165.66308243727599</v>
      </c>
      <c r="F17" s="75">
        <f>VLOOKUP(C17,Country_Data!C:G,5,FALSE)</f>
        <v>33</v>
      </c>
      <c r="G17" s="76">
        <f>IFERROR(VLOOKUP(C17,Days_Since_100!C:G,5,FALSE)-1,0)</f>
        <v>0.13610077554644784</v>
      </c>
      <c r="H17" s="77">
        <f>IFERROR(VLOOKUP(C17,Deaths_since_10!C:G,5,FALSE)-1,0)</f>
        <v>0.15578962436501453</v>
      </c>
      <c r="J17" s="68" t="str">
        <f t="shared" si="0"/>
        <v/>
      </c>
      <c r="K17" s="67"/>
      <c r="L17" s="61">
        <f>VLOOKUP(C17,Country_Data!C:J,8,FALSE)</f>
        <v>37846611</v>
      </c>
      <c r="M17" s="60">
        <f t="shared" si="3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56</v>
      </c>
      <c r="D18" s="75">
        <f>VLOOKUP(C18,Country_Data!B:F,5,FALSE)</f>
        <v>2084</v>
      </c>
      <c r="E18" s="75">
        <f>D18*Projections_Data!$C$15</f>
        <v>149.39068100358423</v>
      </c>
      <c r="F18" s="75">
        <f>VLOOKUP(C18,Country_Data!C:G,5,FALSE)</f>
        <v>88</v>
      </c>
      <c r="G18" s="76">
        <f>IFERROR(VLOOKUP(C18,Days_Since_100!C:G,5,FALSE)-1,0)</f>
        <v>0.24135403478577611</v>
      </c>
      <c r="H18" s="77">
        <f>IFERROR(VLOOKUP(C18,Deaths_since_10!C:G,5,FALSE)-1,0)</f>
        <v>0.14354703364926591</v>
      </c>
      <c r="J18" s="68">
        <f t="shared" si="0"/>
        <v>20.898964563377007</v>
      </c>
      <c r="K18" s="67">
        <v>12.5</v>
      </c>
      <c r="L18" s="61">
        <f>VLOOKUP(C18,Country_Data!C:J,8,FALSE)</f>
        <v>109581078</v>
      </c>
      <c r="M18" s="60">
        <f t="shared" si="3"/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2"/>
        <v>16</v>
      </c>
      <c r="C19" s="62" t="s">
        <v>60</v>
      </c>
      <c r="D19" s="75">
        <f>VLOOKUP(C19,Country_Data!B:F,5,FALSE)</f>
        <v>95923</v>
      </c>
      <c r="E19" s="75">
        <f>D19*Projections_Data!$C$15</f>
        <v>6876.2007168458777</v>
      </c>
      <c r="F19" s="75">
        <f>VLOOKUP(C19,Country_Data!C:G,5,FALSE)</f>
        <v>8464</v>
      </c>
      <c r="G19" s="76">
        <f>IFERROR(VLOOKUP(C19,Days_Since_100!C:G,5,FALSE)-1,0)</f>
        <v>0.10667480804163509</v>
      </c>
      <c r="H19" s="77">
        <f>IFERROR(VLOOKUP(C19,Deaths_since_10!C:G,5,FALSE)-1,0)</f>
        <v>0.1416113589586856</v>
      </c>
      <c r="J19" s="68">
        <f t="shared" si="0"/>
        <v>-7.9050072999065666</v>
      </c>
      <c r="K19" s="67">
        <v>6.6</v>
      </c>
      <c r="L19" s="61">
        <f>VLOOKUP(C19,Country_Data!C:J,8,FALSE)</f>
        <v>46754778</v>
      </c>
      <c r="M19" s="60">
        <f t="shared" si="3"/>
        <v>3085.8153479999996</v>
      </c>
      <c r="O19" s="59">
        <f t="array" ref="O19">IF(OR(C19=$Q$4:$Q$22),1,0)</f>
        <v>1</v>
      </c>
    </row>
    <row r="20" spans="2:15" s="59" customFormat="1" ht="13.8" customHeight="1" x14ac:dyDescent="0.3">
      <c r="B20" s="66">
        <f t="shared" si="2"/>
        <v>17</v>
      </c>
      <c r="C20" s="62" t="s">
        <v>43</v>
      </c>
      <c r="D20" s="75">
        <f>VLOOKUP(C20,Country_Data!B:F,5,FALSE)</f>
        <v>2766</v>
      </c>
      <c r="E20" s="75">
        <f>D20*Projections_Data!$C$15</f>
        <v>198.27956989247312</v>
      </c>
      <c r="F20" s="75">
        <f>VLOOKUP(C20,Country_Data!C:G,5,FALSE)</f>
        <v>43</v>
      </c>
      <c r="G20" s="76">
        <f>IFERROR(VLOOKUP(C20,Days_Since_100!C:G,5,FALSE)-1,0)</f>
        <v>6.3722756885269849E-2</v>
      </c>
      <c r="H20" s="77">
        <f>IFERROR(VLOOKUP(C20,Deaths_since_10!C:G,5,FALSE)-1,0)</f>
        <v>0.13330844220540294</v>
      </c>
      <c r="J20" s="68">
        <f t="shared" si="0"/>
        <v>57.521951298419694</v>
      </c>
      <c r="K20" s="67">
        <v>21.4</v>
      </c>
      <c r="L20" s="61">
        <f>VLOOKUP(C20,Country_Data!C:J,8,FALSE)</f>
        <v>32365999</v>
      </c>
      <c r="M20" s="60">
        <f t="shared" si="3"/>
        <v>6926.323785999999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107</v>
      </c>
      <c r="D21" s="75">
        <f>VLOOKUP(C21,Country_Data!B:F,5,FALSE)</f>
        <v>1528</v>
      </c>
      <c r="E21" s="75">
        <f>D21*Projections_Data!$C$15</f>
        <v>109.53405017921146</v>
      </c>
      <c r="F21" s="75">
        <f>VLOOKUP(C21,Country_Data!C:G,5,FALSE)</f>
        <v>136</v>
      </c>
      <c r="G21" s="76">
        <f>IFERROR(VLOOKUP(C21,Days_Since_100!C:G,5,FALSE)-1,0)</f>
        <v>0.11340810669794421</v>
      </c>
      <c r="H21" s="77">
        <f>IFERROR(VLOOKUP(C21,Deaths_since_10!C:G,5,FALSE)-1,0)</f>
        <v>0.11760635116972784</v>
      </c>
      <c r="J21" s="68" t="str">
        <f t="shared" si="0"/>
        <v/>
      </c>
      <c r="K21" s="67"/>
      <c r="L21" s="61">
        <f>VLOOKUP(C21,Country_Data!C:J,8,FALSE)</f>
        <v>273523615</v>
      </c>
      <c r="M21" s="60">
        <f t="shared" si="3"/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58</v>
      </c>
      <c r="D22" s="75">
        <f>VLOOKUP(C22,Country_Data!B:F,5,FALSE)</f>
        <v>105792</v>
      </c>
      <c r="E22" s="75">
        <f>D22*Projections_Data!$C$15</f>
        <v>7583.655913978494</v>
      </c>
      <c r="F22" s="75">
        <f>VLOOKUP(C22,Country_Data!C:G,5,FALSE)</f>
        <v>12428</v>
      </c>
      <c r="G22" s="76">
        <f>IFERROR(VLOOKUP(C22,Days_Since_100!C:G,5,FALSE)-1,0)</f>
        <v>5.5930688970435183E-2</v>
      </c>
      <c r="H22" s="77">
        <f>IFERROR(VLOOKUP(C22,Deaths_since_10!C:G,5,FALSE)-1,0)</f>
        <v>8.6322401421550454E-2</v>
      </c>
      <c r="J22" s="68">
        <f t="shared" si="0"/>
        <v>-13.549419337616996</v>
      </c>
      <c r="K22" s="67">
        <v>6</v>
      </c>
      <c r="L22" s="61">
        <f>VLOOKUP(C22,Country_Data!C:J,8,FALSE)</f>
        <v>60461826</v>
      </c>
      <c r="M22" s="60">
        <f t="shared" si="3"/>
        <v>3627.7095599999998</v>
      </c>
      <c r="O22" s="59">
        <f t="array" ref="O22">IF(OR(C22=$Q$4:$Q$22),1,0)</f>
        <v>1</v>
      </c>
    </row>
    <row r="23" spans="2:15" s="59" customFormat="1" ht="13.8" customHeight="1" thickBot="1" x14ac:dyDescent="0.35">
      <c r="B23" s="66">
        <f t="shared" si="2"/>
        <v>20</v>
      </c>
      <c r="C23" s="62" t="s">
        <v>145</v>
      </c>
      <c r="D23" s="75">
        <f>VLOOKUP(C23,Country_Data!B:F,5,FALSE)</f>
        <v>1353</v>
      </c>
      <c r="E23" s="75">
        <f>D23*Projections_Data!$C$15</f>
        <v>96.989247311827953</v>
      </c>
      <c r="F23" s="75">
        <f>VLOOKUP(C23,Country_Data!C:G,5,FALSE)</f>
        <v>5</v>
      </c>
      <c r="G23" s="76">
        <f>IFERROR(VLOOKUP(C23,Days_Since_100!C:G,5,FALSE)-1,0)</f>
        <v>7.8558268263291708E-2</v>
      </c>
      <c r="H23" s="77">
        <f>IFERROR(VLOOKUP(C23,Deaths_since_10!C:G,5,FALSE)-1,0)</f>
        <v>0</v>
      </c>
      <c r="J23" s="68" t="str">
        <f t="shared" si="0"/>
        <v/>
      </c>
      <c r="K23" s="67"/>
      <c r="L23" s="61">
        <f>VLOOKUP(C23,Country_Data!C:J,8,FALSE)</f>
        <v>59308690</v>
      </c>
      <c r="M23" s="60">
        <f t="shared" si="3"/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99</v>
      </c>
      <c r="D24" s="75">
        <f>VLOOKUP(C24,Country_Data!B:F,5,FALSE)</f>
        <v>2178</v>
      </c>
      <c r="E24" s="75">
        <f>D24*Projections_Data!$C$15</f>
        <v>156.12903225806451</v>
      </c>
      <c r="F24" s="75">
        <f>VLOOKUP(C24,Country_Data!C:G,5,FALSE)</f>
        <v>23</v>
      </c>
      <c r="G24" s="76">
        <f>IFERROR(VLOOKUP(C24,Days_Since_100!C:G,5,FALSE)-1,0)</f>
        <v>8.4322456615250951E-2</v>
      </c>
      <c r="H24" s="77">
        <f>IFERROR(VLOOKUP(C24,Deaths_since_10!C:G,5,FALSE)-1,0)</f>
        <v>0.20641593598215136</v>
      </c>
      <c r="J24" s="68">
        <f t="shared" ref="J24:J43" si="4">IFERROR(LOG((M24/E24),1+G24),"")</f>
        <v>-7.0336338223478914E-2</v>
      </c>
      <c r="K24" s="67">
        <v>24.8</v>
      </c>
      <c r="L24" s="61">
        <f>VLOOKUP(C24,Country_Data!C:J,8,FALSE)</f>
        <v>625978</v>
      </c>
      <c r="M24" s="60">
        <f t="shared" ref="M24:M27" si="5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35</v>
      </c>
      <c r="D25" s="75">
        <f>VLOOKUP(C25,Country_Data!B:F,5,FALSE)</f>
        <v>1651</v>
      </c>
      <c r="E25" s="75">
        <f>D25*Projections_Data!$C$15</f>
        <v>118.35125448028673</v>
      </c>
      <c r="F25" s="75">
        <f>VLOOKUP(C25,Country_Data!C:G,5,FALSE)</f>
        <v>10</v>
      </c>
      <c r="G25" s="76">
        <f>IFERROR(VLOOKUP(C25,Days_Since_100!C:G,5,FALSE)-1,0)</f>
        <v>9.5787032140719264E-2</v>
      </c>
      <c r="H25" s="77">
        <f>IFERROR(VLOOKUP(C25,Deaths_since_10!C:G,5,FALSE)-1,0)</f>
        <v>0.11111111111111116</v>
      </c>
      <c r="J25" s="68" t="str">
        <f t="shared" si="4"/>
        <v/>
      </c>
      <c r="K25" s="67"/>
      <c r="L25" s="61">
        <f>VLOOKUP(C25,Country_Data!C:J,8,FALSE)</f>
        <v>69799978</v>
      </c>
      <c r="M25" s="60">
        <f t="shared" si="5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48</v>
      </c>
      <c r="D26" s="75">
        <f>VLOOKUP(C26,Country_Data!B:F,5,FALSE)</f>
        <v>4559</v>
      </c>
      <c r="E26" s="75">
        <f>D26*Projections_Data!$C$15</f>
        <v>326.81003584229387</v>
      </c>
      <c r="F26" s="75">
        <f>VLOOKUP(C26,Country_Data!C:G,5,FALSE)</f>
        <v>18</v>
      </c>
      <c r="G26" s="76">
        <f>IFERROR(VLOOKUP(C26,Days_Since_100!C:G,5,FALSE)-1,0)</f>
        <v>0.1016221370339585</v>
      </c>
      <c r="H26" s="77">
        <f>IFERROR(VLOOKUP(C26,Deaths_since_10!C:G,5,FALSE)-1,0)</f>
        <v>6.7249181879538877E-2</v>
      </c>
      <c r="J26" s="68" t="str">
        <f t="shared" si="4"/>
        <v/>
      </c>
      <c r="K26" s="67"/>
      <c r="L26" s="61">
        <f>VLOOKUP(C26,Country_Data!C:J,8,FALSE)</f>
        <v>25499884</v>
      </c>
      <c r="M26" s="60">
        <f t="shared" si="5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86</v>
      </c>
      <c r="D27" s="75">
        <f>VLOOKUP(C27,Country_Data!B:F,5,FALSE)</f>
        <v>2245</v>
      </c>
      <c r="E27" s="75">
        <f>D27*Projections_Data!$C$15</f>
        <v>160.93189964157705</v>
      </c>
      <c r="F27" s="75">
        <f>VLOOKUP(C27,Country_Data!C:G,5,FALSE)</f>
        <v>82</v>
      </c>
      <c r="G27" s="76">
        <f>IFERROR(VLOOKUP(C27,Days_Since_100!C:G,5,FALSE)-1,0)</f>
        <v>0.16885380275510875</v>
      </c>
      <c r="H27" s="77">
        <f>IFERROR(VLOOKUP(C27,Deaths_since_10!C:G,5,FALSE)-1,0)</f>
        <v>0.28948769813552477</v>
      </c>
      <c r="J27" s="68" t="str">
        <f t="shared" si="4"/>
        <v/>
      </c>
      <c r="K27" s="67"/>
      <c r="L27" s="61">
        <f>VLOOKUP(C27,Country_Data!C:J,8,FALSE)</f>
        <v>19237691</v>
      </c>
      <c r="M27" s="60">
        <f t="shared" si="5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79</v>
      </c>
      <c r="D28" s="75">
        <f>VLOOKUP(C28,Country_Data!B:F,5,FALSE)</f>
        <v>5358</v>
      </c>
      <c r="E28" s="75">
        <f>D28*Projections_Data!$C$15</f>
        <v>384.08602150537632</v>
      </c>
      <c r="F28" s="75">
        <f>VLOOKUP(C28,Country_Data!C:G,5,FALSE)</f>
        <v>20</v>
      </c>
      <c r="G28" s="76">
        <f>IFERROR(VLOOKUP(C28,Days_Since_100!C:G,5,FALSE)-1,0)</f>
        <v>0.14750152446167952</v>
      </c>
      <c r="H28" s="77">
        <f>IFERROR(VLOOKUP(C28,Deaths_since_10!C:G,5,FALSE)-1,0)</f>
        <v>0.20112443398143132</v>
      </c>
      <c r="J28" s="68" t="str">
        <f t="shared" si="4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113</v>
      </c>
      <c r="D29" s="75">
        <f>VLOOKUP(C29,Country_Data!B:F,5,FALSE)</f>
        <v>1563</v>
      </c>
      <c r="E29" s="75">
        <f>D29*Projections_Data!$C$15</f>
        <v>112.04301075268816</v>
      </c>
      <c r="F29" s="75">
        <f>VLOOKUP(C29,Country_Data!C:G,5,FALSE)</f>
        <v>10</v>
      </c>
      <c r="G29" s="76">
        <f>IFERROR(VLOOKUP(C29,Days_Since_100!C:G,5,FALSE)-1,0)</f>
        <v>9.0826533078809391E-2</v>
      </c>
      <c r="H29" s="77">
        <f>IFERROR(VLOOKUP(C29,Deaths_since_10!C:G,5,FALSE)-1,0)</f>
        <v>0.1180339887498949</v>
      </c>
      <c r="J29" s="68">
        <f t="shared" si="4"/>
        <v>39.176589224857331</v>
      </c>
      <c r="K29" s="67">
        <v>9.6999999999999993</v>
      </c>
      <c r="L29" s="61">
        <f>VLOOKUP(C29,Country_Data!C:J,8,FALSE)</f>
        <v>34813871</v>
      </c>
      <c r="M29" s="60">
        <f t="shared" ref="M29:M36" si="6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57</v>
      </c>
      <c r="D30" s="75">
        <f>VLOOKUP(C30,Country_Data!B:F,5,FALSE)</f>
        <v>1397</v>
      </c>
      <c r="E30" s="75">
        <f>D30*Projections_Data!$C$15</f>
        <v>100.14336917562723</v>
      </c>
      <c r="F30" s="75">
        <f>VLOOKUP(C30,Country_Data!C:G,5,FALSE)</f>
        <v>35</v>
      </c>
      <c r="G30" s="76">
        <f>IFERROR(VLOOKUP(C30,Days_Since_100!C:G,5,FALSE)-1,0)</f>
        <v>0.13954741175383334</v>
      </c>
      <c r="H30" s="77">
        <f>IFERROR(VLOOKUP(C30,Deaths_since_10!C:G,5,FALSE)-1,0)</f>
        <v>0.11842691472014466</v>
      </c>
      <c r="J30" s="68" t="str">
        <f t="shared" si="4"/>
        <v/>
      </c>
      <c r="K30" s="67"/>
      <c r="L30" s="61">
        <f>VLOOKUP(C30,Country_Data!C:J,8,FALSE)</f>
        <v>1380004385</v>
      </c>
      <c r="M30" s="60">
        <f t="shared" si="6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344</v>
      </c>
      <c r="D31" s="75">
        <f>VLOOKUP(C31,Country_Data!B:F,5,FALSE)</f>
        <v>2337</v>
      </c>
      <c r="E31" s="75">
        <f>D31*Projections_Data!$C$15</f>
        <v>167.52688172043011</v>
      </c>
      <c r="F31" s="75">
        <f>VLOOKUP(C31,Country_Data!C:G,5,FALSE)</f>
        <v>17</v>
      </c>
      <c r="G31" s="76">
        <f>IFERROR(VLOOKUP(C31,Days_Since_100!C:G,5,FALSE)-1,0)</f>
        <v>0.22708849788106122</v>
      </c>
      <c r="H31" s="77">
        <f>IFERROR(VLOOKUP(C31,Deaths_since_10!C:G,5,FALSE)-1,0)</f>
        <v>0.45773797371132519</v>
      </c>
      <c r="J31" s="68">
        <f t="shared" si="4"/>
        <v>19.723985960864958</v>
      </c>
      <c r="K31" s="67">
        <v>6.5</v>
      </c>
      <c r="L31" s="61">
        <f>VLOOKUP(C31,Country_Data!C:J,8,FALSE)</f>
        <v>145934462</v>
      </c>
      <c r="M31" s="60">
        <f t="shared" si="6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98</v>
      </c>
      <c r="D32" s="75">
        <f>VLOOKUP(C32,Country_Data!B:F,5,FALSE)</f>
        <v>3235</v>
      </c>
      <c r="E32" s="75">
        <f>D32*Projections_Data!$C$15</f>
        <v>231.89964157706092</v>
      </c>
      <c r="F32" s="75">
        <f>VLOOKUP(C32,Country_Data!C:G,5,FALSE)</f>
        <v>71</v>
      </c>
      <c r="G32" s="76">
        <f>IFERROR(VLOOKUP(C32,Days_Since_100!C:G,5,FALSE)-1,0)</f>
        <v>0.12203994232092219</v>
      </c>
      <c r="H32" s="77">
        <f>IFERROR(VLOOKUP(C32,Deaths_since_10!C:G,5,FALSE)-1,0)</f>
        <v>0.30167016158314364</v>
      </c>
      <c r="J32" s="68" t="str">
        <f t="shared" si="4"/>
        <v/>
      </c>
      <c r="K32" s="67"/>
      <c r="L32" s="61">
        <f>VLOOKUP(C32,Country_Data!C:J,8,FALSE)</f>
        <v>4937786</v>
      </c>
      <c r="M32" s="60">
        <f t="shared" si="6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80</v>
      </c>
      <c r="D33" s="75">
        <f>VLOOKUP(C33,Country_Data!B:F,5,FALSE)</f>
        <v>1938</v>
      </c>
      <c r="E33" s="75">
        <f>D33*Projections_Data!$C$15</f>
        <v>138.92473118279568</v>
      </c>
      <c r="F33" s="75">
        <f>VLOOKUP(C33,Country_Data!C:G,5,FALSE)</f>
        <v>26</v>
      </c>
      <c r="G33" s="76">
        <f>IFERROR(VLOOKUP(C33,Days_Since_100!C:G,5,FALSE)-1,0)</f>
        <v>0.10042931945464395</v>
      </c>
      <c r="H33" s="77">
        <f>IFERROR(VLOOKUP(C33,Deaths_since_10!C:G,5,FALSE)-1,0)</f>
        <v>0.23636347834823446</v>
      </c>
      <c r="J33" s="68" t="str">
        <f t="shared" si="4"/>
        <v/>
      </c>
      <c r="K33" s="67"/>
      <c r="L33" s="61">
        <f>VLOOKUP(C33,Country_Data!C:J,8,FALSE)</f>
        <v>220892340</v>
      </c>
      <c r="M33" s="60">
        <f t="shared" si="6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111</v>
      </c>
      <c r="D34" s="75">
        <f>VLOOKUP(C34,Country_Data!B:F,5,FALSE)</f>
        <v>398</v>
      </c>
      <c r="E34" s="75">
        <f>D34*Projections_Data!$C$15</f>
        <v>28.530465949820787</v>
      </c>
      <c r="F34" s="75">
        <f>VLOOKUP(C34,Country_Data!C:G,5,FALSE)</f>
        <v>0</v>
      </c>
      <c r="G34" s="76">
        <f>IFERROR(VLOOKUP(C34,Days_Since_100!C:G,5,FALSE)-1,0)</f>
        <v>0.10280480362060485</v>
      </c>
      <c r="H34" s="77">
        <f>IFERROR(VLOOKUP(C34,Deaths_since_10!C:G,5,FALSE)-1,0)</f>
        <v>0</v>
      </c>
      <c r="J34" s="68">
        <f t="shared" si="4"/>
        <v>20.275258579029856</v>
      </c>
      <c r="K34" s="67">
        <v>11</v>
      </c>
      <c r="L34" s="61">
        <f>VLOOKUP(C34,Country_Data!C:J,8,FALSE)</f>
        <v>1886198</v>
      </c>
      <c r="M34" s="60">
        <f t="shared" si="6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67</v>
      </c>
      <c r="D35" s="75">
        <f>VLOOKUP(C35,Country_Data!B:F,5,FALSE)</f>
        <v>470</v>
      </c>
      <c r="E35" s="75">
        <f>D35*Projections_Data!$C$15</f>
        <v>33.691756272401435</v>
      </c>
      <c r="F35" s="75">
        <f>VLOOKUP(C35,Country_Data!C:G,5,FALSE)</f>
        <v>12</v>
      </c>
      <c r="G35" s="76">
        <f>IFERROR(VLOOKUP(C35,Days_Since_100!C:G,5,FALSE)-1,0)</f>
        <v>5.0146786753693773E-2</v>
      </c>
      <c r="H35" s="77">
        <f>IFERROR(VLOOKUP(C35,Deaths_since_10!C:G,5,FALSE)-1,0)</f>
        <v>0.1066819197003217</v>
      </c>
      <c r="J35" s="68">
        <f t="shared" si="4"/>
        <v>51.385258946411597</v>
      </c>
      <c r="K35" s="67">
        <v>6.1</v>
      </c>
      <c r="L35" s="61">
        <f>VLOOKUP(C35,Country_Data!C:J,8,FALSE)</f>
        <v>6825445</v>
      </c>
      <c r="M35" s="60">
        <f t="shared" si="6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342</v>
      </c>
      <c r="D36" s="75">
        <f>VLOOKUP(C36,Country_Data!B:F,5,FALSE)</f>
        <v>322</v>
      </c>
      <c r="E36" s="75">
        <f>D36*Projections_Data!$C$15</f>
        <v>23.082437275985662</v>
      </c>
      <c r="F36" s="75">
        <f>VLOOKUP(C36,Country_Data!C:G,5,FALSE)</f>
        <v>5</v>
      </c>
      <c r="G36" s="76">
        <f>IFERROR(VLOOKUP(C36,Days_Since_100!C:G,5,FALSE)-1,0)</f>
        <v>5.0246072638682637E-2</v>
      </c>
      <c r="H36" s="77">
        <f>IFERROR(VLOOKUP(C36,Deaths_since_10!C:G,5,FALSE)-1,0)</f>
        <v>0</v>
      </c>
      <c r="J36" s="68" t="str">
        <f t="shared" si="4"/>
        <v/>
      </c>
      <c r="K36" s="67"/>
      <c r="L36" s="61">
        <f>VLOOKUP(C36,Country_Data!C:J,8,FALSE)</f>
        <v>23816775</v>
      </c>
      <c r="M36" s="60">
        <f t="shared" si="6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7">B36+1</f>
        <v>34</v>
      </c>
      <c r="C37" s="62" t="s">
        <v>54</v>
      </c>
      <c r="D37" s="75">
        <f>VLOOKUP(C37,Country_Data!B:F,5,FALSE)</f>
        <v>1418</v>
      </c>
      <c r="E37" s="75">
        <f>D37*Projections_Data!$C$15</f>
        <v>101.64874551971326</v>
      </c>
      <c r="F37" s="75">
        <f>VLOOKUP(C37,Country_Data!C:G,5,FALSE)</f>
        <v>17</v>
      </c>
      <c r="G37" s="76">
        <f>IFERROR(VLOOKUP(C37,Days_Since_100!C:G,5,FALSE)-1,0)</f>
        <v>8.1588707633271529E-2</v>
      </c>
      <c r="H37" s="77">
        <f>IFERROR(VLOOKUP(C37,Deaths_since_10!C:G,5,FALSE)-1,0)</f>
        <v>0.23614325642206313</v>
      </c>
      <c r="I37" s="58"/>
      <c r="J37" s="68" t="str">
        <f t="shared" si="4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7"/>
        <v>35</v>
      </c>
      <c r="C38" s="62" t="s">
        <v>199</v>
      </c>
      <c r="D38" s="75">
        <f>VLOOKUP(C38,Country_Data!B:F,5,FALSE)</f>
        <v>399</v>
      </c>
      <c r="E38" s="75">
        <f>D38*Projections_Data!$C$15</f>
        <v>28.602150537634408</v>
      </c>
      <c r="F38" s="75">
        <f>VLOOKUP(C38,Country_Data!C:G,5,FALSE)</f>
        <v>8</v>
      </c>
      <c r="G38" s="76">
        <f>IFERROR(VLOOKUP(C38,Days_Since_100!C:G,5,FALSE)-1,0)</f>
        <v>8.6109953549167617E-2</v>
      </c>
      <c r="H38" s="77">
        <f>IFERROR(VLOOKUP(C38,Deaths_since_10!C:G,5,FALSE)-1,0)</f>
        <v>0</v>
      </c>
      <c r="J38" s="68" t="str">
        <f t="shared" si="4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7"/>
        <v>36</v>
      </c>
      <c r="C39" s="62" t="s">
        <v>92</v>
      </c>
      <c r="D39" s="75">
        <f>VLOOKUP(C39,Country_Data!B:F,5,FALSE)</f>
        <v>1135</v>
      </c>
      <c r="E39" s="75">
        <f>D39*Projections_Data!$C$15</f>
        <v>81.362007168458774</v>
      </c>
      <c r="F39" s="75">
        <f>VLOOKUP(C39,Country_Data!C:G,5,FALSE)</f>
        <v>5</v>
      </c>
      <c r="G39" s="76">
        <f>IFERROR(VLOOKUP(C39,Days_Since_100!C:G,5,FALSE)-1,0)</f>
        <v>7.1924750129228165E-2</v>
      </c>
      <c r="H39" s="77">
        <f>IFERROR(VLOOKUP(C39,Deaths_since_10!C:G,5,FALSE)-1,0)</f>
        <v>0</v>
      </c>
      <c r="J39" s="68" t="str">
        <f t="shared" si="4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7"/>
        <v>37</v>
      </c>
      <c r="C40" s="62" t="s">
        <v>92</v>
      </c>
      <c r="D40" s="75">
        <f>VLOOKUP(C40,Country_Data!B:F,5,FALSE)</f>
        <v>1135</v>
      </c>
      <c r="E40" s="75">
        <f>D40*Projections_Data!$C$15</f>
        <v>81.362007168458774</v>
      </c>
      <c r="F40" s="75">
        <f>VLOOKUP(C40,Country_Data!C:G,5,FALSE)</f>
        <v>5</v>
      </c>
      <c r="G40" s="76">
        <f>IFERROR(VLOOKUP(C40,Days_Since_100!C:G,5,FALSE)-1,0)</f>
        <v>7.1924750129228165E-2</v>
      </c>
      <c r="H40" s="77">
        <f>IFERROR(VLOOKUP(C40,Deaths_since_10!C:G,5,FALSE)-1,0)</f>
        <v>0</v>
      </c>
      <c r="J40" s="68">
        <f t="shared" si="4"/>
        <v>-5.8334118851541259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7"/>
        <v>38</v>
      </c>
      <c r="C41" s="62" t="s">
        <v>160</v>
      </c>
      <c r="D41" s="75">
        <f>VLOOKUP(C41,Country_Data!B:F,5,FALSE)</f>
        <v>1065</v>
      </c>
      <c r="E41" s="75">
        <f>D41*Projections_Data!$C$15</f>
        <v>76.344086021505376</v>
      </c>
      <c r="F41" s="75">
        <f>VLOOKUP(C41,Country_Data!C:G,5,FALSE)</f>
        <v>30</v>
      </c>
      <c r="G41" s="76">
        <f>IFERROR(VLOOKUP(C41,Days_Since_100!C:G,5,FALSE)-1,0)</f>
        <v>0.12923498036123982</v>
      </c>
      <c r="H41" s="77">
        <f>IFERROR(VLOOKUP(C41,Deaths_since_10!C:G,5,FALSE)-1,0)</f>
        <v>0.27225963653939211</v>
      </c>
      <c r="J41" s="68">
        <f t="shared" si="4"/>
        <v>39.826893196655739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7"/>
        <v>39</v>
      </c>
      <c r="C42" s="62" t="s">
        <v>162</v>
      </c>
      <c r="D42" s="75">
        <f>VLOOKUP(C42,Country_Data!B:F,5,FALSE)</f>
        <v>363</v>
      </c>
      <c r="E42" s="75">
        <f>D42*Projections_Data!$C$15</f>
        <v>26.021505376344084</v>
      </c>
      <c r="F42" s="75">
        <f>VLOOKUP(C42,Country_Data!C:G,5,FALSE)</f>
        <v>1</v>
      </c>
      <c r="G42" s="76">
        <f>IFERROR(VLOOKUP(C42,Days_Since_100!C:G,5,FALSE)-1,0)</f>
        <v>9.9409884259598957E-2</v>
      </c>
      <c r="H42" s="77">
        <f>IFERROR(VLOOKUP(C42,Deaths_since_10!C:G,5,FALSE)-1,0)</f>
        <v>0</v>
      </c>
      <c r="I42" s="58"/>
      <c r="J42" s="68" t="str">
        <f t="shared" si="4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7"/>
        <v>40</v>
      </c>
      <c r="C43" s="62" t="s">
        <v>40</v>
      </c>
      <c r="D43" s="75">
        <f>VLOOKUP(C43,Country_Data!B:F,5,FALSE)</f>
        <v>926</v>
      </c>
      <c r="E43" s="75">
        <f>D43*Projections_Data!$C$15</f>
        <v>66.379928315412187</v>
      </c>
      <c r="F43" s="75">
        <f>VLOOKUP(C43,Country_Data!C:G,5,FALSE)</f>
        <v>3</v>
      </c>
      <c r="G43" s="76">
        <f>IFERROR(VLOOKUP(C43,Days_Since_100!C:G,5,FALSE)-1,0)</f>
        <v>6.2766990063207295E-2</v>
      </c>
      <c r="H43" s="77">
        <f>IFERROR(VLOOKUP(C43,Deaths_since_10!C:G,5,FALSE)-1,0)</f>
        <v>0</v>
      </c>
      <c r="J43" s="68" t="str">
        <f t="shared" si="4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7"/>
        <v>41</v>
      </c>
      <c r="C44" s="62" t="s">
        <v>65</v>
      </c>
      <c r="D44" s="75">
        <f>VLOOKUP(C44,Country_Data!B:F,5,FALSE)</f>
        <v>710</v>
      </c>
      <c r="E44" s="75">
        <f>D44*Projections_Data!$C$15</f>
        <v>50.896057347670251</v>
      </c>
      <c r="F44" s="75">
        <f>VLOOKUP(C44,Country_Data!C:G,5,FALSE)</f>
        <v>46</v>
      </c>
      <c r="G44" s="76">
        <f>IFERROR(VLOOKUP(C44,Days_Since_100!C:G,5,FALSE)-1,0)</f>
        <v>7.4807355670618358E-2</v>
      </c>
      <c r="H44" s="77">
        <f>IFERROR(VLOOKUP(C44,Deaths_since_10!C:G,5,FALSE)-1,0)</f>
        <v>0.13896221858789914</v>
      </c>
      <c r="J44" s="68">
        <f t="shared" ref="J44:J66" si="8">IFERROR(LOG((M44/E44),1+G44),"")</f>
        <v>46.900018287476932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7"/>
        <v>42</v>
      </c>
      <c r="C45" s="62" t="s">
        <v>85</v>
      </c>
      <c r="D45" s="75">
        <f>VLOOKUP(C45,Country_Data!B:F,5,FALSE)</f>
        <v>4641</v>
      </c>
      <c r="E45" s="75">
        <f>D45*Projections_Data!$C$15</f>
        <v>332.68817204301075</v>
      </c>
      <c r="F45" s="75">
        <f>VLOOKUP(C45,Country_Data!C:G,5,FALSE)</f>
        <v>39</v>
      </c>
      <c r="G45" s="76">
        <f>IFERROR(VLOOKUP(C45,Days_Since_100!C:G,5,FALSE)-1,0)</f>
        <v>6.6159329255062405E-2</v>
      </c>
      <c r="H45" s="77">
        <f>IFERROR(VLOOKUP(C45,Deaths_since_10!C:G,5,FALSE)-1,0)</f>
        <v>0.22740337821451306</v>
      </c>
      <c r="J45" s="68">
        <f t="shared" si="8"/>
        <v>4.138842603776741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7"/>
        <v>43</v>
      </c>
      <c r="C46" s="62" t="s">
        <v>59</v>
      </c>
      <c r="D46" s="75">
        <f>VLOOKUP(C46,Country_Data!B:F,5,FALSE)</f>
        <v>4435</v>
      </c>
      <c r="E46" s="75">
        <f>D46*Projections_Data!$C$15</f>
        <v>317.92114695340501</v>
      </c>
      <c r="F46" s="75">
        <f>VLOOKUP(C46,Country_Data!C:G,5,FALSE)</f>
        <v>180</v>
      </c>
      <c r="G46" s="76">
        <f>IFERROR(VLOOKUP(C46,Days_Since_100!C:G,5,FALSE)-1,0)</f>
        <v>9.3238850444831156E-2</v>
      </c>
      <c r="H46" s="77">
        <f>IFERROR(VLOOKUP(C46,Deaths_since_10!C:G,5,FALSE)-1,0)</f>
        <v>0.18510370533357379</v>
      </c>
      <c r="J46" s="68">
        <f t="shared" si="8"/>
        <v>17.210957749259752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7"/>
        <v>44</v>
      </c>
      <c r="C47" s="62" t="s">
        <v>83</v>
      </c>
      <c r="D47" s="75">
        <f>VLOOKUP(C47,Country_Data!B:F,5,FALSE)</f>
        <v>1314</v>
      </c>
      <c r="E47" s="75">
        <f>D47*Projections_Data!$C$15</f>
        <v>94.193548387096769</v>
      </c>
      <c r="F47" s="75">
        <f>VLOOKUP(C47,Country_Data!C:G,5,FALSE)</f>
        <v>49</v>
      </c>
      <c r="G47" s="76">
        <f>IFERROR(VLOOKUP(C47,Days_Since_100!C:G,5,FALSE)-1,0)</f>
        <v>8.0553071495846007E-2</v>
      </c>
      <c r="H47" s="77">
        <f>IFERROR(VLOOKUP(C47,Deaths_since_10!C:G,5,FALSE)-1,0)</f>
        <v>0.13512724186270764</v>
      </c>
      <c r="J47" s="68" t="str">
        <f t="shared" si="8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7"/>
        <v>45</v>
      </c>
      <c r="C48" s="62" t="s">
        <v>70</v>
      </c>
      <c r="D48" s="75">
        <f>VLOOKUP(C48,Country_Data!B:F,5,FALSE)</f>
        <v>694</v>
      </c>
      <c r="E48" s="75">
        <f>D48*Projections_Data!$C$15</f>
        <v>49.749103942652326</v>
      </c>
      <c r="F48" s="75">
        <f>VLOOKUP(C48,Country_Data!C:G,5,FALSE)</f>
        <v>50</v>
      </c>
      <c r="G48" s="76">
        <f>IFERROR(VLOOKUP(C48,Days_Since_100!C:G,5,FALSE)-1,0)</f>
        <v>0.12683212931206422</v>
      </c>
      <c r="H48" s="77">
        <f>IFERROR(VLOOKUP(C48,Deaths_since_10!C:G,5,FALSE)-1,0)</f>
        <v>6.790716584560208E-2</v>
      </c>
      <c r="J48" s="68">
        <f t="shared" si="8"/>
        <v>32.224003116076013</v>
      </c>
      <c r="K48" s="67">
        <v>5.8</v>
      </c>
      <c r="L48" s="61">
        <f>VLOOKUP(C48,Country_Data!C:J,8,FALSE)</f>
        <v>40222493</v>
      </c>
      <c r="M48" s="60">
        <f t="shared" ref="M48:M61" si="9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7"/>
        <v>46</v>
      </c>
      <c r="C49" s="62" t="s">
        <v>141</v>
      </c>
      <c r="D49" s="75">
        <f>VLOOKUP(C49,Country_Data!B:F,5,FALSE)</f>
        <v>802</v>
      </c>
      <c r="E49" s="75">
        <f>D49*Projections_Data!$C$15</f>
        <v>57.491039426523294</v>
      </c>
      <c r="F49" s="75">
        <f>VLOOKUP(C49,Country_Data!C:G,5,FALSE)</f>
        <v>15</v>
      </c>
      <c r="G49" s="76">
        <f>IFERROR(VLOOKUP(C49,Days_Since_100!C:G,5,FALSE)-1,0)</f>
        <v>7.3711514567222025E-2</v>
      </c>
      <c r="H49" s="77">
        <f>IFERROR(VLOOKUP(C49,Deaths_since_10!C:G,5,FALSE)-1,0)</f>
        <v>0.13621936646749933</v>
      </c>
      <c r="J49" s="68" t="str">
        <f t="shared" si="8"/>
        <v/>
      </c>
      <c r="K49" s="67"/>
      <c r="L49" s="61">
        <f>VLOOKUP(C49,Country_Data!C:J,8,FALSE)</f>
        <v>2078938</v>
      </c>
      <c r="M49" s="60">
        <f t="shared" si="9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7"/>
        <v>47</v>
      </c>
      <c r="C50" s="62" t="s">
        <v>87</v>
      </c>
      <c r="D50" s="75">
        <f>VLOOKUP(C50,Country_Data!B:F,5,FALSE)</f>
        <v>3039</v>
      </c>
      <c r="E50" s="75">
        <f>D50*Projections_Data!$C$15</f>
        <v>217.84946236559139</v>
      </c>
      <c r="F50" s="75">
        <f>VLOOKUP(C50,Country_Data!C:G,5,FALSE)</f>
        <v>90</v>
      </c>
      <c r="G50" s="76">
        <f>IFERROR(VLOOKUP(C50,Days_Since_100!C:G,5,FALSE)-1,0)</f>
        <v>8.4793223216788061E-2</v>
      </c>
      <c r="H50" s="77">
        <f>IFERROR(VLOOKUP(C50,Deaths_since_10!C:G,5,FALSE)-1,0)</f>
        <v>0.17028524790746813</v>
      </c>
      <c r="J50" s="68" t="str">
        <f t="shared" si="8"/>
        <v/>
      </c>
      <c r="K50" s="67"/>
      <c r="L50" s="61">
        <f>VLOOKUP(C50,Country_Data!C:J,8,FALSE)</f>
        <v>5792202</v>
      </c>
      <c r="M50" s="60">
        <f t="shared" si="9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7"/>
        <v>48</v>
      </c>
      <c r="C51" s="62" t="s">
        <v>90</v>
      </c>
      <c r="D51" s="75">
        <f>VLOOKUP(C51,Country_Data!B:F,5,FALSE)</f>
        <v>236</v>
      </c>
      <c r="E51" s="75">
        <f>D51*Projections_Data!$C$15</f>
        <v>16.917562724014335</v>
      </c>
      <c r="F51" s="75">
        <f>VLOOKUP(C51,Country_Data!C:G,5,FALSE)</f>
        <v>26</v>
      </c>
      <c r="G51" s="76">
        <f>IFERROR(VLOOKUP(C51,Days_Since_100!C:G,5,FALSE)-1,0)</f>
        <v>2.5580450076664984E-2</v>
      </c>
      <c r="H51" s="77">
        <f>IFERROR(VLOOKUP(C51,Deaths_since_10!C:G,5,FALSE)-1,0)</f>
        <v>4.3640227150435917E-2</v>
      </c>
      <c r="J51" s="68" t="str">
        <f t="shared" si="8"/>
        <v/>
      </c>
      <c r="K51" s="67"/>
      <c r="L51" s="61">
        <f>VLOOKUP(C51,Country_Data!C:J,8,FALSE)</f>
        <v>33931</v>
      </c>
      <c r="M51" s="60">
        <f t="shared" si="9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7"/>
        <v>49</v>
      </c>
      <c r="C52" s="62" t="s">
        <v>55</v>
      </c>
      <c r="D52" s="75">
        <f>VLOOKUP(C52,Country_Data!B:F,5,FALSE)</f>
        <v>664</v>
      </c>
      <c r="E52" s="75">
        <f>D52*Projections_Data!$C$15</f>
        <v>47.598566308243726</v>
      </c>
      <c r="F52" s="75">
        <f>VLOOKUP(C52,Country_Data!C:G,5,FALSE)</f>
        <v>6</v>
      </c>
      <c r="G52" s="76">
        <f>IFERROR(VLOOKUP(C52,Days_Since_100!C:G,5,FALSE)-1,0)</f>
        <v>0.14800761585935507</v>
      </c>
      <c r="H52" s="77">
        <f>IFERROR(VLOOKUP(C52,Deaths_since_10!C:G,5,FALSE)-1,0)</f>
        <v>0</v>
      </c>
      <c r="J52" s="68">
        <f t="shared" si="8"/>
        <v>19.079143865112542</v>
      </c>
      <c r="K52" s="67">
        <v>6.7</v>
      </c>
      <c r="L52" s="61">
        <f>VLOOKUP(C52,Country_Data!C:J,8,FALSE)</f>
        <v>9890402</v>
      </c>
      <c r="M52" s="60">
        <f t="shared" si="9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7"/>
        <v>50</v>
      </c>
      <c r="C53" s="62" t="s">
        <v>73</v>
      </c>
      <c r="D53" s="75">
        <f>VLOOKUP(C53,Country_Data!B:F,5,FALSE)</f>
        <v>567</v>
      </c>
      <c r="E53" s="75">
        <f>D53*Projections_Data!$C$15</f>
        <v>40.645161290322577</v>
      </c>
      <c r="F53" s="75">
        <f>VLOOKUP(C53,Country_Data!C:G,5,FALSE)</f>
        <v>4</v>
      </c>
      <c r="G53" s="76">
        <f>IFERROR(VLOOKUP(C53,Days_Since_100!C:G,5,FALSE)-1,0)</f>
        <v>4.362269817351816E-2</v>
      </c>
      <c r="H53" s="77">
        <f>IFERROR(VLOOKUP(C53,Deaths_since_10!C:G,5,FALSE)-1,0)</f>
        <v>0</v>
      </c>
      <c r="J53" s="68" t="str">
        <f t="shared" si="8"/>
        <v/>
      </c>
      <c r="K53" s="67"/>
      <c r="L53" s="61">
        <f>VLOOKUP(C53,Country_Data!C:J,8,FALSE)</f>
        <v>1701575</v>
      </c>
      <c r="M53" s="60">
        <f t="shared" si="9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7"/>
        <v>51</v>
      </c>
      <c r="C54" s="62" t="s">
        <v>88</v>
      </c>
      <c r="D54" s="75">
        <f>VLOOKUP(C54,Country_Data!B:F,5,FALSE)</f>
        <v>745</v>
      </c>
      <c r="E54" s="75">
        <f>D54*Projections_Data!$C$15</f>
        <v>53.40501792114695</v>
      </c>
      <c r="F54" s="75">
        <f>VLOOKUP(C54,Country_Data!C:G,5,FALSE)</f>
        <v>4</v>
      </c>
      <c r="G54" s="76">
        <f>IFERROR(VLOOKUP(C54,Days_Since_100!C:G,5,FALSE)-1,0)</f>
        <v>6.7271222464041713E-2</v>
      </c>
      <c r="H54" s="77">
        <f>IFERROR(VLOOKUP(C54,Deaths_since_10!C:G,5,FALSE)-1,0)</f>
        <v>0</v>
      </c>
      <c r="J54" s="68" t="str">
        <f t="shared" si="8"/>
        <v/>
      </c>
      <c r="K54" s="67"/>
      <c r="L54" s="61">
        <f>VLOOKUP(C54,Country_Data!C:J,8,FALSE)</f>
        <v>1326535</v>
      </c>
      <c r="M54" s="60">
        <f t="shared" si="9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7"/>
        <v>52</v>
      </c>
      <c r="C55" s="62" t="s">
        <v>74</v>
      </c>
      <c r="D55" s="75">
        <f>VLOOKUP(C55,Country_Data!B:F,5,FALSE)</f>
        <v>289</v>
      </c>
      <c r="E55" s="75">
        <f>D55*Projections_Data!$C$15</f>
        <v>20.716845878136201</v>
      </c>
      <c r="F55" s="75">
        <f>VLOOKUP(C55,Country_Data!C:G,5,FALSE)</f>
        <v>0</v>
      </c>
      <c r="G55" s="76">
        <f>IFERROR(VLOOKUP(C55,Days_Since_100!C:G,5,FALSE)-1,0)</f>
        <v>6.7989299915627965E-2</v>
      </c>
      <c r="H55" s="77">
        <f>IFERROR(VLOOKUP(C55,Deaths_since_10!C:G,5,FALSE)-1,0)</f>
        <v>0</v>
      </c>
      <c r="J55" s="68" t="str">
        <f t="shared" si="8"/>
        <v/>
      </c>
      <c r="K55" s="67"/>
      <c r="L55" s="61">
        <f>VLOOKUP(C55,Country_Data!C:J,8,FALSE)</f>
        <v>4270571</v>
      </c>
      <c r="M55" s="60">
        <f t="shared" si="9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7"/>
        <v>53</v>
      </c>
      <c r="C56" s="62" t="s">
        <v>338</v>
      </c>
      <c r="D56" s="75">
        <f>VLOOKUP(C56,Country_Data!B:F,5,FALSE)</f>
        <v>44605</v>
      </c>
      <c r="E56" s="75">
        <f>D56*Projections_Data!$C$15</f>
        <v>3197.491039426523</v>
      </c>
      <c r="F56" s="75">
        <f>VLOOKUP(C56,Country_Data!C:G,5,FALSE)</f>
        <v>2898</v>
      </c>
      <c r="G56" s="76">
        <f>IFERROR(VLOOKUP(C56,Days_Since_100!C:G,5,FALSE)-1,0)</f>
        <v>8.689982332991053E-2</v>
      </c>
      <c r="H56" s="77">
        <f>IFERROR(VLOOKUP(C56,Deaths_since_10!C:G,5,FALSE)-1,0)</f>
        <v>5.342359703857702E-2</v>
      </c>
      <c r="J56" s="68" t="str">
        <f t="shared" si="8"/>
        <v/>
      </c>
      <c r="K56" s="67"/>
      <c r="L56" s="61">
        <f>VLOOKUP(C56,Country_Data!C:J,8,FALSE)</f>
        <v>83992949</v>
      </c>
      <c r="M56" s="60">
        <f t="shared" si="9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7"/>
        <v>54</v>
      </c>
      <c r="C57" s="62" t="s">
        <v>36</v>
      </c>
      <c r="D57" s="75">
        <f>VLOOKUP(C57,Country_Data!B:F,5,FALSE)</f>
        <v>1953</v>
      </c>
      <c r="E57" s="75">
        <f>D57*Projections_Data!$C$15</f>
        <v>140</v>
      </c>
      <c r="F57" s="75">
        <f>VLOOKUP(C57,Country_Data!C:G,5,FALSE)</f>
        <v>56</v>
      </c>
      <c r="G57" s="76">
        <f>IFERROR(VLOOKUP(C57,Days_Since_100!C:G,5,FALSE)-1,0)</f>
        <v>7.0841408045857257E-2</v>
      </c>
      <c r="H57" s="77">
        <f>IFERROR(VLOOKUP(C57,Deaths_since_10!C:G,5,FALSE)-1,0)</f>
        <v>3.5661981385701091E-2</v>
      </c>
      <c r="J57" s="68">
        <f t="shared" si="8"/>
        <v>61.200839525363456</v>
      </c>
      <c r="K57" s="67">
        <v>7.3</v>
      </c>
      <c r="L57" s="61">
        <f>VLOOKUP(C57,Country_Data!C:J,8,FALSE)</f>
        <v>126476461</v>
      </c>
      <c r="M57" s="60">
        <f t="shared" si="9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7"/>
        <v>55</v>
      </c>
      <c r="C58" s="62" t="s">
        <v>101</v>
      </c>
      <c r="D58" s="75">
        <f>VLOOKUP(C58,Country_Data!B:F,5,FALSE)</f>
        <v>781</v>
      </c>
      <c r="E58" s="75">
        <f>D58*Projections_Data!$C$15</f>
        <v>55.98566308243727</v>
      </c>
      <c r="F58" s="75">
        <f>VLOOKUP(C58,Country_Data!C:G,5,FALSE)</f>
        <v>2</v>
      </c>
      <c r="G58" s="76">
        <f>IFERROR(VLOOKUP(C58,Days_Since_100!C:G,5,FALSE)-1,0)</f>
        <v>7.3039570842387658E-2</v>
      </c>
      <c r="H58" s="77">
        <f>IFERROR(VLOOKUP(C58,Deaths_since_10!C:G,5,FALSE)-1,0)</f>
        <v>0</v>
      </c>
      <c r="J58" s="68" t="str">
        <f t="shared" si="8"/>
        <v/>
      </c>
      <c r="K58" s="67"/>
      <c r="L58" s="61">
        <f>VLOOKUP(C58,Country_Data!C:J,8,FALSE)</f>
        <v>2881053</v>
      </c>
      <c r="M58" s="60">
        <f t="shared" si="9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7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8"/>
        <v/>
      </c>
      <c r="K59" s="67"/>
      <c r="L59" s="61">
        <f>VLOOKUP(C59,Country_Data!C:J,8,FALSE)</f>
        <v>0</v>
      </c>
      <c r="M59" s="60">
        <f t="shared" si="9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10">B59+1</f>
        <v>57</v>
      </c>
      <c r="C60" s="62" t="s">
        <v>337</v>
      </c>
      <c r="D60" s="75">
        <f>VLOOKUP(C60,Country_Data!B:F,5,FALSE)</f>
        <v>82279</v>
      </c>
      <c r="E60" s="75">
        <f>D60*Projections_Data!$C$15</f>
        <v>5898.1362007168455</v>
      </c>
      <c r="F60" s="75">
        <f>VLOOKUP(C60,Country_Data!C:G,5,FALSE)</f>
        <v>3309</v>
      </c>
      <c r="G60" s="76">
        <f>IFERROR(VLOOKUP(C60,Days_Since_100!C:G,5,FALSE)-1,0)</f>
        <v>1.2124825822807939E-3</v>
      </c>
      <c r="H60" s="77">
        <f>IFERROR(VLOOKUP(C60,Deaths_since_10!C:G,5,FALSE)-1,0)</f>
        <v>1.0915070563666252E-3</v>
      </c>
      <c r="I60" s="59"/>
      <c r="J60" s="68">
        <f t="shared" si="8"/>
        <v>1793.323137900147</v>
      </c>
      <c r="K60" s="67">
        <v>3.6</v>
      </c>
      <c r="L60" s="61">
        <f>VLOOKUP(C60,Country_Data!C:J,8,FALSE)</f>
        <v>1439323776</v>
      </c>
      <c r="M60" s="60">
        <f t="shared" si="9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10"/>
        <v>58</v>
      </c>
      <c r="C61" s="62" t="s">
        <v>478</v>
      </c>
      <c r="D61" s="75">
        <f>VLOOKUP(C61,Country_Data!B:F,5,FALSE)</f>
        <v>3308</v>
      </c>
      <c r="E61" s="75">
        <f>D61*Projections_Data!$C$15</f>
        <v>237.13261648745518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8"/>
        <v/>
      </c>
      <c r="K61" s="67">
        <v>11.6</v>
      </c>
      <c r="L61" s="61" t="e">
        <f>VLOOKUP(C61,Country_Data!C:J,8,FALSE)</f>
        <v>#N/A</v>
      </c>
      <c r="M61" s="60" t="e">
        <f t="shared" si="9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10"/>
        <v>59</v>
      </c>
      <c r="C62" s="62" t="s">
        <v>475</v>
      </c>
      <c r="D62" s="75">
        <f>VLOOKUP(C62,Country_Data!B:F,5,FALSE)</f>
        <v>9786</v>
      </c>
      <c r="E62" s="75">
        <f>D62*Projections_Data!$C$15</f>
        <v>701.50537634408602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8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10"/>
        <v>60</v>
      </c>
      <c r="C63" s="62" t="s">
        <v>231</v>
      </c>
      <c r="D63" s="75">
        <f>VLOOKUP(C63,Country_Data!B:F,5,FALSE)</f>
        <v>262</v>
      </c>
      <c r="E63" s="75">
        <f>D63*Projections_Data!$C$15</f>
        <v>18.781362007168457</v>
      </c>
      <c r="F63" s="75">
        <f>VLOOKUP(C63,Country_Data!C:G,5,FALSE)</f>
        <v>8</v>
      </c>
      <c r="G63" s="76">
        <f>IFERROR(VLOOKUP(C63,Days_Since_100!C:G,5,FALSE)-1,0)</f>
        <v>0.12406050085970821</v>
      </c>
      <c r="H63" s="77">
        <f>IFERROR(VLOOKUP(C63,Deaths_since_10!C:G,5,FALSE)-1,0)</f>
        <v>0</v>
      </c>
      <c r="J63" s="68" t="str">
        <f t="shared" si="8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10"/>
        <v>61</v>
      </c>
      <c r="C64" s="62" t="s">
        <v>76</v>
      </c>
      <c r="D64" s="75"/>
      <c r="E64" s="75"/>
      <c r="F64" s="75">
        <f>VLOOKUP(C64,Country_Data!C:G,5,FALSE)</f>
        <v>6</v>
      </c>
      <c r="G64" s="75"/>
      <c r="H64" s="77">
        <f>IFERROR(VLOOKUP(C64,Deaths_since_10!C:G,5,FALSE)-1,0)</f>
        <v>0</v>
      </c>
      <c r="J64" s="68" t="str">
        <f t="shared" si="8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10"/>
        <v>62</v>
      </c>
      <c r="C65" s="62" t="s">
        <v>132</v>
      </c>
      <c r="D65" s="75"/>
      <c r="E65" s="75"/>
      <c r="F65" s="75">
        <f>VLOOKUP(C65,Country_Data!C:G,5,FALSE)</f>
        <v>16</v>
      </c>
      <c r="G65" s="75"/>
      <c r="H65" s="77">
        <f>IFERROR(VLOOKUP(C65,Deaths_since_10!C:G,5,FALSE)-1,0)</f>
        <v>9.8560543306117854E-2</v>
      </c>
      <c r="J65" s="68" t="str">
        <f t="shared" si="8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10"/>
        <v>63</v>
      </c>
      <c r="C66" s="62" t="s">
        <v>93</v>
      </c>
      <c r="D66" s="75"/>
      <c r="E66" s="75"/>
      <c r="F66" s="75">
        <f>VLOOKUP(C66,Country_Data!C:G,5,FALSE)</f>
        <v>8</v>
      </c>
      <c r="G66" s="75"/>
      <c r="H66" s="77">
        <f>IFERROR(VLOOKUP(C66,Deaths_since_10!C:G,5,FALSE)-1,0)</f>
        <v>0</v>
      </c>
      <c r="I66" s="92"/>
      <c r="J66" s="68" t="str">
        <f t="shared" si="8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565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opLeftCell="C1" zoomScale="80" zoomScaleNormal="80" workbookViewId="0">
      <selection activeCell="T6" sqref="T6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595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200000</v>
      </c>
      <c r="T5">
        <v>10000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40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5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S8" sqref="S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Japan</v>
      </c>
      <c r="C2" s="20">
        <f>MAX(ConfirmedRaw!1:1)</f>
        <v>43921</v>
      </c>
    </row>
    <row r="3" spans="2:248" x14ac:dyDescent="0.3">
      <c r="G3" s="20">
        <f ca="1">VLOOKUP(B2,Country_Data!B:E,4,FALSE)</f>
        <v>43882</v>
      </c>
      <c r="H3" s="20">
        <f t="shared" ref="H3:BS3" ca="1" si="0">G3+1</f>
        <v>43883</v>
      </c>
      <c r="I3" s="20">
        <f t="shared" ca="1" si="0"/>
        <v>43884</v>
      </c>
      <c r="J3" s="20">
        <f t="shared" ca="1" si="0"/>
        <v>43885</v>
      </c>
      <c r="K3" s="20">
        <f t="shared" ca="1" si="0"/>
        <v>43886</v>
      </c>
      <c r="L3" s="20">
        <f t="shared" ca="1" si="0"/>
        <v>43887</v>
      </c>
      <c r="M3" s="20">
        <f t="shared" ca="1" si="0"/>
        <v>43888</v>
      </c>
      <c r="N3" s="20">
        <f t="shared" ca="1" si="0"/>
        <v>43889</v>
      </c>
      <c r="O3" s="20">
        <f t="shared" ca="1" si="0"/>
        <v>43890</v>
      </c>
      <c r="P3" s="20">
        <f t="shared" ca="1" si="0"/>
        <v>43891</v>
      </c>
      <c r="Q3" s="20">
        <f t="shared" ca="1" si="0"/>
        <v>43892</v>
      </c>
      <c r="R3" s="20">
        <f t="shared" ca="1" si="0"/>
        <v>43893</v>
      </c>
      <c r="S3" s="20">
        <f t="shared" ca="1" si="0"/>
        <v>43894</v>
      </c>
      <c r="T3" s="20">
        <f t="shared" ca="1" si="0"/>
        <v>43895</v>
      </c>
      <c r="U3" s="20">
        <f t="shared" ca="1" si="0"/>
        <v>43896</v>
      </c>
      <c r="V3" s="20">
        <f t="shared" ca="1" si="0"/>
        <v>43897</v>
      </c>
      <c r="W3" s="20">
        <f t="shared" ca="1" si="0"/>
        <v>43898</v>
      </c>
      <c r="X3" s="20">
        <f t="shared" ca="1" si="0"/>
        <v>43899</v>
      </c>
      <c r="Y3" s="20">
        <f t="shared" ca="1" si="0"/>
        <v>43900</v>
      </c>
      <c r="Z3" s="20">
        <f t="shared" ca="1" si="0"/>
        <v>43901</v>
      </c>
      <c r="AA3" s="20">
        <f t="shared" ca="1" si="0"/>
        <v>43902</v>
      </c>
      <c r="AB3" s="20">
        <f t="shared" ca="1" si="0"/>
        <v>43903</v>
      </c>
      <c r="AC3" s="20">
        <f t="shared" ca="1" si="0"/>
        <v>43904</v>
      </c>
      <c r="AD3" s="20">
        <f t="shared" ca="1" si="0"/>
        <v>43905</v>
      </c>
      <c r="AE3" s="20">
        <f t="shared" ca="1" si="0"/>
        <v>43906</v>
      </c>
      <c r="AF3" s="20">
        <f t="shared" ca="1" si="0"/>
        <v>43907</v>
      </c>
      <c r="AG3" s="20">
        <f t="shared" ca="1" si="0"/>
        <v>43908</v>
      </c>
      <c r="AH3" s="20">
        <f t="shared" ca="1" si="0"/>
        <v>43909</v>
      </c>
      <c r="AI3" s="20">
        <f t="shared" ca="1" si="0"/>
        <v>43910</v>
      </c>
      <c r="AJ3" s="20">
        <f t="shared" ca="1" si="0"/>
        <v>43911</v>
      </c>
      <c r="AK3" s="20">
        <f t="shared" ca="1" si="0"/>
        <v>43912</v>
      </c>
      <c r="AL3" s="20">
        <f t="shared" ca="1" si="0"/>
        <v>43913</v>
      </c>
      <c r="AM3" s="20">
        <f t="shared" ca="1" si="0"/>
        <v>43914</v>
      </c>
      <c r="AN3" s="20">
        <f t="shared" ca="1" si="0"/>
        <v>43915</v>
      </c>
      <c r="AO3" s="20">
        <f t="shared" ca="1" si="0"/>
        <v>43916</v>
      </c>
      <c r="AP3" s="20">
        <f t="shared" ca="1" si="0"/>
        <v>43917</v>
      </c>
      <c r="AQ3" s="20">
        <f t="shared" ca="1" si="0"/>
        <v>43918</v>
      </c>
      <c r="AR3" s="20">
        <f t="shared" ca="1" si="0"/>
        <v>43919</v>
      </c>
      <c r="AS3" s="20">
        <f t="shared" ca="1" si="0"/>
        <v>43920</v>
      </c>
      <c r="AT3" s="20">
        <f t="shared" ca="1" si="0"/>
        <v>43921</v>
      </c>
      <c r="AU3" s="20">
        <f t="shared" ca="1" si="0"/>
        <v>43922</v>
      </c>
      <c r="AV3" s="20">
        <f t="shared" ca="1" si="0"/>
        <v>43923</v>
      </c>
      <c r="AW3" s="20">
        <f t="shared" ca="1" si="0"/>
        <v>43924</v>
      </c>
      <c r="AX3" s="20">
        <f t="shared" ca="1" si="0"/>
        <v>43925</v>
      </c>
      <c r="AY3" s="20">
        <f t="shared" ca="1" si="0"/>
        <v>43926</v>
      </c>
      <c r="AZ3" s="20">
        <f t="shared" ca="1" si="0"/>
        <v>43927</v>
      </c>
      <c r="BA3" s="20">
        <f t="shared" ca="1" si="0"/>
        <v>43928</v>
      </c>
      <c r="BB3" s="20">
        <f t="shared" ca="1" si="0"/>
        <v>43929</v>
      </c>
      <c r="BC3" s="20">
        <f t="shared" ca="1" si="0"/>
        <v>43930</v>
      </c>
      <c r="BD3" s="20">
        <f t="shared" ca="1" si="0"/>
        <v>43931</v>
      </c>
      <c r="BE3" s="20">
        <f t="shared" ca="1" si="0"/>
        <v>43932</v>
      </c>
      <c r="BF3" s="20">
        <f t="shared" ca="1" si="0"/>
        <v>43933</v>
      </c>
      <c r="BG3" s="20">
        <f t="shared" ca="1" si="0"/>
        <v>43934</v>
      </c>
      <c r="BH3" s="20">
        <f t="shared" ca="1" si="0"/>
        <v>43935</v>
      </c>
      <c r="BI3" s="20">
        <f t="shared" ca="1" si="0"/>
        <v>43936</v>
      </c>
      <c r="BJ3" s="20">
        <f t="shared" ca="1" si="0"/>
        <v>43937</v>
      </c>
      <c r="BK3" s="20">
        <f t="shared" ca="1" si="0"/>
        <v>43938</v>
      </c>
      <c r="BL3" s="20">
        <f t="shared" ca="1" si="0"/>
        <v>43939</v>
      </c>
      <c r="BM3" s="20">
        <f t="shared" ca="1" si="0"/>
        <v>43940</v>
      </c>
      <c r="BN3" s="20">
        <f t="shared" ca="1" si="0"/>
        <v>43941</v>
      </c>
      <c r="BO3" s="20">
        <f t="shared" ca="1" si="0"/>
        <v>43942</v>
      </c>
      <c r="BP3" s="20">
        <f t="shared" ca="1" si="0"/>
        <v>43943</v>
      </c>
      <c r="BQ3" s="20">
        <f t="shared" ca="1" si="0"/>
        <v>43944</v>
      </c>
      <c r="BR3" s="20">
        <f t="shared" ca="1" si="0"/>
        <v>43945</v>
      </c>
      <c r="BS3" s="20">
        <f t="shared" ca="1" si="0"/>
        <v>43946</v>
      </c>
      <c r="BT3" s="20">
        <f t="shared" ref="BT3:EE3" ca="1" si="1">BS3+1</f>
        <v>43947</v>
      </c>
      <c r="BU3" s="20">
        <f t="shared" ca="1" si="1"/>
        <v>43948</v>
      </c>
      <c r="BV3" s="20">
        <f t="shared" ca="1" si="1"/>
        <v>43949</v>
      </c>
      <c r="BW3" s="20">
        <f t="shared" ca="1" si="1"/>
        <v>43950</v>
      </c>
      <c r="BX3" s="20">
        <f t="shared" ca="1" si="1"/>
        <v>43951</v>
      </c>
      <c r="BY3" s="20">
        <f t="shared" ca="1" si="1"/>
        <v>43952</v>
      </c>
      <c r="BZ3" s="20">
        <f t="shared" ca="1" si="1"/>
        <v>43953</v>
      </c>
      <c r="CA3" s="20">
        <f t="shared" ca="1" si="1"/>
        <v>43954</v>
      </c>
      <c r="CB3" s="20">
        <f t="shared" ca="1" si="1"/>
        <v>43955</v>
      </c>
      <c r="CC3" s="20">
        <f t="shared" ca="1" si="1"/>
        <v>43956</v>
      </c>
      <c r="CD3" s="20">
        <f t="shared" ca="1" si="1"/>
        <v>43957</v>
      </c>
      <c r="CE3" s="20">
        <f t="shared" ca="1" si="1"/>
        <v>43958</v>
      </c>
      <c r="CF3" s="20">
        <f t="shared" ca="1" si="1"/>
        <v>43959</v>
      </c>
      <c r="CG3" s="20">
        <f t="shared" ca="1" si="1"/>
        <v>43960</v>
      </c>
      <c r="CH3" s="20">
        <f t="shared" ca="1" si="1"/>
        <v>43961</v>
      </c>
      <c r="CI3" s="20">
        <f t="shared" ca="1" si="1"/>
        <v>43962</v>
      </c>
      <c r="CJ3" s="20">
        <f t="shared" ca="1" si="1"/>
        <v>43963</v>
      </c>
      <c r="CK3" s="20">
        <f t="shared" ca="1" si="1"/>
        <v>43964</v>
      </c>
      <c r="CL3" s="20">
        <f t="shared" ca="1" si="1"/>
        <v>43965</v>
      </c>
      <c r="CM3" s="20">
        <f t="shared" ca="1" si="1"/>
        <v>43966</v>
      </c>
      <c r="CN3" s="20">
        <f t="shared" ca="1" si="1"/>
        <v>43967</v>
      </c>
      <c r="CO3" s="20">
        <f t="shared" ca="1" si="1"/>
        <v>43968</v>
      </c>
      <c r="CP3" s="20">
        <f t="shared" ca="1" si="1"/>
        <v>43969</v>
      </c>
      <c r="CQ3" s="20">
        <f t="shared" ca="1" si="1"/>
        <v>43970</v>
      </c>
      <c r="CR3" s="20">
        <f t="shared" ca="1" si="1"/>
        <v>43971</v>
      </c>
      <c r="CS3" s="20">
        <f t="shared" ca="1" si="1"/>
        <v>43972</v>
      </c>
      <c r="CT3" s="20">
        <f t="shared" ca="1" si="1"/>
        <v>43973</v>
      </c>
      <c r="CU3" s="20">
        <f t="shared" ca="1" si="1"/>
        <v>43974</v>
      </c>
      <c r="CV3" s="20">
        <f t="shared" ca="1" si="1"/>
        <v>43975</v>
      </c>
      <c r="CW3" s="20">
        <f t="shared" ca="1" si="1"/>
        <v>43976</v>
      </c>
      <c r="CX3" s="20">
        <f t="shared" ca="1" si="1"/>
        <v>43977</v>
      </c>
      <c r="CY3" s="20">
        <f t="shared" ca="1" si="1"/>
        <v>43978</v>
      </c>
      <c r="CZ3" s="20">
        <f t="shared" ca="1" si="1"/>
        <v>43979</v>
      </c>
      <c r="DA3" s="20">
        <f t="shared" ca="1" si="1"/>
        <v>43980</v>
      </c>
      <c r="DB3" s="20">
        <f t="shared" ca="1" si="1"/>
        <v>43981</v>
      </c>
      <c r="DC3" s="20">
        <f t="shared" ca="1" si="1"/>
        <v>43982</v>
      </c>
      <c r="DD3" s="20">
        <f t="shared" ca="1" si="1"/>
        <v>43983</v>
      </c>
      <c r="DE3" s="20">
        <f t="shared" ca="1" si="1"/>
        <v>43984</v>
      </c>
      <c r="DF3" s="20">
        <f t="shared" ca="1" si="1"/>
        <v>43985</v>
      </c>
      <c r="DG3" s="20">
        <f t="shared" ca="1" si="1"/>
        <v>43986</v>
      </c>
      <c r="DH3" s="20">
        <f t="shared" ca="1" si="1"/>
        <v>43987</v>
      </c>
      <c r="DI3" s="20">
        <f t="shared" ca="1" si="1"/>
        <v>43988</v>
      </c>
      <c r="DJ3" s="20">
        <f t="shared" ca="1" si="1"/>
        <v>43989</v>
      </c>
      <c r="DK3" s="20">
        <f t="shared" ca="1" si="1"/>
        <v>43990</v>
      </c>
      <c r="DL3" s="20">
        <f t="shared" ca="1" si="1"/>
        <v>43991</v>
      </c>
      <c r="DM3" s="20">
        <f t="shared" ca="1" si="1"/>
        <v>43992</v>
      </c>
      <c r="DN3" s="20">
        <f t="shared" ca="1" si="1"/>
        <v>43993</v>
      </c>
      <c r="DO3" s="20">
        <f t="shared" ca="1" si="1"/>
        <v>43994</v>
      </c>
      <c r="DP3" s="20">
        <f t="shared" ca="1" si="1"/>
        <v>43995</v>
      </c>
      <c r="DQ3" s="20">
        <f t="shared" ca="1" si="1"/>
        <v>43996</v>
      </c>
      <c r="DR3" s="20">
        <f t="shared" ca="1" si="1"/>
        <v>43997</v>
      </c>
      <c r="DS3" s="20">
        <f t="shared" ca="1" si="1"/>
        <v>43998</v>
      </c>
      <c r="DT3" s="20">
        <f t="shared" ca="1" si="1"/>
        <v>43999</v>
      </c>
      <c r="DU3" s="20">
        <f t="shared" ca="1" si="1"/>
        <v>44000</v>
      </c>
      <c r="DV3" s="20">
        <f t="shared" ca="1" si="1"/>
        <v>44001</v>
      </c>
      <c r="DW3" s="20">
        <f t="shared" ca="1" si="1"/>
        <v>44002</v>
      </c>
      <c r="DX3" s="20">
        <f t="shared" ca="1" si="1"/>
        <v>44003</v>
      </c>
      <c r="DY3" s="20">
        <f t="shared" ca="1" si="1"/>
        <v>44004</v>
      </c>
      <c r="DZ3" s="20">
        <f t="shared" ca="1" si="1"/>
        <v>44005</v>
      </c>
      <c r="EA3" s="20">
        <f t="shared" ca="1" si="1"/>
        <v>44006</v>
      </c>
      <c r="EB3" s="20">
        <f t="shared" ca="1" si="1"/>
        <v>44007</v>
      </c>
      <c r="EC3" s="20">
        <f t="shared" ca="1" si="1"/>
        <v>44008</v>
      </c>
      <c r="ED3" s="20">
        <f t="shared" ca="1" si="1"/>
        <v>44009</v>
      </c>
      <c r="EE3" s="20">
        <f t="shared" ca="1" si="1"/>
        <v>44010</v>
      </c>
      <c r="EF3" s="20">
        <f t="shared" ref="EF3:GQ3" ca="1" si="2">EE3+1</f>
        <v>44011</v>
      </c>
      <c r="EG3" s="20">
        <f t="shared" ca="1" si="2"/>
        <v>44012</v>
      </c>
      <c r="EH3" s="20">
        <f t="shared" ca="1" si="2"/>
        <v>44013</v>
      </c>
      <c r="EI3" s="20">
        <f t="shared" ca="1" si="2"/>
        <v>44014</v>
      </c>
      <c r="EJ3" s="20">
        <f t="shared" ca="1" si="2"/>
        <v>44015</v>
      </c>
      <c r="EK3" s="20">
        <f t="shared" ca="1" si="2"/>
        <v>44016</v>
      </c>
      <c r="EL3" s="20">
        <f t="shared" ca="1" si="2"/>
        <v>44017</v>
      </c>
      <c r="EM3" s="20">
        <f t="shared" ca="1" si="2"/>
        <v>44018</v>
      </c>
      <c r="EN3" s="20">
        <f t="shared" ca="1" si="2"/>
        <v>44019</v>
      </c>
      <c r="EO3" s="20">
        <f t="shared" ca="1" si="2"/>
        <v>44020</v>
      </c>
      <c r="EP3" s="20">
        <f t="shared" ca="1" si="2"/>
        <v>44021</v>
      </c>
      <c r="EQ3" s="20">
        <f t="shared" ca="1" si="2"/>
        <v>44022</v>
      </c>
      <c r="ER3" s="20">
        <f t="shared" ca="1" si="2"/>
        <v>44023</v>
      </c>
      <c r="ES3" s="20">
        <f t="shared" ca="1" si="2"/>
        <v>44024</v>
      </c>
      <c r="ET3" s="20">
        <f t="shared" ca="1" si="2"/>
        <v>44025</v>
      </c>
      <c r="EU3" s="20">
        <f t="shared" ca="1" si="2"/>
        <v>44026</v>
      </c>
      <c r="EV3" s="20">
        <f t="shared" ca="1" si="2"/>
        <v>44027</v>
      </c>
      <c r="EW3" s="20">
        <f t="shared" ca="1" si="2"/>
        <v>44028</v>
      </c>
      <c r="EX3" s="20">
        <f t="shared" ca="1" si="2"/>
        <v>44029</v>
      </c>
      <c r="EY3" s="20">
        <f t="shared" ca="1" si="2"/>
        <v>44030</v>
      </c>
      <c r="EZ3" s="20">
        <f t="shared" ca="1" si="2"/>
        <v>44031</v>
      </c>
      <c r="FA3" s="20">
        <f t="shared" ca="1" si="2"/>
        <v>44032</v>
      </c>
      <c r="FB3" s="20">
        <f t="shared" ca="1" si="2"/>
        <v>44033</v>
      </c>
      <c r="FC3" s="20">
        <f t="shared" ca="1" si="2"/>
        <v>44034</v>
      </c>
      <c r="FD3" s="20">
        <f t="shared" ca="1" si="2"/>
        <v>44035</v>
      </c>
      <c r="FE3" s="20">
        <f t="shared" ca="1" si="2"/>
        <v>44036</v>
      </c>
      <c r="FF3" s="20">
        <f t="shared" ca="1" si="2"/>
        <v>44037</v>
      </c>
      <c r="FG3" s="20">
        <f t="shared" ca="1" si="2"/>
        <v>44038</v>
      </c>
      <c r="FH3" s="20">
        <f t="shared" ca="1" si="2"/>
        <v>44039</v>
      </c>
      <c r="FI3" s="20">
        <f t="shared" ca="1" si="2"/>
        <v>44040</v>
      </c>
      <c r="FJ3" s="20">
        <f t="shared" ca="1" si="2"/>
        <v>44041</v>
      </c>
      <c r="FK3" s="20">
        <f t="shared" ca="1" si="2"/>
        <v>44042</v>
      </c>
      <c r="FL3" s="20">
        <f t="shared" ca="1" si="2"/>
        <v>44043</v>
      </c>
      <c r="FM3" s="20">
        <f t="shared" ca="1" si="2"/>
        <v>44044</v>
      </c>
      <c r="FN3" s="20">
        <f t="shared" ca="1" si="2"/>
        <v>44045</v>
      </c>
      <c r="FO3" s="20">
        <f t="shared" ca="1" si="2"/>
        <v>44046</v>
      </c>
      <c r="FP3" s="20">
        <f t="shared" ca="1" si="2"/>
        <v>44047</v>
      </c>
      <c r="FQ3" s="20">
        <f t="shared" ca="1" si="2"/>
        <v>44048</v>
      </c>
      <c r="FR3" s="20">
        <f t="shared" ca="1" si="2"/>
        <v>44049</v>
      </c>
      <c r="FS3" s="20">
        <f t="shared" ca="1" si="2"/>
        <v>44050</v>
      </c>
      <c r="FT3" s="20">
        <f t="shared" ca="1" si="2"/>
        <v>44051</v>
      </c>
      <c r="FU3" s="20">
        <f t="shared" ca="1" si="2"/>
        <v>44052</v>
      </c>
      <c r="FV3" s="20">
        <f t="shared" ca="1" si="2"/>
        <v>44053</v>
      </c>
      <c r="FW3" s="20">
        <f t="shared" ca="1" si="2"/>
        <v>44054</v>
      </c>
      <c r="FX3" s="20">
        <f t="shared" ca="1" si="2"/>
        <v>44055</v>
      </c>
      <c r="FY3" s="20">
        <f t="shared" ca="1" si="2"/>
        <v>44056</v>
      </c>
      <c r="FZ3" s="20">
        <f t="shared" ca="1" si="2"/>
        <v>44057</v>
      </c>
      <c r="GA3" s="20">
        <f t="shared" ca="1" si="2"/>
        <v>44058</v>
      </c>
      <c r="GB3" s="20">
        <f t="shared" ca="1" si="2"/>
        <v>44059</v>
      </c>
      <c r="GC3" s="20">
        <f t="shared" ca="1" si="2"/>
        <v>44060</v>
      </c>
      <c r="GD3" s="20">
        <f t="shared" ca="1" si="2"/>
        <v>44061</v>
      </c>
      <c r="GE3" s="20">
        <f t="shared" ca="1" si="2"/>
        <v>44062</v>
      </c>
      <c r="GF3" s="20">
        <f t="shared" ca="1" si="2"/>
        <v>44063</v>
      </c>
      <c r="GG3" s="20">
        <f t="shared" ca="1" si="2"/>
        <v>44064</v>
      </c>
      <c r="GH3" s="20">
        <f t="shared" ca="1" si="2"/>
        <v>44065</v>
      </c>
      <c r="GI3" s="20">
        <f t="shared" ca="1" si="2"/>
        <v>44066</v>
      </c>
      <c r="GJ3" s="20">
        <f t="shared" ca="1" si="2"/>
        <v>44067</v>
      </c>
      <c r="GK3" s="20">
        <f t="shared" ca="1" si="2"/>
        <v>44068</v>
      </c>
      <c r="GL3" s="20">
        <f t="shared" ca="1" si="2"/>
        <v>44069</v>
      </c>
      <c r="GM3" s="20">
        <f t="shared" ca="1" si="2"/>
        <v>44070</v>
      </c>
      <c r="GN3" s="20">
        <f t="shared" ca="1" si="2"/>
        <v>44071</v>
      </c>
      <c r="GO3" s="20">
        <f t="shared" ca="1" si="2"/>
        <v>44072</v>
      </c>
      <c r="GP3" s="20">
        <f t="shared" ca="1" si="2"/>
        <v>44073</v>
      </c>
      <c r="GQ3" s="20">
        <f t="shared" ca="1" si="2"/>
        <v>44074</v>
      </c>
      <c r="GR3" s="20">
        <f t="shared" ref="GR3:IN3" ca="1" si="3">GQ3+1</f>
        <v>44075</v>
      </c>
      <c r="GS3" s="20">
        <f t="shared" ca="1" si="3"/>
        <v>44076</v>
      </c>
      <c r="GT3" s="20">
        <f t="shared" ca="1" si="3"/>
        <v>44077</v>
      </c>
      <c r="GU3" s="20">
        <f t="shared" ca="1" si="3"/>
        <v>44078</v>
      </c>
      <c r="GV3" s="20">
        <f t="shared" ca="1" si="3"/>
        <v>44079</v>
      </c>
      <c r="GW3" s="20">
        <f t="shared" ca="1" si="3"/>
        <v>44080</v>
      </c>
      <c r="GX3" s="20">
        <f t="shared" ca="1" si="3"/>
        <v>44081</v>
      </c>
      <c r="GY3" s="20">
        <f t="shared" ca="1" si="3"/>
        <v>44082</v>
      </c>
      <c r="GZ3" s="20">
        <f t="shared" ca="1" si="3"/>
        <v>44083</v>
      </c>
      <c r="HA3" s="20">
        <f t="shared" ca="1" si="3"/>
        <v>44084</v>
      </c>
      <c r="HB3" s="20">
        <f t="shared" ca="1" si="3"/>
        <v>44085</v>
      </c>
      <c r="HC3" s="20">
        <f t="shared" ca="1" si="3"/>
        <v>44086</v>
      </c>
      <c r="HD3" s="20">
        <f t="shared" ca="1" si="3"/>
        <v>44087</v>
      </c>
      <c r="HE3" s="20">
        <f t="shared" ca="1" si="3"/>
        <v>44088</v>
      </c>
      <c r="HF3" s="20">
        <f t="shared" ca="1" si="3"/>
        <v>44089</v>
      </c>
      <c r="HG3" s="20">
        <f t="shared" ca="1" si="3"/>
        <v>44090</v>
      </c>
      <c r="HH3" s="20">
        <f t="shared" ca="1" si="3"/>
        <v>44091</v>
      </c>
      <c r="HI3" s="20">
        <f t="shared" ca="1" si="3"/>
        <v>44092</v>
      </c>
      <c r="HJ3" s="20">
        <f t="shared" ca="1" si="3"/>
        <v>44093</v>
      </c>
      <c r="HK3" s="20">
        <f t="shared" ca="1" si="3"/>
        <v>44094</v>
      </c>
      <c r="HL3" s="20">
        <f t="shared" ca="1" si="3"/>
        <v>44095</v>
      </c>
      <c r="HM3" s="20">
        <f t="shared" ca="1" si="3"/>
        <v>44096</v>
      </c>
      <c r="HN3" s="20">
        <f t="shared" ca="1" si="3"/>
        <v>44097</v>
      </c>
      <c r="HO3" s="20">
        <f t="shared" ca="1" si="3"/>
        <v>44098</v>
      </c>
      <c r="HP3" s="20">
        <f t="shared" ca="1" si="3"/>
        <v>44099</v>
      </c>
      <c r="HQ3" s="20">
        <f t="shared" ca="1" si="3"/>
        <v>44100</v>
      </c>
      <c r="HR3" s="20">
        <f t="shared" ca="1" si="3"/>
        <v>44101</v>
      </c>
      <c r="HS3" s="20">
        <f t="shared" ca="1" si="3"/>
        <v>44102</v>
      </c>
      <c r="HT3" s="20">
        <f t="shared" ca="1" si="3"/>
        <v>44103</v>
      </c>
      <c r="HU3" s="20">
        <f t="shared" ca="1" si="3"/>
        <v>44104</v>
      </c>
      <c r="HV3" s="20">
        <f t="shared" ca="1" si="3"/>
        <v>44105</v>
      </c>
      <c r="HW3" s="20">
        <f t="shared" ca="1" si="3"/>
        <v>44106</v>
      </c>
      <c r="HX3" s="20">
        <f t="shared" ca="1" si="3"/>
        <v>44107</v>
      </c>
      <c r="HY3" s="20">
        <f t="shared" ca="1" si="3"/>
        <v>44108</v>
      </c>
      <c r="HZ3" s="20">
        <f t="shared" ca="1" si="3"/>
        <v>44109</v>
      </c>
      <c r="IA3" s="20">
        <f t="shared" ca="1" si="3"/>
        <v>44110</v>
      </c>
      <c r="IB3" s="20">
        <f t="shared" ca="1" si="3"/>
        <v>44111</v>
      </c>
      <c r="IC3" s="20">
        <f t="shared" ca="1" si="3"/>
        <v>44112</v>
      </c>
      <c r="ID3" s="20">
        <f t="shared" ca="1" si="3"/>
        <v>44113</v>
      </c>
      <c r="IE3" s="20">
        <f t="shared" ca="1" si="3"/>
        <v>44114</v>
      </c>
      <c r="IF3" s="20">
        <f t="shared" ca="1" si="3"/>
        <v>44115</v>
      </c>
      <c r="IG3" s="20">
        <f t="shared" ca="1" si="3"/>
        <v>44116</v>
      </c>
      <c r="IH3" s="20">
        <f t="shared" ca="1" si="3"/>
        <v>44117</v>
      </c>
      <c r="II3" s="20">
        <f t="shared" ca="1" si="3"/>
        <v>44118</v>
      </c>
      <c r="IJ3" s="20">
        <f t="shared" ca="1" si="3"/>
        <v>44119</v>
      </c>
      <c r="IK3" s="20">
        <f t="shared" ca="1" si="3"/>
        <v>44120</v>
      </c>
      <c r="IL3" s="20">
        <f t="shared" ca="1" si="3"/>
        <v>44121</v>
      </c>
      <c r="IM3" s="20">
        <f t="shared" ca="1" si="3"/>
        <v>44122</v>
      </c>
      <c r="IN3" s="20">
        <f t="shared" ca="1" si="3"/>
        <v>44123</v>
      </c>
    </row>
    <row r="4" spans="2:248" x14ac:dyDescent="0.3">
      <c r="B4" s="19" t="s">
        <v>449</v>
      </c>
      <c r="C4" s="21">
        <f>VLOOKUP(B2,Days_Since_100!C:D,2,FALSE)</f>
        <v>1953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40</v>
      </c>
      <c r="F5" s="19" t="s">
        <v>504</v>
      </c>
      <c r="G5" s="40">
        <f>IF(VLOOKUP($B$2,Days_Since_100!$H:$KU,Projections_Data!G$4+2,FALSE)=0,#N/A,VLOOKUP($B$2,Days_Since_100!$H:$KU,Projections_Data!G$4+2,FALSE))</f>
        <v>105</v>
      </c>
      <c r="H5" s="40">
        <f>IF(VLOOKUP($B$2,Days_Since_100!$H:$KU,Projections_Data!H$4+2,FALSE)=0,#N/A,VLOOKUP($B$2,Days_Since_100!$H:$KU,Projections_Data!H$4+2,FALSE))</f>
        <v>122</v>
      </c>
      <c r="I5" s="40">
        <f>IF(VLOOKUP($B$2,Days_Since_100!$H:$KU,Projections_Data!I$4+2,FALSE)=0,#N/A,VLOOKUP($B$2,Days_Since_100!$H:$KU,Projections_Data!I$4+2,FALSE))</f>
        <v>147</v>
      </c>
      <c r="J5" s="40">
        <f>IF(VLOOKUP($B$2,Days_Since_100!$H:$KU,Projections_Data!J$4+2,FALSE)=0,#N/A,VLOOKUP($B$2,Days_Since_100!$H:$KU,Projections_Data!J$4+2,FALSE))</f>
        <v>159</v>
      </c>
      <c r="K5" s="40">
        <f>IF(VLOOKUP($B$2,Days_Since_100!$H:$KU,Projections_Data!K$4+2,FALSE)=0,#N/A,VLOOKUP($B$2,Days_Since_100!$H:$KU,Projections_Data!K$4+2,FALSE))</f>
        <v>170</v>
      </c>
      <c r="L5" s="40">
        <f>IF(VLOOKUP($B$2,Days_Since_100!$H:$KU,Projections_Data!L$4+2,FALSE)=0,#N/A,VLOOKUP($B$2,Days_Since_100!$H:$KU,Projections_Data!L$4+2,FALSE))</f>
        <v>189</v>
      </c>
      <c r="M5" s="40">
        <f>IF(VLOOKUP($B$2,Days_Since_100!$H:$KU,Projections_Data!M$4+2,FALSE)=0,#N/A,VLOOKUP($B$2,Days_Since_100!$H:$KU,Projections_Data!M$4+2,FALSE))</f>
        <v>214</v>
      </c>
      <c r="N5" s="40">
        <f>IF(VLOOKUP($B$2,Days_Since_100!$H:$KU,Projections_Data!N$4+2,FALSE)=0,#N/A,VLOOKUP($B$2,Days_Since_100!$H:$KU,Projections_Data!N$4+2,FALSE))</f>
        <v>228</v>
      </c>
      <c r="O5" s="40">
        <f>IF(VLOOKUP($B$2,Days_Since_100!$H:$KU,Projections_Data!O$4+2,FALSE)=0,#N/A,VLOOKUP($B$2,Days_Since_100!$H:$KU,Projections_Data!O$4+2,FALSE))</f>
        <v>241</v>
      </c>
      <c r="P5" s="40">
        <f>IF(VLOOKUP($B$2,Days_Since_100!$H:$KU,Projections_Data!P$4+2,FALSE)=0,#N/A,VLOOKUP($B$2,Days_Since_100!$H:$KU,Projections_Data!P$4+2,FALSE))</f>
        <v>256</v>
      </c>
      <c r="Q5" s="40">
        <f>IF(VLOOKUP($B$2,Days_Since_100!$H:$KU,Projections_Data!Q$4+2,FALSE)=0,#N/A,VLOOKUP($B$2,Days_Since_100!$H:$KU,Projections_Data!Q$4+2,FALSE))</f>
        <v>274</v>
      </c>
      <c r="R5" s="40">
        <f>IF(VLOOKUP($B$2,Days_Since_100!$H:$KU,Projections_Data!R$4+2,FALSE)=0,#N/A,VLOOKUP($B$2,Days_Since_100!$H:$KU,Projections_Data!R$4+2,FALSE))</f>
        <v>293</v>
      </c>
      <c r="S5" s="40">
        <f>IF(VLOOKUP($B$2,Days_Since_100!$H:$KU,Projections_Data!S$4+2,FALSE)=0,#N/A,VLOOKUP($B$2,Days_Since_100!$H:$KU,Projections_Data!S$4+2,FALSE))</f>
        <v>331</v>
      </c>
      <c r="T5" s="40">
        <f>IF(VLOOKUP($B$2,Days_Since_100!$H:$KU,Projections_Data!T$4+2,FALSE)=0,#N/A,VLOOKUP($B$2,Days_Since_100!$H:$KU,Projections_Data!T$4+2,FALSE))</f>
        <v>360</v>
      </c>
      <c r="U5" s="40">
        <f>IF(VLOOKUP($B$2,Days_Since_100!$H:$KU,Projections_Data!U$4+2,FALSE)=0,#N/A,VLOOKUP($B$2,Days_Since_100!$H:$KU,Projections_Data!U$4+2,FALSE))</f>
        <v>420</v>
      </c>
      <c r="V5" s="40">
        <f>IF(VLOOKUP($B$2,Days_Since_100!$H:$KU,Projections_Data!V$4+2,FALSE)=0,#N/A,VLOOKUP($B$2,Days_Since_100!$H:$KU,Projections_Data!V$4+2,FALSE))</f>
        <v>461</v>
      </c>
      <c r="W5" s="40">
        <f>IF(VLOOKUP($B$2,Days_Since_100!$H:$KU,Projections_Data!W$4+2,FALSE)=0,#N/A,VLOOKUP($B$2,Days_Since_100!$H:$KU,Projections_Data!W$4+2,FALSE))</f>
        <v>502</v>
      </c>
      <c r="X5" s="40">
        <f>IF(VLOOKUP($B$2,Days_Since_100!$H:$KU,Projections_Data!X$4+2,FALSE)=0,#N/A,VLOOKUP($B$2,Days_Since_100!$H:$KU,Projections_Data!X$4+2,FALSE))</f>
        <v>511</v>
      </c>
      <c r="Y5" s="40">
        <f>IF(VLOOKUP($B$2,Days_Since_100!$H:$KU,Projections_Data!Y$4+2,FALSE)=0,#N/A,VLOOKUP($B$2,Days_Since_100!$H:$KU,Projections_Data!Y$4+2,FALSE))</f>
        <v>581</v>
      </c>
      <c r="Z5" s="40">
        <f>IF(VLOOKUP($B$2,Days_Since_100!$H:$KU,Projections_Data!Z$4+2,FALSE)=0,#N/A,VLOOKUP($B$2,Days_Since_100!$H:$KU,Projections_Data!Z$4+2,FALSE))</f>
        <v>639</v>
      </c>
      <c r="AA5" s="40">
        <f>IF(VLOOKUP($B$2,Days_Since_100!$H:$KU,Projections_Data!AA$4+2,FALSE)=0,#N/A,VLOOKUP($B$2,Days_Since_100!$H:$KU,Projections_Data!AA$4+2,FALSE))</f>
        <v>639</v>
      </c>
      <c r="AB5" s="40">
        <f>IF(VLOOKUP($B$2,Days_Since_100!$H:$KU,Projections_Data!AB$4+2,FALSE)=0,#N/A,VLOOKUP($B$2,Days_Since_100!$H:$KU,Projections_Data!AB$4+2,FALSE))</f>
        <v>701</v>
      </c>
      <c r="AC5" s="40">
        <f>IF(VLOOKUP($B$2,Days_Since_100!$H:$KU,Projections_Data!AC$4+2,FALSE)=0,#N/A,VLOOKUP($B$2,Days_Since_100!$H:$KU,Projections_Data!AC$4+2,FALSE))</f>
        <v>773</v>
      </c>
      <c r="AD5" s="40">
        <f>IF(VLOOKUP($B$2,Days_Since_100!$H:$KU,Projections_Data!AD$4+2,FALSE)=0,#N/A,VLOOKUP($B$2,Days_Since_100!$H:$KU,Projections_Data!AD$4+2,FALSE))</f>
        <v>839</v>
      </c>
      <c r="AE5" s="40">
        <f>IF(VLOOKUP($B$2,Days_Since_100!$H:$KU,Projections_Data!AE$4+2,FALSE)=0,#N/A,VLOOKUP($B$2,Days_Since_100!$H:$KU,Projections_Data!AE$4+2,FALSE))</f>
        <v>839</v>
      </c>
      <c r="AF5" s="40">
        <f>IF(VLOOKUP($B$2,Days_Since_100!$H:$KU,Projections_Data!AF$4+2,FALSE)=0,#N/A,VLOOKUP($B$2,Days_Since_100!$H:$KU,Projections_Data!AF$4+2,FALSE))</f>
        <v>878</v>
      </c>
      <c r="AG5" s="40">
        <f>IF(VLOOKUP($B$2,Days_Since_100!$H:$KU,Projections_Data!AG$4+2,FALSE)=0,#N/A,VLOOKUP($B$2,Days_Since_100!$H:$KU,Projections_Data!AG$4+2,FALSE))</f>
        <v>889</v>
      </c>
      <c r="AH5" s="40">
        <f>IF(VLOOKUP($B$2,Days_Since_100!$H:$KU,Projections_Data!AH$4+2,FALSE)=0,#N/A,VLOOKUP($B$2,Days_Since_100!$H:$KU,Projections_Data!AH$4+2,FALSE))</f>
        <v>924</v>
      </c>
      <c r="AI5" s="40">
        <f>IF(VLOOKUP($B$2,Days_Since_100!$H:$KU,Projections_Data!AI$4+2,FALSE)=0,#N/A,VLOOKUP($B$2,Days_Since_100!$H:$KU,Projections_Data!AI$4+2,FALSE))</f>
        <v>963</v>
      </c>
      <c r="AJ5" s="40">
        <f>IF(VLOOKUP($B$2,Days_Since_100!$H:$KU,Projections_Data!AJ$4+2,FALSE)=0,#N/A,VLOOKUP($B$2,Days_Since_100!$H:$KU,Projections_Data!AJ$4+2,FALSE))</f>
        <v>1007</v>
      </c>
      <c r="AK5" s="40">
        <f>IF(VLOOKUP($B$2,Days_Since_100!$H:$KU,Projections_Data!AK$4+2,FALSE)=0,#N/A,VLOOKUP($B$2,Days_Since_100!$H:$KU,Projections_Data!AK$4+2,FALSE))</f>
        <v>1101</v>
      </c>
      <c r="AL5" s="40">
        <f>IF(VLOOKUP($B$2,Days_Since_100!$H:$KU,Projections_Data!AL$4+2,FALSE)=0,#N/A,VLOOKUP($B$2,Days_Since_100!$H:$KU,Projections_Data!AL$4+2,FALSE))</f>
        <v>1128</v>
      </c>
      <c r="AM5" s="40">
        <f>IF(VLOOKUP($B$2,Days_Since_100!$H:$KU,Projections_Data!AM$4+2,FALSE)=0,#N/A,VLOOKUP($B$2,Days_Since_100!$H:$KU,Projections_Data!AM$4+2,FALSE))</f>
        <v>1193</v>
      </c>
      <c r="AN5" s="40">
        <f>IF(VLOOKUP($B$2,Days_Since_100!$H:$KU,Projections_Data!AN$4+2,FALSE)=0,#N/A,VLOOKUP($B$2,Days_Since_100!$H:$KU,Projections_Data!AN$4+2,FALSE))</f>
        <v>1307</v>
      </c>
      <c r="AO5" s="40">
        <f>IF(VLOOKUP($B$2,Days_Since_100!$H:$KU,Projections_Data!AO$4+2,FALSE)=0,#N/A,VLOOKUP($B$2,Days_Since_100!$H:$KU,Projections_Data!AO$4+2,FALSE))</f>
        <v>1387</v>
      </c>
      <c r="AP5" s="40">
        <f>IF(VLOOKUP($B$2,Days_Since_100!$H:$KU,Projections_Data!AP$4+2,FALSE)=0,#N/A,VLOOKUP($B$2,Days_Since_100!$H:$KU,Projections_Data!AP$4+2,FALSE))</f>
        <v>1468</v>
      </c>
      <c r="AQ5" s="40">
        <f>IF(VLOOKUP($B$2,Days_Since_100!$H:$KU,Projections_Data!AQ$4+2,FALSE)=0,#N/A,VLOOKUP($B$2,Days_Since_100!$H:$KU,Projections_Data!AQ$4+2,FALSE))</f>
        <v>1693</v>
      </c>
      <c r="AR5" s="40">
        <f>IF(VLOOKUP($B$2,Days_Since_100!$H:$KU,Projections_Data!AR$4+2,FALSE)=0,#N/A,VLOOKUP($B$2,Days_Since_100!$H:$KU,Projections_Data!AR$4+2,FALSE))</f>
        <v>1866</v>
      </c>
      <c r="AS5" s="40">
        <f>IF(VLOOKUP($B$2,Days_Since_100!$H:$KU,Projections_Data!AS$4+2,FALSE)=0,#N/A,VLOOKUP($B$2,Days_Since_100!$H:$KU,Projections_Data!AS$4+2,FALSE))</f>
        <v>1866</v>
      </c>
      <c r="AT5" s="40">
        <f>IF(VLOOKUP($B$2,Days_Since_100!$H:$KU,Projections_Data!AT$4+2,FALSE)=0,#N/A,VLOOKUP($B$2,Days_Since_100!$H:$KU,Projections_Data!AT$4+2,FALSE))</f>
        <v>1953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932</v>
      </c>
      <c r="D6" s="42">
        <v>0.02</v>
      </c>
      <c r="F6" s="19" t="s">
        <v>583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 t="e">
        <f ca="1">IF(Projections_Data!I$4+2-$C$9&lt;2,#N/A,IF(VLOOKUP($B$2,Deaths_since_10!$H:$KU,Projections_Data!I$4+2-$C$9,FALSE)=0,#N/A,VLOOKUP($B$2,Deaths_since_10!$H:$KU,Projections_Data!I$4+2-$C$9,FALSE)))</f>
        <v>#N/A</v>
      </c>
      <c r="J6" s="40" t="e">
        <f ca="1">IF(Projections_Data!J$4+2-$C$9&lt;2,#N/A,IF(VLOOKUP($B$2,Deaths_since_10!$H:$KU,Projections_Data!J$4+2-$C$9,FALSE)=0,#N/A,VLOOKUP($B$2,Deaths_since_10!$H:$KU,Projections_Data!J$4+2-$C$9,FALSE)))</f>
        <v>#N/A</v>
      </c>
      <c r="K6" s="40" t="e">
        <f ca="1">IF(Projections_Data!K$4+2-$C$9&lt;2,#N/A,IF(VLOOKUP($B$2,Deaths_since_10!$H:$KU,Projections_Data!K$4+2-$C$9,FALSE)=0,#N/A,VLOOKUP($B$2,Deaths_since_10!$H:$KU,Projections_Data!K$4+2-$C$9,FALSE)))</f>
        <v>#N/A</v>
      </c>
      <c r="L6" s="40" t="e">
        <f ca="1">IF(Projections_Data!L$4+2-$C$9&lt;2,#N/A,IF(VLOOKUP($B$2,Deaths_since_10!$H:$KU,Projections_Data!L$4+2-$C$9,FALSE)=0,#N/A,VLOOKUP($B$2,Deaths_since_10!$H:$KU,Projections_Data!L$4+2-$C$9,FALSE)))</f>
        <v>#N/A</v>
      </c>
      <c r="M6" s="40" t="e">
        <f ca="1">IF(Projections_Data!M$4+2-$C$9&lt;2,#N/A,IF(VLOOKUP($B$2,Deaths_since_10!$H:$KU,Projections_Data!M$4+2-$C$9,FALSE)=0,#N/A,VLOOKUP($B$2,Deaths_since_10!$H:$KU,Projections_Data!M$4+2-$C$9,FALSE)))</f>
        <v>#N/A</v>
      </c>
      <c r="N6" s="40" t="e">
        <f ca="1">IF(Projections_Data!N$4+2-$C$9&lt;2,#N/A,IF(VLOOKUP($B$2,Deaths_since_10!$H:$KU,Projections_Data!N$4+2-$C$9,FALSE)=0,#N/A,VLOOKUP($B$2,Deaths_since_10!$H:$KU,Projections_Data!N$4+2-$C$9,FALSE)))</f>
        <v>#N/A</v>
      </c>
      <c r="O6" s="40" t="e">
        <f ca="1">IF(Projections_Data!O$4+2-$C$9&lt;2,#N/A,IF(VLOOKUP($B$2,Deaths_since_10!$H:$KU,Projections_Data!O$4+2-$C$9,FALSE)=0,#N/A,VLOOKUP($B$2,Deaths_since_10!$H:$KU,Projections_Data!O$4+2-$C$9,FALSE)))</f>
        <v>#N/A</v>
      </c>
      <c r="P6" s="40" t="e">
        <f ca="1">IF(Projections_Data!P$4+2-$C$9&lt;2,#N/A,IF(VLOOKUP($B$2,Deaths_since_10!$H:$KU,Projections_Data!P$4+2-$C$9,FALSE)=0,#N/A,VLOOKUP($B$2,Deaths_since_10!$H:$KU,Projections_Data!P$4+2-$C$9,FALSE)))</f>
        <v>#N/A</v>
      </c>
      <c r="Q6" s="40" t="e">
        <f ca="1">IF(Projections_Data!Q$4+2-$C$9&lt;2,#N/A,IF(VLOOKUP($B$2,Deaths_since_10!$H:$KU,Projections_Data!Q$4+2-$C$9,FALSE)=0,#N/A,VLOOKUP($B$2,Deaths_since_10!$H:$KU,Projections_Data!Q$4+2-$C$9,FALSE)))</f>
        <v>#N/A</v>
      </c>
      <c r="R6" s="40" t="e">
        <f ca="1">IF(Projections_Data!R$4+2-$C$9&lt;2,#N/A,IF(VLOOKUP($B$2,Deaths_since_10!$H:$KU,Projections_Data!R$4+2-$C$9,FALSE)=0,#N/A,VLOOKUP($B$2,Deaths_since_10!$H:$KU,Projections_Data!R$4+2-$C$9,FALSE)))</f>
        <v>#N/A</v>
      </c>
      <c r="S6" s="40" t="e">
        <f ca="1">IF(Projections_Data!S$4+2-$C$9&lt;2,#N/A,IF(VLOOKUP($B$2,Deaths_since_10!$H:$KU,Projections_Data!S$4+2-$C$9,FALSE)=0,#N/A,VLOOKUP($B$2,Deaths_since_10!$H:$KU,Projections_Data!S$4+2-$C$9,FALSE)))</f>
        <v>#N/A</v>
      </c>
      <c r="T6" s="40" t="e">
        <f ca="1">IF(Projections_Data!T$4+2-$C$9&lt;2,#N/A,IF(VLOOKUP($B$2,Deaths_since_10!$H:$KU,Projections_Data!T$4+2-$C$9,FALSE)=0,#N/A,VLOOKUP($B$2,Deaths_since_10!$H:$KU,Projections_Data!T$4+2-$C$9,FALSE)))</f>
        <v>#N/A</v>
      </c>
      <c r="U6" s="40" t="e">
        <f ca="1">IF(Projections_Data!U$4+2-$C$9&lt;2,#N/A,IF(VLOOKUP($B$2,Deaths_since_10!$H:$KU,Projections_Data!U$4+2-$C$9,FALSE)=0,#N/A,VLOOKUP($B$2,Deaths_since_10!$H:$KU,Projections_Data!U$4+2-$C$9,FALSE)))</f>
        <v>#N/A</v>
      </c>
      <c r="V6" s="40" t="e">
        <f ca="1">IF(Projections_Data!V$4+2-$C$9&lt;2,#N/A,IF(VLOOKUP($B$2,Deaths_since_10!$H:$KU,Projections_Data!V$4+2-$C$9,FALSE)=0,#N/A,VLOOKUP($B$2,Deaths_since_10!$H:$KU,Projections_Data!V$4+2-$C$9,FALSE)))</f>
        <v>#N/A</v>
      </c>
      <c r="W6" s="40" t="e">
        <f ca="1">IF(Projections_Data!W$4+2-$C$9&lt;2,#N/A,IF(VLOOKUP($B$2,Deaths_since_10!$H:$KU,Projections_Data!W$4+2-$C$9,FALSE)=0,#N/A,VLOOKUP($B$2,Deaths_since_10!$H:$KU,Projections_Data!W$4+2-$C$9,FALSE)))</f>
        <v>#N/A</v>
      </c>
      <c r="X6" s="40">
        <f ca="1">IF(Projections_Data!X$4+2-$C$9&lt;2,#N/A,IF(VLOOKUP($B$2,Deaths_since_10!$H:$KU,Projections_Data!X$4+2-$C$9,FALSE)=0,#N/A,VLOOKUP($B$2,Deaths_since_10!$H:$KU,Projections_Data!X$4+2-$C$9,FALSE)))</f>
        <v>10</v>
      </c>
      <c r="Y6" s="40">
        <f ca="1">IF(Projections_Data!Y$4+2-$C$9&lt;2,#N/A,IF(VLOOKUP($B$2,Deaths_since_10!$H:$KU,Projections_Data!Y$4+2-$C$9,FALSE)=0,#N/A,VLOOKUP($B$2,Deaths_since_10!$H:$KU,Projections_Data!Y$4+2-$C$9,FALSE)))</f>
        <v>10</v>
      </c>
      <c r="Z6" s="40">
        <f ca="1">IF(Projections_Data!Z$4+2-$C$9&lt;2,#N/A,IF(VLOOKUP($B$2,Deaths_since_10!$H:$KU,Projections_Data!Z$4+2-$C$9,FALSE)=0,#N/A,VLOOKUP($B$2,Deaths_since_10!$H:$KU,Projections_Data!Z$4+2-$C$9,FALSE)))</f>
        <v>15</v>
      </c>
      <c r="AA6" s="40">
        <f ca="1">IF(Projections_Data!AA$4+2-$C$9&lt;2,#N/A,IF(VLOOKUP($B$2,Deaths_since_10!$H:$KU,Projections_Data!AA$4+2-$C$9,FALSE)=0,#N/A,VLOOKUP($B$2,Deaths_since_10!$H:$KU,Projections_Data!AA$4+2-$C$9,FALSE)))</f>
        <v>16</v>
      </c>
      <c r="AB6" s="40">
        <f ca="1">IF(Projections_Data!AB$4+2-$C$9&lt;2,#N/A,IF(VLOOKUP($B$2,Deaths_since_10!$H:$KU,Projections_Data!AB$4+2-$C$9,FALSE)=0,#N/A,VLOOKUP($B$2,Deaths_since_10!$H:$KU,Projections_Data!AB$4+2-$C$9,FALSE)))</f>
        <v>19</v>
      </c>
      <c r="AC6" s="40">
        <f ca="1">IF(Projections_Data!AC$4+2-$C$9&lt;2,#N/A,IF(VLOOKUP($B$2,Deaths_since_10!$H:$KU,Projections_Data!AC$4+2-$C$9,FALSE)=0,#N/A,VLOOKUP($B$2,Deaths_since_10!$H:$KU,Projections_Data!AC$4+2-$C$9,FALSE)))</f>
        <v>22</v>
      </c>
      <c r="AD6" s="40">
        <f ca="1">IF(Projections_Data!AD$4+2-$C$9&lt;2,#N/A,IF(VLOOKUP($B$2,Deaths_since_10!$H:$KU,Projections_Data!AD$4+2-$C$9,FALSE)=0,#N/A,VLOOKUP($B$2,Deaths_since_10!$H:$KU,Projections_Data!AD$4+2-$C$9,FALSE)))</f>
        <v>22</v>
      </c>
      <c r="AE6" s="40">
        <f ca="1">IF(Projections_Data!AE$4+2-$C$9&lt;2,#N/A,IF(VLOOKUP($B$2,Deaths_since_10!$H:$KU,Projections_Data!AE$4+2-$C$9,FALSE)=0,#N/A,VLOOKUP($B$2,Deaths_since_10!$H:$KU,Projections_Data!AE$4+2-$C$9,FALSE)))</f>
        <v>27</v>
      </c>
      <c r="AF6" s="40">
        <f ca="1">IF(Projections_Data!AF$4+2-$C$9&lt;2,#N/A,IF(VLOOKUP($B$2,Deaths_since_10!$H:$KU,Projections_Data!AF$4+2-$C$9,FALSE)=0,#N/A,VLOOKUP($B$2,Deaths_since_10!$H:$KU,Projections_Data!AF$4+2-$C$9,FALSE)))</f>
        <v>29</v>
      </c>
      <c r="AG6" s="40">
        <f ca="1">IF(Projections_Data!AG$4+2-$C$9&lt;2,#N/A,IF(VLOOKUP($B$2,Deaths_since_10!$H:$KU,Projections_Data!AG$4+2-$C$9,FALSE)=0,#N/A,VLOOKUP($B$2,Deaths_since_10!$H:$KU,Projections_Data!AG$4+2-$C$9,FALSE)))</f>
        <v>29</v>
      </c>
      <c r="AH6" s="40">
        <f ca="1">IF(Projections_Data!AH$4+2-$C$9&lt;2,#N/A,IF(VLOOKUP($B$2,Deaths_since_10!$H:$KU,Projections_Data!AH$4+2-$C$9,FALSE)=0,#N/A,VLOOKUP($B$2,Deaths_since_10!$H:$KU,Projections_Data!AH$4+2-$C$9,FALSE)))</f>
        <v>29</v>
      </c>
      <c r="AI6" s="40">
        <f ca="1">IF(Projections_Data!AI$4+2-$C$9&lt;2,#N/A,IF(VLOOKUP($B$2,Deaths_since_10!$H:$KU,Projections_Data!AI$4+2-$C$9,FALSE)=0,#N/A,VLOOKUP($B$2,Deaths_since_10!$H:$KU,Projections_Data!AI$4+2-$C$9,FALSE)))</f>
        <v>33</v>
      </c>
      <c r="AJ6" s="40">
        <f ca="1">IF(Projections_Data!AJ$4+2-$C$9&lt;2,#N/A,IF(VLOOKUP($B$2,Deaths_since_10!$H:$KU,Projections_Data!AJ$4+2-$C$9,FALSE)=0,#N/A,VLOOKUP($B$2,Deaths_since_10!$H:$KU,Projections_Data!AJ$4+2-$C$9,FALSE)))</f>
        <v>35</v>
      </c>
      <c r="AK6" s="40">
        <f ca="1">IF(Projections_Data!AK$4+2-$C$9&lt;2,#N/A,IF(VLOOKUP($B$2,Deaths_since_10!$H:$KU,Projections_Data!AK$4+2-$C$9,FALSE)=0,#N/A,VLOOKUP($B$2,Deaths_since_10!$H:$KU,Projections_Data!AK$4+2-$C$9,FALSE)))</f>
        <v>41</v>
      </c>
      <c r="AL6" s="40">
        <f ca="1">IF(Projections_Data!AL$4+2-$C$9&lt;2,#N/A,IF(VLOOKUP($B$2,Deaths_since_10!$H:$KU,Projections_Data!AL$4+2-$C$9,FALSE)=0,#N/A,VLOOKUP($B$2,Deaths_since_10!$H:$KU,Projections_Data!AL$4+2-$C$9,FALSE)))</f>
        <v>42</v>
      </c>
      <c r="AM6" s="40">
        <f ca="1">IF(Projections_Data!AM$4+2-$C$9&lt;2,#N/A,IF(VLOOKUP($B$2,Deaths_since_10!$H:$KU,Projections_Data!AM$4+2-$C$9,FALSE)=0,#N/A,VLOOKUP($B$2,Deaths_since_10!$H:$KU,Projections_Data!AM$4+2-$C$9,FALSE)))</f>
        <v>43</v>
      </c>
      <c r="AN6" s="40">
        <f ca="1">IF(Projections_Data!AN$4+2-$C$9&lt;2,#N/A,IF(VLOOKUP($B$2,Deaths_since_10!$H:$KU,Projections_Data!AN$4+2-$C$9,FALSE)=0,#N/A,VLOOKUP($B$2,Deaths_since_10!$H:$KU,Projections_Data!AN$4+2-$C$9,FALSE)))</f>
        <v>45</v>
      </c>
      <c r="AO6" s="40">
        <f ca="1">IF(Projections_Data!AO$4+2-$C$9&lt;2,#N/A,IF(VLOOKUP($B$2,Deaths_since_10!$H:$KU,Projections_Data!AO$4+2-$C$9,FALSE)=0,#N/A,VLOOKUP($B$2,Deaths_since_10!$H:$KU,Projections_Data!AO$4+2-$C$9,FALSE)))</f>
        <v>47</v>
      </c>
      <c r="AP6" s="40">
        <f ca="1">IF(Projections_Data!AP$4+2-$C$9&lt;2,#N/A,IF(VLOOKUP($B$2,Deaths_since_10!$H:$KU,Projections_Data!AP$4+2-$C$9,FALSE)=0,#N/A,VLOOKUP($B$2,Deaths_since_10!$H:$KU,Projections_Data!AP$4+2-$C$9,FALSE)))</f>
        <v>49</v>
      </c>
      <c r="AQ6" s="40">
        <f ca="1">IF(Projections_Data!AQ$4+2-$C$9&lt;2,#N/A,IF(VLOOKUP($B$2,Deaths_since_10!$H:$KU,Projections_Data!AQ$4+2-$C$9,FALSE)=0,#N/A,VLOOKUP($B$2,Deaths_since_10!$H:$KU,Projections_Data!AQ$4+2-$C$9,FALSE)))</f>
        <v>52</v>
      </c>
      <c r="AR6" s="40">
        <f ca="1">IF(Projections_Data!AR$4+2-$C$9&lt;2,#N/A,IF(VLOOKUP($B$2,Deaths_since_10!$H:$KU,Projections_Data!AR$4+2-$C$9,FALSE)=0,#N/A,VLOOKUP($B$2,Deaths_since_10!$H:$KU,Projections_Data!AR$4+2-$C$9,FALSE)))</f>
        <v>54</v>
      </c>
      <c r="AS6" s="40">
        <f ca="1">IF(Projections_Data!AS$4+2-$C$9&lt;2,#N/A,IF(VLOOKUP($B$2,Deaths_since_10!$H:$KU,Projections_Data!AS$4+2-$C$9,FALSE)=0,#N/A,VLOOKUP($B$2,Deaths_since_10!$H:$KU,Projections_Data!AS$4+2-$C$9,FALSE)))</f>
        <v>54</v>
      </c>
      <c r="AT6" s="40">
        <f ca="1">IF(Projections_Data!AT$4+2-$C$9&lt;2,#N/A,IF(VLOOKUP($B$2,Deaths_since_10!$H:$KU,Projections_Data!AT$4+2-$C$9,FALSE)=0,#N/A,VLOOKUP($B$2,Deaths_since_10!$H:$KU,Projections_Data!AT$4+2-$C$9,FALSE)))</f>
        <v>56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965</v>
      </c>
      <c r="F7" s="19" t="s">
        <v>588</v>
      </c>
      <c r="G7" s="40">
        <f ca="1">IFERROR((G5-F5)-(G6-F6),G5)</f>
        <v>105</v>
      </c>
      <c r="H7" s="40">
        <f ca="1">IFERROR((H5-G5)-(H6-G6),H5-G5)</f>
        <v>17</v>
      </c>
      <c r="I7" s="40">
        <f t="shared" ref="I7:O7" ca="1" si="11">IFERROR((I5-H5)-(I6-H6),I5-H5)</f>
        <v>25</v>
      </c>
      <c r="J7" s="40">
        <f t="shared" ca="1" si="11"/>
        <v>12</v>
      </c>
      <c r="K7" s="40">
        <f t="shared" ca="1" si="11"/>
        <v>11</v>
      </c>
      <c r="L7" s="40">
        <f t="shared" ca="1" si="11"/>
        <v>19</v>
      </c>
      <c r="M7" s="40">
        <f t="shared" ca="1" si="11"/>
        <v>25</v>
      </c>
      <c r="N7" s="40">
        <f t="shared" ca="1" si="11"/>
        <v>14</v>
      </c>
      <c r="O7" s="40">
        <f t="shared" ca="1" si="11"/>
        <v>13</v>
      </c>
      <c r="P7" s="40">
        <f t="shared" ref="P7" ca="1" si="12">IFERROR((P5-O5)-(P6-O6),P5-O5)</f>
        <v>15</v>
      </c>
      <c r="Q7" s="40">
        <f ca="1">IFERROR((Q5-P5)-(Q6-P6),Q5-P5)</f>
        <v>18</v>
      </c>
      <c r="R7" s="40">
        <f t="shared" ref="R7:T7" ca="1" si="13">IFERROR((R5-Q5)-(R6-Q6),R5-Q5)</f>
        <v>19</v>
      </c>
      <c r="S7" s="40">
        <f t="shared" ca="1" si="13"/>
        <v>38</v>
      </c>
      <c r="T7" s="40">
        <f t="shared" ca="1" si="13"/>
        <v>29</v>
      </c>
      <c r="U7" s="40">
        <f t="shared" ref="U7" ca="1" si="14">IFERROR((U5-T5)-(U6-T6),U5-T5)</f>
        <v>60</v>
      </c>
      <c r="V7" s="40">
        <f t="shared" ref="V7" ca="1" si="15">IFERROR((V5-U5)-(V6-U6),V5-U5)</f>
        <v>41</v>
      </c>
      <c r="W7" s="40">
        <f t="shared" ref="W7" ca="1" si="16">IFERROR((W5-V5)-(W6-V6),W5-V5)</f>
        <v>41</v>
      </c>
      <c r="X7" s="40">
        <f t="shared" ref="X7" ca="1" si="17">IFERROR((X5-W5)-(X6-W6),X5-W5)</f>
        <v>9</v>
      </c>
      <c r="Y7" s="40">
        <f t="shared" ref="Y7" ca="1" si="18">IFERROR((Y5-X5)-(Y6-X6),Y5-X5)</f>
        <v>70</v>
      </c>
      <c r="Z7" s="40">
        <f t="shared" ref="Z7" ca="1" si="19">IFERROR((Z5-Y5)-(Z6-Y6),Z5-Y5)</f>
        <v>53</v>
      </c>
      <c r="AA7" s="40">
        <f t="shared" ref="AA7" ca="1" si="20">IFERROR((AA5-Z5)-(AA6-Z6),AA5-Z5)</f>
        <v>-1</v>
      </c>
      <c r="AB7" s="40">
        <f t="shared" ref="AB7" ca="1" si="21">IFERROR((AB5-AA5)-(AB6-AA6),AB5-AA5)</f>
        <v>59</v>
      </c>
      <c r="AC7" s="40">
        <f t="shared" ref="AC7" ca="1" si="22">IFERROR((AC5-AB5)-(AC6-AB6),AC5-AB5)</f>
        <v>69</v>
      </c>
      <c r="AD7" s="40">
        <f t="shared" ref="AD7" ca="1" si="23">IFERROR((AD5-AC5)-(AD6-AC6),AD5-AC5)</f>
        <v>66</v>
      </c>
      <c r="AE7" s="40">
        <f t="shared" ref="AE7" ca="1" si="24">IFERROR((AE5-AD5)-(AE6-AD6),AE5-AD5)</f>
        <v>-5</v>
      </c>
      <c r="AF7" s="40">
        <f t="shared" ref="AF7" ca="1" si="25">IFERROR((AF5-AE5)-(AF6-AE6),AF5-AE5)</f>
        <v>37</v>
      </c>
      <c r="AG7" s="40">
        <f t="shared" ref="AG7" ca="1" si="26">IFERROR((AG5-AF5)-(AG6-AF6),AG5-AF5)</f>
        <v>11</v>
      </c>
      <c r="AH7" s="40">
        <f t="shared" ref="AH7" ca="1" si="27">IFERROR((AH5-AG5)-(AH6-AG6),AH5-AG5)</f>
        <v>35</v>
      </c>
      <c r="AI7" s="40">
        <f t="shared" ref="AI7" ca="1" si="28">IFERROR((AI5-AH5)-(AI6-AH6),AI5-AH5)</f>
        <v>35</v>
      </c>
      <c r="AJ7" s="40">
        <f t="shared" ref="AJ7" ca="1" si="29">IFERROR((AJ5-AI5)-(AJ6-AI6),AJ5-AI5)</f>
        <v>42</v>
      </c>
      <c r="AK7" s="40">
        <f t="shared" ref="AK7" ca="1" si="30">IFERROR((AK5-AJ5)-(AK6-AJ6),AK5-AJ5)</f>
        <v>88</v>
      </c>
      <c r="AL7" s="40">
        <f t="shared" ref="AL7" ca="1" si="31">IFERROR((AL5-AK5)-(AL6-AK6),AL5-AK5)</f>
        <v>26</v>
      </c>
      <c r="AM7" s="40">
        <f t="shared" ref="AM7" ca="1" si="32">(AM5-AL5)-(AM6-AL6)</f>
        <v>64</v>
      </c>
      <c r="AN7" s="40">
        <f t="shared" ref="AN7" ca="1" si="33">(AN5-AM5)-(AN6-AM6)</f>
        <v>112</v>
      </c>
      <c r="AO7" s="40">
        <f t="shared" ref="AO7" ca="1" si="34">(AO5-AN5)-(AO6-AN6)</f>
        <v>78</v>
      </c>
      <c r="AP7" s="40">
        <f t="shared" ref="AP7" ca="1" si="35">(AP5-AO5)-(AP6-AO6)</f>
        <v>79</v>
      </c>
      <c r="AQ7" s="40">
        <f t="shared" ref="AQ7" ca="1" si="36">(AQ5-AP5)-(AQ6-AP6)</f>
        <v>222</v>
      </c>
      <c r="AR7" s="40">
        <f t="shared" ref="AR7" ca="1" si="37">(AR5-AQ5)-(AR6-AQ6)</f>
        <v>171</v>
      </c>
      <c r="AS7" s="40">
        <f t="shared" ref="AS7" ca="1" si="38">(AS5-AR5)-(AS6-AR6)</f>
        <v>0</v>
      </c>
      <c r="AT7" s="40">
        <f t="shared" ref="AT7" ca="1" si="39">(AT5-AS5)-(AT6-AS6)</f>
        <v>85</v>
      </c>
      <c r="AU7" s="40" t="e">
        <f t="shared" ref="AU7" ca="1" si="40">(AU5-AT5)-(AU6-AT6)</f>
        <v>#N/A</v>
      </c>
      <c r="AV7" s="40" t="e">
        <f t="shared" ref="AV7" ca="1" si="41">(AV5-AU5)-(AV6-AU6)</f>
        <v>#N/A</v>
      </c>
      <c r="AW7" s="40" t="e">
        <f t="shared" ref="AW7" ca="1" si="42">(AW5-AV5)-(AW6-AV6)</f>
        <v>#N/A</v>
      </c>
      <c r="AX7" s="40" t="e">
        <f t="shared" ref="AX7" ca="1" si="43">(AX5-AW5)-(AX6-AW6)</f>
        <v>#N/A</v>
      </c>
      <c r="AY7" s="40" t="e">
        <f t="shared" ref="AY7" ca="1" si="44">(AY5-AX5)-(AY6-AX6)</f>
        <v>#N/A</v>
      </c>
      <c r="AZ7" s="40" t="e">
        <f t="shared" ref="AZ7" ca="1" si="45">(AZ5-AY5)-(AZ6-AY6)</f>
        <v>#N/A</v>
      </c>
      <c r="BA7" s="40" t="e">
        <f t="shared" ref="BA7" ca="1" si="46">(BA5-AZ5)-(BA6-AZ6)</f>
        <v>#N/A</v>
      </c>
      <c r="BB7" s="40" t="e">
        <f t="shared" ref="BB7" ca="1" si="47">(BB5-BA5)-(BB6-BA6)</f>
        <v>#N/A</v>
      </c>
      <c r="BC7" s="40" t="e">
        <f t="shared" ref="BC7" ca="1" si="48">(BC5-BB5)-(BC6-BB6)</f>
        <v>#N/A</v>
      </c>
      <c r="BD7" s="40" t="e">
        <f t="shared" ref="BD7" ca="1" si="49">(BD5-BC5)-(BD6-BC6)</f>
        <v>#N/A</v>
      </c>
      <c r="BE7" s="40" t="e">
        <f t="shared" ref="BE7" ca="1" si="50">(BE5-BD5)-(BE6-BD6)</f>
        <v>#N/A</v>
      </c>
      <c r="BF7" s="40" t="e">
        <f t="shared" ref="BF7" ca="1" si="51">(BF5-BE5)-(BF6-BE6)</f>
        <v>#N/A</v>
      </c>
      <c r="BG7" s="40" t="e">
        <f t="shared" ref="BG7" ca="1" si="52">(BG5-BF5)-(BG6-BF6)</f>
        <v>#N/A</v>
      </c>
      <c r="BH7" s="40" t="e">
        <f t="shared" ref="BH7" ca="1" si="53">(BH5-BG5)-(BH6-BG6)</f>
        <v>#N/A</v>
      </c>
      <c r="BI7" s="40" t="e">
        <f t="shared" ref="BI7" ca="1" si="54">(BI5-BH5)-(BI6-BH6)</f>
        <v>#N/A</v>
      </c>
      <c r="BJ7" s="40" t="e">
        <f t="shared" ref="BJ7" ca="1" si="55">(BJ5-BI5)-(BJ6-BI6)</f>
        <v>#N/A</v>
      </c>
      <c r="BK7" s="40" t="e">
        <f t="shared" ref="BK7" ca="1" si="56">(BK5-BJ5)-(BK6-BJ6)</f>
        <v>#N/A</v>
      </c>
      <c r="BL7" s="40" t="e">
        <f t="shared" ref="BL7" ca="1" si="57">(BL5-BK5)-(BL6-BK6)</f>
        <v>#N/A</v>
      </c>
      <c r="BM7" s="40" t="e">
        <f t="shared" ref="BM7" ca="1" si="58">(BM5-BL5)-(BM6-BL6)</f>
        <v>#N/A</v>
      </c>
      <c r="BN7" s="40" t="e">
        <f t="shared" ref="BN7" ca="1" si="59">(BN5-BM5)-(BN6-BM6)</f>
        <v>#N/A</v>
      </c>
      <c r="BO7" s="40" t="e">
        <f t="shared" ref="BO7" ca="1" si="60">(BO5-BN5)-(BO6-BN6)</f>
        <v>#N/A</v>
      </c>
      <c r="BP7" s="40" t="e">
        <f t="shared" ref="BP7" ca="1" si="61">(BP5-BO5)-(BP6-BO6)</f>
        <v>#N/A</v>
      </c>
      <c r="BQ7" s="40" t="e">
        <f t="shared" ref="BQ7" ca="1" si="62">(BQ5-BP5)-(BQ6-BP6)</f>
        <v>#N/A</v>
      </c>
      <c r="BR7" s="40" t="e">
        <f t="shared" ref="BR7" ca="1" si="63">(BR5-BQ5)-(BR6-BQ6)</f>
        <v>#N/A</v>
      </c>
      <c r="BS7" s="40" t="e">
        <f t="shared" ref="BS7" ca="1" si="64">(BS5-BR5)-(BS6-BR6)</f>
        <v>#N/A</v>
      </c>
      <c r="BT7" s="40" t="e">
        <f t="shared" ref="BT7" ca="1" si="65">(BT5-BS5)-(BT6-BS6)</f>
        <v>#N/A</v>
      </c>
      <c r="BU7" s="40" t="e">
        <f t="shared" ref="BU7" ca="1" si="66">(BU5-BT5)-(BU6-BT6)</f>
        <v>#N/A</v>
      </c>
      <c r="BV7" s="40" t="e">
        <f t="shared" ref="BV7:EF7" si="67">BV5-BU5</f>
        <v>#N/A</v>
      </c>
      <c r="BW7" s="40" t="e">
        <f t="shared" si="67"/>
        <v>#N/A</v>
      </c>
      <c r="BX7" s="40" t="e">
        <f t="shared" si="67"/>
        <v>#N/A</v>
      </c>
      <c r="BY7" s="40" t="e">
        <f t="shared" si="67"/>
        <v>#N/A</v>
      </c>
      <c r="BZ7" s="40" t="e">
        <f t="shared" si="67"/>
        <v>#N/A</v>
      </c>
      <c r="CA7" s="40" t="e">
        <f t="shared" si="67"/>
        <v>#N/A</v>
      </c>
      <c r="CB7" s="40" t="e">
        <f t="shared" si="67"/>
        <v>#N/A</v>
      </c>
      <c r="CC7" s="40" t="e">
        <f t="shared" si="67"/>
        <v>#N/A</v>
      </c>
      <c r="CD7" s="40" t="e">
        <f t="shared" si="67"/>
        <v>#N/A</v>
      </c>
      <c r="CE7" s="40" t="e">
        <f t="shared" si="67"/>
        <v>#N/A</v>
      </c>
      <c r="CF7" s="40" t="e">
        <f t="shared" si="67"/>
        <v>#N/A</v>
      </c>
      <c r="CG7" s="40" t="e">
        <f t="shared" si="67"/>
        <v>#N/A</v>
      </c>
      <c r="CH7" s="40" t="e">
        <f t="shared" si="67"/>
        <v>#N/A</v>
      </c>
      <c r="CI7" s="40" t="e">
        <f t="shared" si="67"/>
        <v>#N/A</v>
      </c>
      <c r="CJ7" s="40" t="e">
        <f t="shared" si="67"/>
        <v>#N/A</v>
      </c>
      <c r="CK7" s="40" t="e">
        <f t="shared" si="67"/>
        <v>#N/A</v>
      </c>
      <c r="CL7" s="40" t="e">
        <f t="shared" si="67"/>
        <v>#N/A</v>
      </c>
      <c r="CM7" s="40" t="e">
        <f t="shared" si="67"/>
        <v>#N/A</v>
      </c>
      <c r="CN7" s="40" t="e">
        <f t="shared" si="67"/>
        <v>#N/A</v>
      </c>
      <c r="CO7" s="40" t="e">
        <f t="shared" si="67"/>
        <v>#N/A</v>
      </c>
      <c r="CP7" s="40" t="e">
        <f t="shared" si="67"/>
        <v>#N/A</v>
      </c>
      <c r="CQ7" s="40" t="e">
        <f t="shared" si="67"/>
        <v>#N/A</v>
      </c>
      <c r="CR7" s="40" t="e">
        <f t="shared" si="67"/>
        <v>#N/A</v>
      </c>
      <c r="CS7" s="40" t="e">
        <f t="shared" si="67"/>
        <v>#N/A</v>
      </c>
      <c r="CT7" s="40" t="e">
        <f t="shared" si="67"/>
        <v>#N/A</v>
      </c>
      <c r="CU7" s="40" t="e">
        <f t="shared" si="67"/>
        <v>#N/A</v>
      </c>
      <c r="CV7" s="40" t="e">
        <f t="shared" si="67"/>
        <v>#N/A</v>
      </c>
      <c r="CW7" s="40" t="e">
        <f t="shared" si="67"/>
        <v>#N/A</v>
      </c>
      <c r="CX7" s="40" t="e">
        <f t="shared" si="67"/>
        <v>#N/A</v>
      </c>
      <c r="CY7" s="40" t="e">
        <f t="shared" si="67"/>
        <v>#N/A</v>
      </c>
      <c r="CZ7" s="40" t="e">
        <f t="shared" si="67"/>
        <v>#N/A</v>
      </c>
      <c r="DA7" s="40" t="e">
        <f t="shared" si="67"/>
        <v>#N/A</v>
      </c>
      <c r="DB7" s="40" t="e">
        <f t="shared" si="67"/>
        <v>#N/A</v>
      </c>
      <c r="DC7" s="40" t="e">
        <f t="shared" si="67"/>
        <v>#N/A</v>
      </c>
      <c r="DD7" s="40" t="e">
        <f t="shared" si="67"/>
        <v>#N/A</v>
      </c>
      <c r="DE7" s="40" t="e">
        <f t="shared" si="67"/>
        <v>#N/A</v>
      </c>
      <c r="DF7" s="40" t="e">
        <f t="shared" si="67"/>
        <v>#N/A</v>
      </c>
      <c r="DG7" s="40" t="e">
        <f t="shared" si="67"/>
        <v>#N/A</v>
      </c>
      <c r="DH7" s="40" t="e">
        <f t="shared" si="67"/>
        <v>#N/A</v>
      </c>
      <c r="DI7" s="40" t="e">
        <f t="shared" si="67"/>
        <v>#N/A</v>
      </c>
      <c r="DJ7" s="40" t="e">
        <f t="shared" si="67"/>
        <v>#N/A</v>
      </c>
      <c r="DK7" s="40" t="e">
        <f t="shared" si="67"/>
        <v>#N/A</v>
      </c>
      <c r="DL7" s="40" t="e">
        <f t="shared" si="67"/>
        <v>#N/A</v>
      </c>
      <c r="DM7" s="40" t="e">
        <f t="shared" si="67"/>
        <v>#N/A</v>
      </c>
      <c r="DN7" s="40" t="e">
        <f t="shared" si="67"/>
        <v>#N/A</v>
      </c>
      <c r="DO7" s="40" t="e">
        <f t="shared" si="67"/>
        <v>#N/A</v>
      </c>
      <c r="DP7" s="40" t="e">
        <f t="shared" si="67"/>
        <v>#N/A</v>
      </c>
      <c r="DQ7" s="40" t="e">
        <f t="shared" si="67"/>
        <v>#N/A</v>
      </c>
      <c r="DR7" s="40" t="e">
        <f t="shared" si="67"/>
        <v>#N/A</v>
      </c>
      <c r="DS7" s="40" t="e">
        <f t="shared" si="67"/>
        <v>#N/A</v>
      </c>
      <c r="DT7" s="40" t="e">
        <f t="shared" si="67"/>
        <v>#N/A</v>
      </c>
      <c r="DU7" s="40" t="e">
        <f t="shared" si="67"/>
        <v>#N/A</v>
      </c>
      <c r="DV7" s="40" t="e">
        <f t="shared" si="67"/>
        <v>#N/A</v>
      </c>
      <c r="DW7" s="40" t="e">
        <f t="shared" si="67"/>
        <v>#N/A</v>
      </c>
      <c r="DX7" s="40" t="e">
        <f t="shared" si="67"/>
        <v>#N/A</v>
      </c>
      <c r="DY7" s="40" t="e">
        <f t="shared" si="67"/>
        <v>#N/A</v>
      </c>
      <c r="DZ7" s="40" t="e">
        <f t="shared" si="67"/>
        <v>#N/A</v>
      </c>
      <c r="EA7" s="40" t="e">
        <f t="shared" si="67"/>
        <v>#N/A</v>
      </c>
      <c r="EB7" s="40" t="e">
        <f t="shared" si="67"/>
        <v>#N/A</v>
      </c>
      <c r="EC7" s="40" t="e">
        <f t="shared" si="67"/>
        <v>#N/A</v>
      </c>
      <c r="ED7" s="40" t="e">
        <f t="shared" si="67"/>
        <v>#N/A</v>
      </c>
      <c r="EE7" s="40" t="e">
        <f t="shared" si="67"/>
        <v>#N/A</v>
      </c>
      <c r="EF7" s="40" t="e">
        <f t="shared" si="67"/>
        <v>#N/A</v>
      </c>
      <c r="EG7" s="40" t="e">
        <f t="shared" ref="EG7:GR7" si="68">EG5-EF5</f>
        <v>#N/A</v>
      </c>
      <c r="EH7" s="40" t="e">
        <f t="shared" si="68"/>
        <v>#N/A</v>
      </c>
      <c r="EI7" s="40" t="e">
        <f t="shared" si="68"/>
        <v>#N/A</v>
      </c>
      <c r="EJ7" s="40" t="e">
        <f t="shared" si="68"/>
        <v>#N/A</v>
      </c>
      <c r="EK7" s="40" t="e">
        <f t="shared" si="68"/>
        <v>#N/A</v>
      </c>
      <c r="EL7" s="40" t="e">
        <f t="shared" si="68"/>
        <v>#N/A</v>
      </c>
      <c r="EM7" s="40" t="e">
        <f t="shared" si="68"/>
        <v>#N/A</v>
      </c>
      <c r="EN7" s="40" t="e">
        <f t="shared" si="68"/>
        <v>#N/A</v>
      </c>
      <c r="EO7" s="40" t="e">
        <f t="shared" si="68"/>
        <v>#N/A</v>
      </c>
      <c r="EP7" s="40" t="e">
        <f t="shared" si="68"/>
        <v>#N/A</v>
      </c>
      <c r="EQ7" s="40" t="e">
        <f t="shared" si="68"/>
        <v>#N/A</v>
      </c>
      <c r="ER7" s="40" t="e">
        <f t="shared" si="68"/>
        <v>#N/A</v>
      </c>
      <c r="ES7" s="40" t="e">
        <f t="shared" si="68"/>
        <v>#N/A</v>
      </c>
      <c r="ET7" s="40" t="e">
        <f t="shared" si="68"/>
        <v>#N/A</v>
      </c>
      <c r="EU7" s="40" t="e">
        <f t="shared" si="68"/>
        <v>#N/A</v>
      </c>
      <c r="EV7" s="40" t="e">
        <f t="shared" si="68"/>
        <v>#N/A</v>
      </c>
      <c r="EW7" s="40" t="e">
        <f t="shared" si="68"/>
        <v>#N/A</v>
      </c>
      <c r="EX7" s="40" t="e">
        <f t="shared" si="68"/>
        <v>#N/A</v>
      </c>
      <c r="EY7" s="40" t="e">
        <f t="shared" si="68"/>
        <v>#N/A</v>
      </c>
      <c r="EZ7" s="40" t="e">
        <f t="shared" si="68"/>
        <v>#N/A</v>
      </c>
      <c r="FA7" s="40" t="e">
        <f t="shared" si="68"/>
        <v>#N/A</v>
      </c>
      <c r="FB7" s="40" t="e">
        <f t="shared" si="68"/>
        <v>#N/A</v>
      </c>
      <c r="FC7" s="40" t="e">
        <f t="shared" si="68"/>
        <v>#N/A</v>
      </c>
      <c r="FD7" s="40" t="e">
        <f t="shared" si="68"/>
        <v>#N/A</v>
      </c>
      <c r="FE7" s="40" t="e">
        <f t="shared" si="68"/>
        <v>#N/A</v>
      </c>
      <c r="FF7" s="40" t="e">
        <f t="shared" si="68"/>
        <v>#N/A</v>
      </c>
      <c r="FG7" s="40" t="e">
        <f t="shared" si="68"/>
        <v>#N/A</v>
      </c>
      <c r="FH7" s="40" t="e">
        <f t="shared" si="68"/>
        <v>#N/A</v>
      </c>
      <c r="FI7" s="40" t="e">
        <f t="shared" si="68"/>
        <v>#N/A</v>
      </c>
      <c r="FJ7" s="40" t="e">
        <f t="shared" si="68"/>
        <v>#N/A</v>
      </c>
      <c r="FK7" s="40" t="e">
        <f t="shared" si="68"/>
        <v>#N/A</v>
      </c>
      <c r="FL7" s="40" t="e">
        <f t="shared" si="68"/>
        <v>#N/A</v>
      </c>
      <c r="FM7" s="40" t="e">
        <f t="shared" si="68"/>
        <v>#N/A</v>
      </c>
      <c r="FN7" s="40" t="e">
        <f t="shared" si="68"/>
        <v>#N/A</v>
      </c>
      <c r="FO7" s="40" t="e">
        <f t="shared" si="68"/>
        <v>#N/A</v>
      </c>
      <c r="FP7" s="40" t="e">
        <f t="shared" si="68"/>
        <v>#N/A</v>
      </c>
      <c r="FQ7" s="40" t="e">
        <f t="shared" si="68"/>
        <v>#N/A</v>
      </c>
      <c r="FR7" s="40" t="e">
        <f t="shared" si="68"/>
        <v>#N/A</v>
      </c>
      <c r="FS7" s="40" t="e">
        <f t="shared" si="68"/>
        <v>#N/A</v>
      </c>
      <c r="FT7" s="40" t="e">
        <f t="shared" si="68"/>
        <v>#N/A</v>
      </c>
      <c r="FU7" s="40" t="e">
        <f t="shared" si="68"/>
        <v>#N/A</v>
      </c>
      <c r="FV7" s="40" t="e">
        <f t="shared" si="68"/>
        <v>#N/A</v>
      </c>
      <c r="FW7" s="40" t="e">
        <f t="shared" si="68"/>
        <v>#N/A</v>
      </c>
      <c r="FX7" s="40" t="e">
        <f t="shared" si="68"/>
        <v>#N/A</v>
      </c>
      <c r="FY7" s="40" t="e">
        <f t="shared" si="68"/>
        <v>#N/A</v>
      </c>
      <c r="FZ7" s="40" t="e">
        <f t="shared" si="68"/>
        <v>#N/A</v>
      </c>
      <c r="GA7" s="40" t="e">
        <f t="shared" si="68"/>
        <v>#N/A</v>
      </c>
      <c r="GB7" s="40" t="e">
        <f t="shared" si="68"/>
        <v>#N/A</v>
      </c>
      <c r="GC7" s="40" t="e">
        <f t="shared" si="68"/>
        <v>#N/A</v>
      </c>
      <c r="GD7" s="40" t="e">
        <f t="shared" si="68"/>
        <v>#N/A</v>
      </c>
      <c r="GE7" s="40" t="e">
        <f t="shared" si="68"/>
        <v>#N/A</v>
      </c>
      <c r="GF7" s="40" t="e">
        <f t="shared" si="68"/>
        <v>#N/A</v>
      </c>
      <c r="GG7" s="40" t="e">
        <f t="shared" si="68"/>
        <v>#N/A</v>
      </c>
      <c r="GH7" s="40" t="e">
        <f t="shared" si="68"/>
        <v>#N/A</v>
      </c>
      <c r="GI7" s="40" t="e">
        <f t="shared" si="68"/>
        <v>#N/A</v>
      </c>
      <c r="GJ7" s="40" t="e">
        <f t="shared" si="68"/>
        <v>#N/A</v>
      </c>
      <c r="GK7" s="40" t="e">
        <f t="shared" si="68"/>
        <v>#N/A</v>
      </c>
      <c r="GL7" s="40" t="e">
        <f t="shared" si="68"/>
        <v>#N/A</v>
      </c>
      <c r="GM7" s="40" t="e">
        <f t="shared" si="68"/>
        <v>#N/A</v>
      </c>
      <c r="GN7" s="40" t="e">
        <f t="shared" si="68"/>
        <v>#N/A</v>
      </c>
      <c r="GO7" s="40" t="e">
        <f t="shared" si="68"/>
        <v>#N/A</v>
      </c>
      <c r="GP7" s="40" t="e">
        <f t="shared" si="68"/>
        <v>#N/A</v>
      </c>
      <c r="GQ7" s="40" t="e">
        <f t="shared" si="68"/>
        <v>#N/A</v>
      </c>
      <c r="GR7" s="40" t="e">
        <f t="shared" si="68"/>
        <v>#N/A</v>
      </c>
      <c r="GS7" s="40" t="e">
        <f t="shared" ref="GS7:IN7" si="69">GS5-GR5</f>
        <v>#N/A</v>
      </c>
      <c r="GT7" s="40" t="e">
        <f t="shared" si="69"/>
        <v>#N/A</v>
      </c>
      <c r="GU7" s="40" t="e">
        <f t="shared" si="69"/>
        <v>#N/A</v>
      </c>
      <c r="GV7" s="40" t="e">
        <f t="shared" si="69"/>
        <v>#N/A</v>
      </c>
      <c r="GW7" s="40" t="e">
        <f t="shared" si="69"/>
        <v>#N/A</v>
      </c>
      <c r="GX7" s="40" t="e">
        <f t="shared" si="69"/>
        <v>#N/A</v>
      </c>
      <c r="GY7" s="40" t="e">
        <f t="shared" si="69"/>
        <v>#N/A</v>
      </c>
      <c r="GZ7" s="40" t="e">
        <f t="shared" si="69"/>
        <v>#N/A</v>
      </c>
      <c r="HA7" s="40" t="e">
        <f t="shared" si="69"/>
        <v>#N/A</v>
      </c>
      <c r="HB7" s="40" t="e">
        <f t="shared" si="69"/>
        <v>#N/A</v>
      </c>
      <c r="HC7" s="40" t="e">
        <f t="shared" si="69"/>
        <v>#N/A</v>
      </c>
      <c r="HD7" s="40" t="e">
        <f t="shared" si="69"/>
        <v>#N/A</v>
      </c>
      <c r="HE7" s="40" t="e">
        <f t="shared" si="69"/>
        <v>#N/A</v>
      </c>
      <c r="HF7" s="40" t="e">
        <f t="shared" si="69"/>
        <v>#N/A</v>
      </c>
      <c r="HG7" s="40" t="e">
        <f t="shared" si="69"/>
        <v>#N/A</v>
      </c>
      <c r="HH7" s="40" t="e">
        <f t="shared" si="69"/>
        <v>#N/A</v>
      </c>
      <c r="HI7" s="40" t="e">
        <f t="shared" si="69"/>
        <v>#N/A</v>
      </c>
      <c r="HJ7" s="40" t="e">
        <f t="shared" si="69"/>
        <v>#N/A</v>
      </c>
      <c r="HK7" s="40" t="e">
        <f t="shared" si="69"/>
        <v>#N/A</v>
      </c>
      <c r="HL7" s="40" t="e">
        <f t="shared" si="69"/>
        <v>#N/A</v>
      </c>
      <c r="HM7" s="40" t="e">
        <f t="shared" si="69"/>
        <v>#N/A</v>
      </c>
      <c r="HN7" s="40" t="e">
        <f t="shared" si="69"/>
        <v>#N/A</v>
      </c>
      <c r="HO7" s="40" t="e">
        <f t="shared" si="69"/>
        <v>#N/A</v>
      </c>
      <c r="HP7" s="40" t="e">
        <f t="shared" si="69"/>
        <v>#N/A</v>
      </c>
      <c r="HQ7" s="40" t="e">
        <f t="shared" si="69"/>
        <v>#N/A</v>
      </c>
      <c r="HR7" s="40" t="e">
        <f t="shared" si="69"/>
        <v>#N/A</v>
      </c>
      <c r="HS7" s="40" t="e">
        <f t="shared" si="69"/>
        <v>#N/A</v>
      </c>
      <c r="HT7" s="40" t="e">
        <f t="shared" si="69"/>
        <v>#N/A</v>
      </c>
      <c r="HU7" s="40" t="e">
        <f t="shared" si="69"/>
        <v>#N/A</v>
      </c>
      <c r="HV7" s="40" t="e">
        <f t="shared" si="69"/>
        <v>#N/A</v>
      </c>
      <c r="HW7" s="40" t="e">
        <f t="shared" si="69"/>
        <v>#N/A</v>
      </c>
      <c r="HX7" s="40" t="e">
        <f t="shared" si="69"/>
        <v>#N/A</v>
      </c>
      <c r="HY7" s="40" t="e">
        <f t="shared" si="69"/>
        <v>#N/A</v>
      </c>
      <c r="HZ7" s="40" t="e">
        <f t="shared" si="69"/>
        <v>#N/A</v>
      </c>
      <c r="IA7" s="40" t="e">
        <f t="shared" si="69"/>
        <v>#N/A</v>
      </c>
      <c r="IB7" s="40" t="e">
        <f t="shared" si="69"/>
        <v>#N/A</v>
      </c>
      <c r="IC7" s="40" t="e">
        <f t="shared" si="69"/>
        <v>#N/A</v>
      </c>
      <c r="ID7" s="40" t="e">
        <f t="shared" si="69"/>
        <v>#N/A</v>
      </c>
      <c r="IE7" s="40" t="e">
        <f t="shared" si="69"/>
        <v>#N/A</v>
      </c>
      <c r="IF7" s="40" t="e">
        <f t="shared" si="69"/>
        <v>#N/A</v>
      </c>
      <c r="IG7" s="40" t="e">
        <f t="shared" si="69"/>
        <v>#N/A</v>
      </c>
      <c r="IH7" s="40" t="e">
        <f t="shared" si="69"/>
        <v>#N/A</v>
      </c>
      <c r="II7" s="40" t="e">
        <f t="shared" si="69"/>
        <v>#N/A</v>
      </c>
      <c r="IJ7" s="40" t="e">
        <f t="shared" si="69"/>
        <v>#N/A</v>
      </c>
      <c r="IK7" s="40" t="e">
        <f t="shared" si="69"/>
        <v>#N/A</v>
      </c>
      <c r="IL7" s="40" t="e">
        <f t="shared" si="69"/>
        <v>#N/A</v>
      </c>
      <c r="IM7" s="40" t="e">
        <f t="shared" si="69"/>
        <v>#N/A</v>
      </c>
      <c r="IN7" s="40" t="e">
        <f t="shared" si="69"/>
        <v>#N/A</v>
      </c>
    </row>
    <row r="8" spans="2:248" x14ac:dyDescent="0.3">
      <c r="B8" s="19" t="s">
        <v>508</v>
      </c>
      <c r="C8" s="21">
        <f>VLOOKUP(B2,Country_Data!C:G,5,FALSE)</f>
        <v>56</v>
      </c>
      <c r="F8" s="19" t="s">
        <v>505</v>
      </c>
      <c r="G8" s="40">
        <f>G5</f>
        <v>105</v>
      </c>
      <c r="H8" s="40">
        <f ca="1">MAX(SUM($G$7:H7)-($G$7/H4),G8+10)</f>
        <v>115</v>
      </c>
      <c r="I8" s="40">
        <f ca="1">MAX(SUM($G$7:I7)-($G$7/I4),H8+10)</f>
        <v>125</v>
      </c>
      <c r="J8" s="40">
        <f ca="1">MAX(SUM($G$7:J7)-($G$7/J4),I8+10)</f>
        <v>135</v>
      </c>
      <c r="K8" s="40">
        <f ca="1">MAX(SUM($G$7:K7)-($G$7/K4),J8+10)</f>
        <v>145</v>
      </c>
      <c r="L8" s="40">
        <f ca="1">MAX(SUM($G$7:L7)-($G$7/L4),K8+10)</f>
        <v>168</v>
      </c>
      <c r="M8" s="40">
        <f ca="1">MAX(SUM($G$7:M7)-($G$7/M4),L8+10)</f>
        <v>196.5</v>
      </c>
      <c r="N8" s="40">
        <f ca="1">MAX(SUM($G$7:N7)-($G$7/N4),M8+10)</f>
        <v>213</v>
      </c>
      <c r="O8" s="40">
        <f ca="1">MAX(SUM($G$7:O7)-($G$7/O4),N8+10)</f>
        <v>227.875</v>
      </c>
      <c r="P8" s="40">
        <f ca="1">MAX(SUM($G$7:P7)-($G$7/P4),O8+10)</f>
        <v>244.33333333333334</v>
      </c>
      <c r="Q8" s="40">
        <f ca="1">MAX(SUM($G$7:Q7)-($G$7/Q4),P8+10)</f>
        <v>263.5</v>
      </c>
      <c r="R8" s="40">
        <f ca="1">MAX(SUM($G$7:R7)-($G$7/R4),Q8+10)</f>
        <v>283.45454545454544</v>
      </c>
      <c r="S8" s="40">
        <f t="shared" ref="S8:CD8" ca="1" si="70">SUM(I7:S7)-H7</f>
        <v>192</v>
      </c>
      <c r="T8" s="40">
        <f t="shared" ca="1" si="70"/>
        <v>188</v>
      </c>
      <c r="U8" s="40">
        <f ca="1">SUM(K7:U7)-J7</f>
        <v>249</v>
      </c>
      <c r="V8" s="40">
        <f t="shared" ca="1" si="70"/>
        <v>280</v>
      </c>
      <c r="W8" s="40">
        <f t="shared" ca="1" si="70"/>
        <v>294</v>
      </c>
      <c r="X8" s="40">
        <f t="shared" ca="1" si="70"/>
        <v>272</v>
      </c>
      <c r="Y8" s="40">
        <f t="shared" ca="1" si="70"/>
        <v>339</v>
      </c>
      <c r="Z8" s="40">
        <f t="shared" ca="1" si="70"/>
        <v>380</v>
      </c>
      <c r="AA8" s="40">
        <f t="shared" ca="1" si="70"/>
        <v>362</v>
      </c>
      <c r="AB8" s="40">
        <f t="shared" ca="1" si="70"/>
        <v>400</v>
      </c>
      <c r="AC8" s="40">
        <f t="shared" ca="1" si="70"/>
        <v>449</v>
      </c>
      <c r="AD8" s="40">
        <f t="shared" ca="1" si="70"/>
        <v>458</v>
      </c>
      <c r="AE8" s="40">
        <f t="shared" ca="1" si="70"/>
        <v>433</v>
      </c>
      <c r="AF8" s="40">
        <f ca="1">SUM(V7:AF7)-U7</f>
        <v>379</v>
      </c>
      <c r="AG8" s="40">
        <f ca="1">SUM(W7:AG7)-V7</f>
        <v>368</v>
      </c>
      <c r="AH8" s="40">
        <f t="shared" ca="1" si="70"/>
        <v>362</v>
      </c>
      <c r="AI8" s="40">
        <f ca="1">SUM(Y7:AI7)-X7</f>
        <v>420</v>
      </c>
      <c r="AJ8" s="40">
        <f t="shared" ca="1" si="70"/>
        <v>331</v>
      </c>
      <c r="AK8" s="40">
        <f ca="1">SUM(AA7:AK7)-Z7</f>
        <v>383</v>
      </c>
      <c r="AL8" s="40">
        <f ca="1">SUM(AB7:AL7)-AA7</f>
        <v>464</v>
      </c>
      <c r="AM8" s="40">
        <f ca="1">SUM(AC7:AM7)-AB7</f>
        <v>409</v>
      </c>
      <c r="AN8" s="40">
        <f ca="1">SUM(AD7:AN7)-AC7</f>
        <v>442</v>
      </c>
      <c r="AO8" s="40">
        <f t="shared" ca="1" si="70"/>
        <v>457</v>
      </c>
      <c r="AP8" s="40">
        <f t="shared" ca="1" si="70"/>
        <v>612</v>
      </c>
      <c r="AQ8" s="40">
        <f ca="1">SUM(AG7:AQ7)-AF7</f>
        <v>755</v>
      </c>
      <c r="AR8" s="40">
        <f t="shared" ca="1" si="70"/>
        <v>941</v>
      </c>
      <c r="AS8" s="40">
        <f t="shared" ca="1" si="70"/>
        <v>882</v>
      </c>
      <c r="AT8" s="40">
        <f t="shared" ca="1" si="70"/>
        <v>932</v>
      </c>
      <c r="AU8" s="40" t="e">
        <f t="shared" ca="1" si="70"/>
        <v>#N/A</v>
      </c>
      <c r="AV8" s="40" t="e">
        <f t="shared" ca="1" si="70"/>
        <v>#N/A</v>
      </c>
      <c r="AW8" s="40" t="e">
        <f t="shared" ca="1" si="70"/>
        <v>#N/A</v>
      </c>
      <c r="AX8" s="40" t="e">
        <f t="shared" ca="1" si="70"/>
        <v>#N/A</v>
      </c>
      <c r="AY8" s="40" t="e">
        <f t="shared" ca="1" si="70"/>
        <v>#N/A</v>
      </c>
      <c r="AZ8" s="40" t="e">
        <f t="shared" ca="1" si="70"/>
        <v>#N/A</v>
      </c>
      <c r="BA8" s="40" t="e">
        <f t="shared" ca="1" si="70"/>
        <v>#N/A</v>
      </c>
      <c r="BB8" s="40" t="e">
        <f t="shared" ca="1" si="70"/>
        <v>#N/A</v>
      </c>
      <c r="BC8" s="40" t="e">
        <f t="shared" ca="1" si="70"/>
        <v>#N/A</v>
      </c>
      <c r="BD8" s="40" t="e">
        <f t="shared" ca="1" si="70"/>
        <v>#N/A</v>
      </c>
      <c r="BE8" s="40" t="e">
        <f t="shared" ca="1" si="70"/>
        <v>#N/A</v>
      </c>
      <c r="BF8" s="40" t="e">
        <f t="shared" ca="1" si="70"/>
        <v>#N/A</v>
      </c>
      <c r="BG8" s="40" t="e">
        <f t="shared" ca="1" si="70"/>
        <v>#N/A</v>
      </c>
      <c r="BH8" s="40" t="e">
        <f t="shared" ca="1" si="70"/>
        <v>#N/A</v>
      </c>
      <c r="BI8" s="40" t="e">
        <f t="shared" ca="1" si="70"/>
        <v>#N/A</v>
      </c>
      <c r="BJ8" s="40" t="e">
        <f t="shared" ca="1" si="70"/>
        <v>#N/A</v>
      </c>
      <c r="BK8" s="40" t="e">
        <f t="shared" ca="1" si="70"/>
        <v>#N/A</v>
      </c>
      <c r="BL8" s="40" t="e">
        <f t="shared" ca="1" si="70"/>
        <v>#N/A</v>
      </c>
      <c r="BM8" s="40" t="e">
        <f t="shared" ca="1" si="70"/>
        <v>#N/A</v>
      </c>
      <c r="BN8" s="40" t="e">
        <f t="shared" ca="1" si="70"/>
        <v>#N/A</v>
      </c>
      <c r="BO8" s="40" t="e">
        <f t="shared" ca="1" si="70"/>
        <v>#N/A</v>
      </c>
      <c r="BP8" s="40" t="e">
        <f t="shared" ca="1" si="70"/>
        <v>#N/A</v>
      </c>
      <c r="BQ8" s="40" t="e">
        <f t="shared" ca="1" si="70"/>
        <v>#N/A</v>
      </c>
      <c r="BR8" s="40" t="e">
        <f t="shared" ca="1" si="70"/>
        <v>#N/A</v>
      </c>
      <c r="BS8" s="40" t="e">
        <f t="shared" ca="1" si="70"/>
        <v>#N/A</v>
      </c>
      <c r="BT8" s="40" t="e">
        <f t="shared" ca="1" si="70"/>
        <v>#N/A</v>
      </c>
      <c r="BU8" s="40" t="e">
        <f t="shared" ca="1" si="70"/>
        <v>#N/A</v>
      </c>
      <c r="BV8" s="40" t="e">
        <f t="shared" ca="1" si="70"/>
        <v>#N/A</v>
      </c>
      <c r="BW8" s="40" t="e">
        <f t="shared" ca="1" si="70"/>
        <v>#N/A</v>
      </c>
      <c r="BX8" s="40" t="e">
        <f t="shared" ca="1" si="70"/>
        <v>#N/A</v>
      </c>
      <c r="BY8" s="40" t="e">
        <f t="shared" ca="1" si="70"/>
        <v>#N/A</v>
      </c>
      <c r="BZ8" s="40" t="e">
        <f t="shared" ca="1" si="70"/>
        <v>#N/A</v>
      </c>
      <c r="CA8" s="40" t="e">
        <f t="shared" ca="1" si="70"/>
        <v>#N/A</v>
      </c>
      <c r="CB8" s="40" t="e">
        <f t="shared" ca="1" si="70"/>
        <v>#N/A</v>
      </c>
      <c r="CC8" s="40" t="e">
        <f t="shared" ca="1" si="70"/>
        <v>#N/A</v>
      </c>
      <c r="CD8" s="40" t="e">
        <f t="shared" ca="1" si="70"/>
        <v>#N/A</v>
      </c>
      <c r="CE8" s="40" t="e">
        <f t="shared" ref="CE8:EP8" ca="1" si="71">SUM(BU7:CE7)-BT7</f>
        <v>#N/A</v>
      </c>
      <c r="CF8" s="40" t="e">
        <f t="shared" ca="1" si="71"/>
        <v>#N/A</v>
      </c>
      <c r="CG8" s="40" t="e">
        <f t="shared" si="71"/>
        <v>#N/A</v>
      </c>
      <c r="CH8" s="40" t="e">
        <f t="shared" si="71"/>
        <v>#N/A</v>
      </c>
      <c r="CI8" s="40" t="e">
        <f t="shared" si="71"/>
        <v>#N/A</v>
      </c>
      <c r="CJ8" s="40" t="e">
        <f t="shared" si="71"/>
        <v>#N/A</v>
      </c>
      <c r="CK8" s="40" t="e">
        <f t="shared" si="71"/>
        <v>#N/A</v>
      </c>
      <c r="CL8" s="40" t="e">
        <f t="shared" si="71"/>
        <v>#N/A</v>
      </c>
      <c r="CM8" s="40" t="e">
        <f t="shared" si="71"/>
        <v>#N/A</v>
      </c>
      <c r="CN8" s="40" t="e">
        <f t="shared" si="71"/>
        <v>#N/A</v>
      </c>
      <c r="CO8" s="40" t="e">
        <f t="shared" si="71"/>
        <v>#N/A</v>
      </c>
      <c r="CP8" s="40" t="e">
        <f t="shared" si="71"/>
        <v>#N/A</v>
      </c>
      <c r="CQ8" s="40" t="e">
        <f t="shared" si="71"/>
        <v>#N/A</v>
      </c>
      <c r="CR8" s="40" t="e">
        <f t="shared" si="71"/>
        <v>#N/A</v>
      </c>
      <c r="CS8" s="40" t="e">
        <f t="shared" si="71"/>
        <v>#N/A</v>
      </c>
      <c r="CT8" s="40" t="e">
        <f t="shared" si="71"/>
        <v>#N/A</v>
      </c>
      <c r="CU8" s="40" t="e">
        <f t="shared" si="71"/>
        <v>#N/A</v>
      </c>
      <c r="CV8" s="40" t="e">
        <f t="shared" si="71"/>
        <v>#N/A</v>
      </c>
      <c r="CW8" s="40" t="e">
        <f t="shared" si="71"/>
        <v>#N/A</v>
      </c>
      <c r="CX8" s="40" t="e">
        <f t="shared" si="71"/>
        <v>#N/A</v>
      </c>
      <c r="CY8" s="40" t="e">
        <f t="shared" si="71"/>
        <v>#N/A</v>
      </c>
      <c r="CZ8" s="40" t="e">
        <f t="shared" si="71"/>
        <v>#N/A</v>
      </c>
      <c r="DA8" s="40" t="e">
        <f t="shared" si="71"/>
        <v>#N/A</v>
      </c>
      <c r="DB8" s="40" t="e">
        <f t="shared" si="71"/>
        <v>#N/A</v>
      </c>
      <c r="DC8" s="40" t="e">
        <f t="shared" si="71"/>
        <v>#N/A</v>
      </c>
      <c r="DD8" s="40" t="e">
        <f t="shared" si="71"/>
        <v>#N/A</v>
      </c>
      <c r="DE8" s="40" t="e">
        <f t="shared" si="71"/>
        <v>#N/A</v>
      </c>
      <c r="DF8" s="40" t="e">
        <f t="shared" si="71"/>
        <v>#N/A</v>
      </c>
      <c r="DG8" s="40" t="e">
        <f t="shared" si="71"/>
        <v>#N/A</v>
      </c>
      <c r="DH8" s="40" t="e">
        <f t="shared" si="71"/>
        <v>#N/A</v>
      </c>
      <c r="DI8" s="40" t="e">
        <f t="shared" si="71"/>
        <v>#N/A</v>
      </c>
      <c r="DJ8" s="40" t="e">
        <f t="shared" si="71"/>
        <v>#N/A</v>
      </c>
      <c r="DK8" s="40" t="e">
        <f t="shared" si="71"/>
        <v>#N/A</v>
      </c>
      <c r="DL8" s="40" t="e">
        <f t="shared" si="71"/>
        <v>#N/A</v>
      </c>
      <c r="DM8" s="40" t="e">
        <f t="shared" si="71"/>
        <v>#N/A</v>
      </c>
      <c r="DN8" s="40" t="e">
        <f t="shared" si="71"/>
        <v>#N/A</v>
      </c>
      <c r="DO8" s="40" t="e">
        <f t="shared" si="71"/>
        <v>#N/A</v>
      </c>
      <c r="DP8" s="40" t="e">
        <f t="shared" si="71"/>
        <v>#N/A</v>
      </c>
      <c r="DQ8" s="40" t="e">
        <f t="shared" si="71"/>
        <v>#N/A</v>
      </c>
      <c r="DR8" s="40" t="e">
        <f t="shared" si="71"/>
        <v>#N/A</v>
      </c>
      <c r="DS8" s="40" t="e">
        <f t="shared" si="71"/>
        <v>#N/A</v>
      </c>
      <c r="DT8" s="40" t="e">
        <f t="shared" si="71"/>
        <v>#N/A</v>
      </c>
      <c r="DU8" s="40" t="e">
        <f t="shared" si="71"/>
        <v>#N/A</v>
      </c>
      <c r="DV8" s="40" t="e">
        <f t="shared" si="71"/>
        <v>#N/A</v>
      </c>
      <c r="DW8" s="40" t="e">
        <f t="shared" si="71"/>
        <v>#N/A</v>
      </c>
      <c r="DX8" s="40" t="e">
        <f t="shared" si="71"/>
        <v>#N/A</v>
      </c>
      <c r="DY8" s="40" t="e">
        <f t="shared" si="71"/>
        <v>#N/A</v>
      </c>
      <c r="DZ8" s="40" t="e">
        <f t="shared" si="71"/>
        <v>#N/A</v>
      </c>
      <c r="EA8" s="40" t="e">
        <f t="shared" si="71"/>
        <v>#N/A</v>
      </c>
      <c r="EB8" s="40" t="e">
        <f t="shared" si="71"/>
        <v>#N/A</v>
      </c>
      <c r="EC8" s="40" t="e">
        <f t="shared" si="71"/>
        <v>#N/A</v>
      </c>
      <c r="ED8" s="40" t="e">
        <f t="shared" si="71"/>
        <v>#N/A</v>
      </c>
      <c r="EE8" s="40" t="e">
        <f t="shared" si="71"/>
        <v>#N/A</v>
      </c>
      <c r="EF8" s="40" t="e">
        <f t="shared" si="71"/>
        <v>#N/A</v>
      </c>
      <c r="EG8" s="40" t="e">
        <f t="shared" si="71"/>
        <v>#N/A</v>
      </c>
      <c r="EH8" s="40" t="e">
        <f t="shared" si="71"/>
        <v>#N/A</v>
      </c>
      <c r="EI8" s="40" t="e">
        <f t="shared" si="71"/>
        <v>#N/A</v>
      </c>
      <c r="EJ8" s="40" t="e">
        <f t="shared" si="71"/>
        <v>#N/A</v>
      </c>
      <c r="EK8" s="40" t="e">
        <f t="shared" si="71"/>
        <v>#N/A</v>
      </c>
      <c r="EL8" s="40" t="e">
        <f t="shared" si="71"/>
        <v>#N/A</v>
      </c>
      <c r="EM8" s="40" t="e">
        <f t="shared" si="71"/>
        <v>#N/A</v>
      </c>
      <c r="EN8" s="40" t="e">
        <f t="shared" si="71"/>
        <v>#N/A</v>
      </c>
      <c r="EO8" s="40" t="e">
        <f t="shared" si="71"/>
        <v>#N/A</v>
      </c>
      <c r="EP8" s="40" t="e">
        <f t="shared" si="71"/>
        <v>#N/A</v>
      </c>
      <c r="EQ8" s="40" t="e">
        <f t="shared" ref="EQ8:HB8" si="72">SUM(EG7:EQ7)-EF7</f>
        <v>#N/A</v>
      </c>
      <c r="ER8" s="40" t="e">
        <f t="shared" si="72"/>
        <v>#N/A</v>
      </c>
      <c r="ES8" s="40" t="e">
        <f t="shared" si="72"/>
        <v>#N/A</v>
      </c>
      <c r="ET8" s="40" t="e">
        <f t="shared" si="72"/>
        <v>#N/A</v>
      </c>
      <c r="EU8" s="40" t="e">
        <f t="shared" si="72"/>
        <v>#N/A</v>
      </c>
      <c r="EV8" s="40" t="e">
        <f t="shared" si="72"/>
        <v>#N/A</v>
      </c>
      <c r="EW8" s="40" t="e">
        <f t="shared" si="72"/>
        <v>#N/A</v>
      </c>
      <c r="EX8" s="40" t="e">
        <f t="shared" si="72"/>
        <v>#N/A</v>
      </c>
      <c r="EY8" s="40" t="e">
        <f t="shared" si="72"/>
        <v>#N/A</v>
      </c>
      <c r="EZ8" s="40" t="e">
        <f t="shared" si="72"/>
        <v>#N/A</v>
      </c>
      <c r="FA8" s="40" t="e">
        <f t="shared" si="72"/>
        <v>#N/A</v>
      </c>
      <c r="FB8" s="40" t="e">
        <f t="shared" si="72"/>
        <v>#N/A</v>
      </c>
      <c r="FC8" s="40" t="e">
        <f t="shared" si="72"/>
        <v>#N/A</v>
      </c>
      <c r="FD8" s="40" t="e">
        <f t="shared" si="72"/>
        <v>#N/A</v>
      </c>
      <c r="FE8" s="40" t="e">
        <f t="shared" si="72"/>
        <v>#N/A</v>
      </c>
      <c r="FF8" s="40" t="e">
        <f t="shared" si="72"/>
        <v>#N/A</v>
      </c>
      <c r="FG8" s="40" t="e">
        <f t="shared" si="72"/>
        <v>#N/A</v>
      </c>
      <c r="FH8" s="40" t="e">
        <f t="shared" si="72"/>
        <v>#N/A</v>
      </c>
      <c r="FI8" s="40" t="e">
        <f t="shared" si="72"/>
        <v>#N/A</v>
      </c>
      <c r="FJ8" s="40" t="e">
        <f t="shared" si="72"/>
        <v>#N/A</v>
      </c>
      <c r="FK8" s="40" t="e">
        <f t="shared" si="72"/>
        <v>#N/A</v>
      </c>
      <c r="FL8" s="40" t="e">
        <f t="shared" si="72"/>
        <v>#N/A</v>
      </c>
      <c r="FM8" s="40" t="e">
        <f t="shared" si="72"/>
        <v>#N/A</v>
      </c>
      <c r="FN8" s="40" t="e">
        <f t="shared" si="72"/>
        <v>#N/A</v>
      </c>
      <c r="FO8" s="40" t="e">
        <f t="shared" si="72"/>
        <v>#N/A</v>
      </c>
      <c r="FP8" s="40" t="e">
        <f t="shared" si="72"/>
        <v>#N/A</v>
      </c>
      <c r="FQ8" s="40" t="e">
        <f t="shared" si="72"/>
        <v>#N/A</v>
      </c>
      <c r="FR8" s="40" t="e">
        <f t="shared" si="72"/>
        <v>#N/A</v>
      </c>
      <c r="FS8" s="40" t="e">
        <f t="shared" si="72"/>
        <v>#N/A</v>
      </c>
      <c r="FT8" s="40" t="e">
        <f t="shared" si="72"/>
        <v>#N/A</v>
      </c>
      <c r="FU8" s="40" t="e">
        <f t="shared" si="72"/>
        <v>#N/A</v>
      </c>
      <c r="FV8" s="40" t="e">
        <f t="shared" si="72"/>
        <v>#N/A</v>
      </c>
      <c r="FW8" s="40" t="e">
        <f t="shared" si="72"/>
        <v>#N/A</v>
      </c>
      <c r="FX8" s="40" t="e">
        <f t="shared" si="72"/>
        <v>#N/A</v>
      </c>
      <c r="FY8" s="40" t="e">
        <f t="shared" si="72"/>
        <v>#N/A</v>
      </c>
      <c r="FZ8" s="40" t="e">
        <f t="shared" si="72"/>
        <v>#N/A</v>
      </c>
      <c r="GA8" s="40" t="e">
        <f t="shared" si="72"/>
        <v>#N/A</v>
      </c>
      <c r="GB8" s="40" t="e">
        <f t="shared" si="72"/>
        <v>#N/A</v>
      </c>
      <c r="GC8" s="40" t="e">
        <f t="shared" si="72"/>
        <v>#N/A</v>
      </c>
      <c r="GD8" s="40" t="e">
        <f t="shared" si="72"/>
        <v>#N/A</v>
      </c>
      <c r="GE8" s="40" t="e">
        <f t="shared" si="72"/>
        <v>#N/A</v>
      </c>
      <c r="GF8" s="40" t="e">
        <f t="shared" si="72"/>
        <v>#N/A</v>
      </c>
      <c r="GG8" s="40" t="e">
        <f t="shared" si="72"/>
        <v>#N/A</v>
      </c>
      <c r="GH8" s="40" t="e">
        <f t="shared" si="72"/>
        <v>#N/A</v>
      </c>
      <c r="GI8" s="40" t="e">
        <f t="shared" si="72"/>
        <v>#N/A</v>
      </c>
      <c r="GJ8" s="40" t="e">
        <f t="shared" si="72"/>
        <v>#N/A</v>
      </c>
      <c r="GK8" s="40" t="e">
        <f t="shared" si="72"/>
        <v>#N/A</v>
      </c>
      <c r="GL8" s="40" t="e">
        <f t="shared" si="72"/>
        <v>#N/A</v>
      </c>
      <c r="GM8" s="40" t="e">
        <f t="shared" si="72"/>
        <v>#N/A</v>
      </c>
      <c r="GN8" s="40" t="e">
        <f t="shared" si="72"/>
        <v>#N/A</v>
      </c>
      <c r="GO8" s="40" t="e">
        <f t="shared" si="72"/>
        <v>#N/A</v>
      </c>
      <c r="GP8" s="40" t="e">
        <f t="shared" si="72"/>
        <v>#N/A</v>
      </c>
      <c r="GQ8" s="40" t="e">
        <f t="shared" si="72"/>
        <v>#N/A</v>
      </c>
      <c r="GR8" s="40" t="e">
        <f t="shared" si="72"/>
        <v>#N/A</v>
      </c>
      <c r="GS8" s="40" t="e">
        <f t="shared" si="72"/>
        <v>#N/A</v>
      </c>
      <c r="GT8" s="40" t="e">
        <f t="shared" si="72"/>
        <v>#N/A</v>
      </c>
      <c r="GU8" s="40" t="e">
        <f t="shared" si="72"/>
        <v>#N/A</v>
      </c>
      <c r="GV8" s="40" t="e">
        <f t="shared" si="72"/>
        <v>#N/A</v>
      </c>
      <c r="GW8" s="40" t="e">
        <f t="shared" si="72"/>
        <v>#N/A</v>
      </c>
      <c r="GX8" s="40" t="e">
        <f t="shared" si="72"/>
        <v>#N/A</v>
      </c>
      <c r="GY8" s="40" t="e">
        <f t="shared" si="72"/>
        <v>#N/A</v>
      </c>
      <c r="GZ8" s="40" t="e">
        <f t="shared" si="72"/>
        <v>#N/A</v>
      </c>
      <c r="HA8" s="40" t="e">
        <f t="shared" si="72"/>
        <v>#N/A</v>
      </c>
      <c r="HB8" s="40" t="e">
        <f t="shared" si="72"/>
        <v>#N/A</v>
      </c>
      <c r="HC8" s="40" t="e">
        <f t="shared" ref="HC8:IN8" si="73">SUM(GS7:HC7)-GR7</f>
        <v>#N/A</v>
      </c>
      <c r="HD8" s="40" t="e">
        <f t="shared" si="73"/>
        <v>#N/A</v>
      </c>
      <c r="HE8" s="40" t="e">
        <f t="shared" si="73"/>
        <v>#N/A</v>
      </c>
      <c r="HF8" s="40" t="e">
        <f t="shared" si="73"/>
        <v>#N/A</v>
      </c>
      <c r="HG8" s="40" t="e">
        <f t="shared" si="73"/>
        <v>#N/A</v>
      </c>
      <c r="HH8" s="40" t="e">
        <f t="shared" si="73"/>
        <v>#N/A</v>
      </c>
      <c r="HI8" s="40" t="e">
        <f t="shared" si="73"/>
        <v>#N/A</v>
      </c>
      <c r="HJ8" s="40" t="e">
        <f t="shared" si="73"/>
        <v>#N/A</v>
      </c>
      <c r="HK8" s="40" t="e">
        <f t="shared" si="73"/>
        <v>#N/A</v>
      </c>
      <c r="HL8" s="40" t="e">
        <f t="shared" si="73"/>
        <v>#N/A</v>
      </c>
      <c r="HM8" s="40" t="e">
        <f t="shared" si="73"/>
        <v>#N/A</v>
      </c>
      <c r="HN8" s="40" t="e">
        <f t="shared" si="73"/>
        <v>#N/A</v>
      </c>
      <c r="HO8" s="40" t="e">
        <f t="shared" si="73"/>
        <v>#N/A</v>
      </c>
      <c r="HP8" s="40" t="e">
        <f t="shared" si="73"/>
        <v>#N/A</v>
      </c>
      <c r="HQ8" s="40" t="e">
        <f t="shared" si="73"/>
        <v>#N/A</v>
      </c>
      <c r="HR8" s="40" t="e">
        <f t="shared" si="73"/>
        <v>#N/A</v>
      </c>
      <c r="HS8" s="40" t="e">
        <f t="shared" si="73"/>
        <v>#N/A</v>
      </c>
      <c r="HT8" s="40" t="e">
        <f t="shared" si="73"/>
        <v>#N/A</v>
      </c>
      <c r="HU8" s="40" t="e">
        <f t="shared" si="73"/>
        <v>#N/A</v>
      </c>
      <c r="HV8" s="40" t="e">
        <f t="shared" si="73"/>
        <v>#N/A</v>
      </c>
      <c r="HW8" s="40" t="e">
        <f t="shared" si="73"/>
        <v>#N/A</v>
      </c>
      <c r="HX8" s="40" t="e">
        <f t="shared" si="73"/>
        <v>#N/A</v>
      </c>
      <c r="HY8" s="40" t="e">
        <f t="shared" si="73"/>
        <v>#N/A</v>
      </c>
      <c r="HZ8" s="40" t="e">
        <f t="shared" si="73"/>
        <v>#N/A</v>
      </c>
      <c r="IA8" s="40" t="e">
        <f t="shared" si="73"/>
        <v>#N/A</v>
      </c>
      <c r="IB8" s="40" t="e">
        <f t="shared" si="73"/>
        <v>#N/A</v>
      </c>
      <c r="IC8" s="40" t="e">
        <f t="shared" si="73"/>
        <v>#N/A</v>
      </c>
      <c r="ID8" s="40" t="e">
        <f t="shared" si="73"/>
        <v>#N/A</v>
      </c>
      <c r="IE8" s="40" t="e">
        <f t="shared" si="73"/>
        <v>#N/A</v>
      </c>
      <c r="IF8" s="40" t="e">
        <f t="shared" si="73"/>
        <v>#N/A</v>
      </c>
      <c r="IG8" s="40" t="e">
        <f t="shared" si="73"/>
        <v>#N/A</v>
      </c>
      <c r="IH8" s="40" t="e">
        <f t="shared" si="73"/>
        <v>#N/A</v>
      </c>
      <c r="II8" s="40" t="e">
        <f t="shared" si="73"/>
        <v>#N/A</v>
      </c>
      <c r="IJ8" s="40" t="e">
        <f t="shared" si="73"/>
        <v>#N/A</v>
      </c>
      <c r="IK8" s="40" t="e">
        <f t="shared" si="73"/>
        <v>#N/A</v>
      </c>
      <c r="IL8" s="40" t="e">
        <f t="shared" si="73"/>
        <v>#N/A</v>
      </c>
      <c r="IM8" s="40" t="e">
        <f t="shared" si="73"/>
        <v>#N/A</v>
      </c>
      <c r="IN8" s="40" t="e">
        <f t="shared" si="73"/>
        <v>#N/A</v>
      </c>
    </row>
    <row r="9" spans="2:248" x14ac:dyDescent="0.3">
      <c r="B9" s="19" t="s">
        <v>573</v>
      </c>
      <c r="C9" s="85">
        <f ca="1">VLOOKUP(B2,Country_Data!C:P,14,FALSE)</f>
        <v>17</v>
      </c>
      <c r="F9" s="19" t="s">
        <v>584</v>
      </c>
      <c r="G9" s="40">
        <f t="shared" ref="G9:BP9" si="74">IF(IF(AND(ISNA(G$8),ISNA(F$8)),F9*(1+$C$11),IF(AND(F$8&gt;0,ISNA(G$8)),F9*(1+$C$11),G$8))&gt;$C$21,$C$21,IF(AND(ISNA(G$8),ISNA(F$8)),F9*(1+$C$11),IF(AND(F$8&gt;0,ISNA(G$8)),F9*(1+$C$11),G$8)))</f>
        <v>105</v>
      </c>
      <c r="H9" s="40">
        <f t="shared" ca="1" si="74"/>
        <v>115</v>
      </c>
      <c r="I9" s="40">
        <f t="shared" ca="1" si="74"/>
        <v>125</v>
      </c>
      <c r="J9" s="40">
        <f t="shared" ca="1" si="74"/>
        <v>135</v>
      </c>
      <c r="K9" s="40">
        <f t="shared" ca="1" si="74"/>
        <v>145</v>
      </c>
      <c r="L9" s="40">
        <f t="shared" ca="1" si="74"/>
        <v>168</v>
      </c>
      <c r="M9" s="40">
        <f t="shared" ca="1" si="74"/>
        <v>196.5</v>
      </c>
      <c r="N9" s="40">
        <f t="shared" ca="1" si="74"/>
        <v>213</v>
      </c>
      <c r="O9" s="40">
        <f t="shared" ca="1" si="74"/>
        <v>227.875</v>
      </c>
      <c r="P9" s="40">
        <f t="shared" ca="1" si="74"/>
        <v>244.33333333333334</v>
      </c>
      <c r="Q9" s="40">
        <f t="shared" ca="1" si="74"/>
        <v>263.5</v>
      </c>
      <c r="R9" s="40">
        <f t="shared" ca="1" si="74"/>
        <v>283.45454545454544</v>
      </c>
      <c r="S9" s="40">
        <f t="shared" ref="S9" ca="1" si="75">IF(IF(AND(ISNA(R8),ISNA(R$8)),R9*(1+$C$11),IF(AND(R$8&gt;0,ISNA(S$8)),R9*(1+$C$11),S$8))&gt;$C$21,$C$21,IF(AND(ISNA(S$8),ISNA(R$8)),R9*(1+$C$11),IF(AND(R$8&gt;0,ISNA(S$8)),R9*(1+$C$11),S$8)))</f>
        <v>192</v>
      </c>
      <c r="T9" s="40">
        <f ca="1">IF(IF(AND(ISNA(S8),ISNA(S$8)),S9*(1+$C$11),IF(AND(S$8&gt;0,ISNA(T$8)),S9*(1+$C$11),T$8))&gt;$C$21,$C$21,IF(AND(ISNA(T$8),ISNA(S$8)),S9*(1+$C$11),IF(AND(S$8&gt;0,ISNA(T$8)),S9*(1+$C$11),T$8)))</f>
        <v>188</v>
      </c>
      <c r="U9" s="40">
        <f ca="1">IF(IF(AND(ISNA(T8),ISNA(T$8)),T9*(1+$C$11),IF(AND(T$8&gt;0,ISNA(U$8)),T9*(1+$C$11),U$8))&gt;$C$21,$C$21,IF(AND(ISNA(U$8),ISNA(T$8)),T9*(1+$C$11),IF(AND(T$8&gt;0,ISNA(U$8)),T9*(1+$C$11),U$8)))</f>
        <v>249</v>
      </c>
      <c r="V9" s="40">
        <f t="shared" ca="1" si="74"/>
        <v>280</v>
      </c>
      <c r="W9" s="40">
        <f t="shared" ca="1" si="74"/>
        <v>294</v>
      </c>
      <c r="X9" s="40">
        <f t="shared" ca="1" si="74"/>
        <v>272</v>
      </c>
      <c r="Y9" s="40">
        <f ca="1">IF(IF(AND(ISNA(Y$8),ISNA(X$8)),X9*(1+$C$11),IF(AND(X$8&gt;0,ISNA(Y$8)),X9*(1+$C$11),Y$8))&gt;$C$21,$C$21,IF(AND(ISNA(Y$8),ISNA(X$8)),X9*(1+$C$11),IF(AND(X$8&gt;0,ISNA(Y$8)),X9*(1+$C$11),Y$8)))</f>
        <v>339</v>
      </c>
      <c r="Z9" s="40">
        <f t="shared" ca="1" si="74"/>
        <v>380</v>
      </c>
      <c r="AA9" s="40">
        <f t="shared" ca="1" si="74"/>
        <v>362</v>
      </c>
      <c r="AB9" s="40">
        <f t="shared" ca="1" si="74"/>
        <v>400</v>
      </c>
      <c r="AC9" s="40">
        <f t="shared" ca="1" si="74"/>
        <v>449</v>
      </c>
      <c r="AD9" s="40">
        <f t="shared" ca="1" si="74"/>
        <v>458</v>
      </c>
      <c r="AE9" s="40">
        <f t="shared" ca="1" si="74"/>
        <v>433</v>
      </c>
      <c r="AF9" s="40">
        <f t="shared" ca="1" si="74"/>
        <v>379</v>
      </c>
      <c r="AG9" s="40">
        <f t="shared" ca="1" si="74"/>
        <v>368</v>
      </c>
      <c r="AH9" s="40">
        <f t="shared" ca="1" si="74"/>
        <v>362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420</v>
      </c>
      <c r="AJ9" s="40">
        <f t="shared" ca="1" si="74"/>
        <v>331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383</v>
      </c>
      <c r="AL9" s="40">
        <f t="shared" ca="1" si="74"/>
        <v>464</v>
      </c>
      <c r="AM9" s="40">
        <f t="shared" ca="1" si="74"/>
        <v>409</v>
      </c>
      <c r="AN9" s="40">
        <f t="shared" ca="1" si="74"/>
        <v>442</v>
      </c>
      <c r="AO9" s="40">
        <f t="shared" ca="1" si="74"/>
        <v>457</v>
      </c>
      <c r="AP9" s="40">
        <f t="shared" ca="1" si="74"/>
        <v>612</v>
      </c>
      <c r="AQ9" s="40">
        <f t="shared" ca="1" si="74"/>
        <v>755</v>
      </c>
      <c r="AR9" s="40">
        <f t="shared" ca="1" si="74"/>
        <v>941</v>
      </c>
      <c r="AS9" s="40">
        <f t="shared" ca="1" si="74"/>
        <v>882</v>
      </c>
      <c r="AT9" s="40">
        <f t="shared" ca="1" si="74"/>
        <v>932</v>
      </c>
      <c r="AU9" s="40">
        <f t="shared" ca="1" si="74"/>
        <v>1081.9591653595876</v>
      </c>
      <c r="AV9" s="40">
        <f t="shared" ca="1" si="74"/>
        <v>1256.0468192120338</v>
      </c>
      <c r="AW9" s="40">
        <f t="shared" ca="1" si="74"/>
        <v>1458.1452448146104</v>
      </c>
      <c r="AX9" s="40">
        <f t="shared" ca="1" si="74"/>
        <v>1692.7613863226045</v>
      </c>
      <c r="AY9" s="40">
        <f t="shared" ca="1" si="74"/>
        <v>1965.1273569726864</v>
      </c>
      <c r="AZ9" s="40">
        <f t="shared" ca="1" si="74"/>
        <v>2281.317119072382</v>
      </c>
      <c r="BA9" s="40">
        <f t="shared" ca="1" si="74"/>
        <v>2648.3819378455937</v>
      </c>
      <c r="BB9" s="40">
        <f t="shared" ca="1" si="74"/>
        <v>3074.5076298549634</v>
      </c>
      <c r="BC9" s="40">
        <f t="shared" ca="1" si="74"/>
        <v>3569.1971127570387</v>
      </c>
      <c r="BD9" s="40">
        <f t="shared" ca="1" si="74"/>
        <v>4143.4823273846087</v>
      </c>
      <c r="BE9" s="40">
        <f t="shared" ca="1" si="74"/>
        <v>4810.1702581751642</v>
      </c>
      <c r="BF9" s="40">
        <f t="shared" ca="1" si="74"/>
        <v>5584.128538382739</v>
      </c>
      <c r="BG9" s="40">
        <f t="shared" ca="1" si="74"/>
        <v>6482.6170092803031</v>
      </c>
      <c r="BH9" s="40">
        <f t="shared" ca="1" si="74"/>
        <v>7525.6726273677923</v>
      </c>
      <c r="BI9" s="40">
        <f t="shared" ca="1" si="74"/>
        <v>8736.5563033008057</v>
      </c>
      <c r="BJ9" s="40">
        <f t="shared" ca="1" si="74"/>
        <v>10142.271637378095</v>
      </c>
      <c r="BK9" s="40">
        <f t="shared" ca="1" si="74"/>
        <v>11774.167119772341</v>
      </c>
      <c r="BL9" s="40">
        <f t="shared" ca="1" si="74"/>
        <v>13668.635225014143</v>
      </c>
      <c r="BM9" s="40">
        <f t="shared" ca="1" si="74"/>
        <v>15867.923991052532</v>
      </c>
      <c r="BN9" s="40">
        <f t="shared" ca="1" si="74"/>
        <v>18421.079181704477</v>
      </c>
      <c r="BO9" s="40">
        <f t="shared" ca="1" si="74"/>
        <v>21385.038043411856</v>
      </c>
      <c r="BP9" s="40">
        <f t="shared" ca="1" si="74"/>
        <v>24825.899047889401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28820.395936862442</v>
      </c>
      <c r="BR9" s="40">
        <f t="shared" ref="BR9:EC9" ca="1" si="76">IF(IF(AND(ISNA(BR$8),ISNA(BQ$8)),BQ9*(1+$C$11),IF(AND(BQ$8&gt;0,ISNA(BR$8)),BQ9*(1+$C$11),BR$8))&gt;$C$21,$C$21,IF(AND(ISNA(BR$8),ISNA(BQ$8)),BQ9*(1+$C$11),IF(AND(BQ$8&gt;0,ISNA(BR$8)),BQ9*(1+$C$11),BR$8)))</f>
        <v>33457.608941180835</v>
      </c>
      <c r="BS9" s="40">
        <f t="shared" ca="1" si="76"/>
        <v>38840.951335759113</v>
      </c>
      <c r="BT9" s="40">
        <f t="shared" ca="1" si="76"/>
        <v>45090.47563198529</v>
      </c>
      <c r="BU9" s="40">
        <f t="shared" ca="1" si="76"/>
        <v>52345.550837392308</v>
      </c>
      <c r="BV9" s="40">
        <f t="shared" ca="1" si="76"/>
        <v>60767.97048746013</v>
      </c>
      <c r="BW9" s="40">
        <f t="shared" ca="1" si="76"/>
        <v>70545.560760953231</v>
      </c>
      <c r="BX9" s="40">
        <f t="shared" ca="1" si="76"/>
        <v>81896.369142430296</v>
      </c>
      <c r="BY9" s="40">
        <f t="shared" ca="1" si="76"/>
        <v>95073.527042193746</v>
      </c>
      <c r="BZ9" s="40">
        <f t="shared" ca="1" si="76"/>
        <v>110370.89481369541</v>
      </c>
      <c r="CA9" s="40">
        <f t="shared" ca="1" si="76"/>
        <v>128129.61505645572</v>
      </c>
      <c r="CB9" s="40">
        <f t="shared" ca="1" si="76"/>
        <v>148745.7203479915</v>
      </c>
      <c r="CC9" s="40">
        <f t="shared" ca="1" si="76"/>
        <v>172678.96506279346</v>
      </c>
      <c r="CD9" s="40">
        <f t="shared" ca="1" si="76"/>
        <v>200463.07823443928</v>
      </c>
      <c r="CE9" s="40">
        <f t="shared" ca="1" si="76"/>
        <v>232717.66610723996</v>
      </c>
      <c r="CF9" s="40">
        <f t="shared" ca="1" si="76"/>
        <v>270162.02981311217</v>
      </c>
      <c r="CG9" s="40">
        <f t="shared" ca="1" si="76"/>
        <v>313631.20631807606</v>
      </c>
      <c r="CH9" s="40">
        <f t="shared" ca="1" si="76"/>
        <v>364094.59036333283</v>
      </c>
      <c r="CI9" s="40">
        <f t="shared" ca="1" si="76"/>
        <v>422677.55268396193</v>
      </c>
      <c r="CJ9" s="40">
        <f t="shared" ca="1" si="76"/>
        <v>490686.53660748131</v>
      </c>
      <c r="CK9" s="40">
        <f t="shared" ca="1" si="76"/>
        <v>569638.19270495407</v>
      </c>
      <c r="CL9" s="40">
        <f t="shared" ca="1" si="76"/>
        <v>661293.2012188799</v>
      </c>
      <c r="CM9" s="40">
        <f t="shared" ca="1" si="76"/>
        <v>767695.53653299261</v>
      </c>
      <c r="CN9" s="40">
        <f t="shared" ca="1" si="76"/>
        <v>891218.04931064113</v>
      </c>
      <c r="CO9" s="40">
        <f t="shared" ca="1" si="76"/>
        <v>1034615.3828171041</v>
      </c>
      <c r="CP9" s="40">
        <f t="shared" ca="1" si="76"/>
        <v>1201085.4034989101</v>
      </c>
      <c r="CQ9" s="40">
        <f t="shared" ca="1" si="76"/>
        <v>1394340.5157674509</v>
      </c>
      <c r="CR9" s="40">
        <f t="shared" ca="1" si="76"/>
        <v>1618690.4513592361</v>
      </c>
      <c r="CS9" s="40">
        <f t="shared" ca="1" si="76"/>
        <v>1879138.3795366667</v>
      </c>
      <c r="CT9" s="40">
        <f t="shared" ca="1" si="76"/>
        <v>2181492.4814577894</v>
      </c>
      <c r="CU9" s="40">
        <f t="shared" ca="1" si="76"/>
        <v>2532495.4769058856</v>
      </c>
      <c r="CV9" s="40">
        <f t="shared" ca="1" si="76"/>
        <v>2939974.9919206253</v>
      </c>
      <c r="CW9" s="40">
        <f t="shared" ca="1" si="76"/>
        <v>3413018.1206400217</v>
      </c>
      <c r="CX9" s="40">
        <f t="shared" ca="1" si="76"/>
        <v>3962174.0742111867</v>
      </c>
      <c r="CY9" s="40">
        <f t="shared" ca="1" si="76"/>
        <v>4599689.4359902712</v>
      </c>
      <c r="CZ9" s="40">
        <f t="shared" ca="1" si="76"/>
        <v>5339781.2693962939</v>
      </c>
      <c r="DA9" s="40">
        <f t="shared" ca="1" si="76"/>
        <v>6198954.1689257221</v>
      </c>
      <c r="DB9" s="40">
        <f t="shared" ca="1" si="76"/>
        <v>7196368.3247995824</v>
      </c>
      <c r="DC9" s="40">
        <f t="shared" ca="1" si="76"/>
        <v>8354266.8093565768</v>
      </c>
      <c r="DD9" s="40">
        <f t="shared" ca="1" si="76"/>
        <v>9698471.6139943637</v>
      </c>
      <c r="DE9" s="40">
        <f t="shared" ca="1" si="76"/>
        <v>11258959.498649135</v>
      </c>
      <c r="DF9" s="40">
        <f t="shared" ca="1" si="76"/>
        <v>13070530.49568221</v>
      </c>
      <c r="DG9" s="40">
        <f t="shared" ca="1" si="76"/>
        <v>15173583.976304036</v>
      </c>
      <c r="DH9" s="40">
        <f t="shared" ca="1" si="76"/>
        <v>17615019.586390052</v>
      </c>
      <c r="DI9" s="40">
        <f t="shared" ca="1" si="76"/>
        <v>20449283.1432225</v>
      </c>
      <c r="DJ9" s="40">
        <f t="shared" ca="1" si="76"/>
        <v>23739580.817428004</v>
      </c>
      <c r="DK9" s="40">
        <f t="shared" ca="1" si="76"/>
        <v>27559288.677264892</v>
      </c>
      <c r="DL9" s="40">
        <f t="shared" ca="1" si="76"/>
        <v>31993589.0291389</v>
      </c>
      <c r="DM9" s="40">
        <f t="shared" ca="1" si="76"/>
        <v>37141370.04594934</v>
      </c>
      <c r="DN9" s="40">
        <f t="shared" ca="1" si="76"/>
        <v>43117431.046380833</v>
      </c>
      <c r="DO9" s="40">
        <f t="shared" ca="1" si="76"/>
        <v>50055042.604497612</v>
      </c>
      <c r="DP9" s="40">
        <f t="shared" ca="1" si="76"/>
        <v>50590584.400000006</v>
      </c>
      <c r="DQ9" s="40">
        <f t="shared" ca="1" si="76"/>
        <v>50590584.400000006</v>
      </c>
      <c r="DR9" s="40">
        <f t="shared" ca="1" si="76"/>
        <v>50590584.400000006</v>
      </c>
      <c r="DS9" s="40">
        <f t="shared" ca="1" si="76"/>
        <v>50590584.400000006</v>
      </c>
      <c r="DT9" s="40">
        <f t="shared" ca="1" si="76"/>
        <v>50590584.400000006</v>
      </c>
      <c r="DU9" s="40">
        <f t="shared" ca="1" si="76"/>
        <v>50590584.400000006</v>
      </c>
      <c r="DV9" s="40">
        <f t="shared" ca="1" si="76"/>
        <v>50590584.400000006</v>
      </c>
      <c r="DW9" s="40">
        <f t="shared" ca="1" si="76"/>
        <v>50590584.400000006</v>
      </c>
      <c r="DX9" s="40">
        <f t="shared" ca="1" si="76"/>
        <v>50590584.400000006</v>
      </c>
      <c r="DY9" s="40">
        <f t="shared" ca="1" si="76"/>
        <v>50590584.400000006</v>
      </c>
      <c r="DZ9" s="40">
        <f t="shared" ca="1" si="76"/>
        <v>50590584.400000006</v>
      </c>
      <c r="EA9" s="40">
        <f t="shared" ca="1" si="76"/>
        <v>50590584.400000006</v>
      </c>
      <c r="EB9" s="40">
        <f t="shared" ca="1" si="76"/>
        <v>50590584.400000006</v>
      </c>
      <c r="EC9" s="40">
        <f t="shared" ca="1" si="76"/>
        <v>50590584.400000006</v>
      </c>
      <c r="ED9" s="40">
        <f t="shared" ref="ED9:GO9" ca="1" si="77">IF(IF(AND(ISNA(ED$8),ISNA(EC$8)),EC9*(1+$C$11),IF(AND(EC$8&gt;0,ISNA(ED$8)),EC9*(1+$C$11),ED$8))&gt;$C$21,$C$21,IF(AND(ISNA(ED$8),ISNA(EC$8)),EC9*(1+$C$11),IF(AND(EC$8&gt;0,ISNA(ED$8)),EC9*(1+$C$11),ED$8)))</f>
        <v>50590584.400000006</v>
      </c>
      <c r="EE9" s="40">
        <f t="shared" ca="1" si="77"/>
        <v>50590584.400000006</v>
      </c>
      <c r="EF9" s="40">
        <f t="shared" ca="1" si="77"/>
        <v>50590584.400000006</v>
      </c>
      <c r="EG9" s="40">
        <f t="shared" ca="1" si="77"/>
        <v>50590584.400000006</v>
      </c>
      <c r="EH9" s="40">
        <f t="shared" ca="1" si="77"/>
        <v>50590584.400000006</v>
      </c>
      <c r="EI9" s="40">
        <f t="shared" ca="1" si="77"/>
        <v>50590584.400000006</v>
      </c>
      <c r="EJ9" s="40">
        <f t="shared" ca="1" si="77"/>
        <v>50590584.400000006</v>
      </c>
      <c r="EK9" s="40">
        <f t="shared" ca="1" si="77"/>
        <v>50590584.400000006</v>
      </c>
      <c r="EL9" s="40">
        <f t="shared" ca="1" si="77"/>
        <v>50590584.400000006</v>
      </c>
      <c r="EM9" s="40">
        <f t="shared" ca="1" si="77"/>
        <v>50590584.400000006</v>
      </c>
      <c r="EN9" s="40">
        <f t="shared" ca="1" si="77"/>
        <v>50590584.400000006</v>
      </c>
      <c r="EO9" s="40">
        <f t="shared" ca="1" si="77"/>
        <v>50590584.400000006</v>
      </c>
      <c r="EP9" s="40">
        <f t="shared" ca="1" si="77"/>
        <v>50590584.400000006</v>
      </c>
      <c r="EQ9" s="40">
        <f t="shared" ca="1" si="77"/>
        <v>50590584.400000006</v>
      </c>
      <c r="ER9" s="40">
        <f t="shared" ca="1" si="77"/>
        <v>50590584.400000006</v>
      </c>
      <c r="ES9" s="40">
        <f t="shared" ca="1" si="77"/>
        <v>50590584.400000006</v>
      </c>
      <c r="ET9" s="40">
        <f t="shared" ca="1" si="77"/>
        <v>50590584.400000006</v>
      </c>
      <c r="EU9" s="40">
        <f t="shared" ca="1" si="77"/>
        <v>50590584.400000006</v>
      </c>
      <c r="EV9" s="40">
        <f t="shared" ca="1" si="77"/>
        <v>50590584.400000006</v>
      </c>
      <c r="EW9" s="40">
        <f t="shared" ca="1" si="77"/>
        <v>50590584.400000006</v>
      </c>
      <c r="EX9" s="40">
        <f t="shared" ca="1" si="77"/>
        <v>50590584.400000006</v>
      </c>
      <c r="EY9" s="40">
        <f t="shared" ca="1" si="77"/>
        <v>50590584.400000006</v>
      </c>
      <c r="EZ9" s="40">
        <f t="shared" ca="1" si="77"/>
        <v>50590584.400000006</v>
      </c>
      <c r="FA9" s="40">
        <f t="shared" ca="1" si="77"/>
        <v>50590584.400000006</v>
      </c>
      <c r="FB9" s="40">
        <f t="shared" ca="1" si="77"/>
        <v>50590584.400000006</v>
      </c>
      <c r="FC9" s="40">
        <f t="shared" ca="1" si="77"/>
        <v>50590584.400000006</v>
      </c>
      <c r="FD9" s="40">
        <f t="shared" ca="1" si="77"/>
        <v>50590584.400000006</v>
      </c>
      <c r="FE9" s="40">
        <f t="shared" ca="1" si="77"/>
        <v>50590584.400000006</v>
      </c>
      <c r="FF9" s="40">
        <f t="shared" ca="1" si="77"/>
        <v>50590584.400000006</v>
      </c>
      <c r="FG9" s="40">
        <f t="shared" ca="1" si="77"/>
        <v>50590584.400000006</v>
      </c>
      <c r="FH9" s="40">
        <f t="shared" ca="1" si="77"/>
        <v>50590584.400000006</v>
      </c>
      <c r="FI9" s="40">
        <f t="shared" ca="1" si="77"/>
        <v>50590584.400000006</v>
      </c>
      <c r="FJ9" s="40">
        <f t="shared" ca="1" si="77"/>
        <v>50590584.400000006</v>
      </c>
      <c r="FK9" s="40">
        <f t="shared" ca="1" si="77"/>
        <v>50590584.400000006</v>
      </c>
      <c r="FL9" s="40">
        <f t="shared" ca="1" si="77"/>
        <v>50590584.400000006</v>
      </c>
      <c r="FM9" s="40">
        <f t="shared" ca="1" si="77"/>
        <v>50590584.400000006</v>
      </c>
      <c r="FN9" s="40">
        <f t="shared" ca="1" si="77"/>
        <v>50590584.400000006</v>
      </c>
      <c r="FO9" s="40">
        <f t="shared" ca="1" si="77"/>
        <v>50590584.400000006</v>
      </c>
      <c r="FP9" s="40">
        <f t="shared" ca="1" si="77"/>
        <v>50590584.400000006</v>
      </c>
      <c r="FQ9" s="40">
        <f t="shared" ca="1" si="77"/>
        <v>50590584.400000006</v>
      </c>
      <c r="FR9" s="40">
        <f t="shared" ca="1" si="77"/>
        <v>50590584.400000006</v>
      </c>
      <c r="FS9" s="40">
        <f t="shared" ca="1" si="77"/>
        <v>50590584.400000006</v>
      </c>
      <c r="FT9" s="40">
        <f t="shared" ca="1" si="77"/>
        <v>50590584.400000006</v>
      </c>
      <c r="FU9" s="40">
        <f t="shared" ca="1" si="77"/>
        <v>50590584.400000006</v>
      </c>
      <c r="FV9" s="40">
        <f t="shared" ca="1" si="77"/>
        <v>50590584.400000006</v>
      </c>
      <c r="FW9" s="40">
        <f t="shared" ca="1" si="77"/>
        <v>50590584.400000006</v>
      </c>
      <c r="FX9" s="40">
        <f t="shared" ca="1" si="77"/>
        <v>50590584.400000006</v>
      </c>
      <c r="FY9" s="40">
        <f t="shared" ca="1" si="77"/>
        <v>50590584.400000006</v>
      </c>
      <c r="FZ9" s="40">
        <f t="shared" ca="1" si="77"/>
        <v>50590584.400000006</v>
      </c>
      <c r="GA9" s="40">
        <f t="shared" ca="1" si="77"/>
        <v>50590584.400000006</v>
      </c>
      <c r="GB9" s="40">
        <f t="shared" ca="1" si="77"/>
        <v>50590584.400000006</v>
      </c>
      <c r="GC9" s="40">
        <f t="shared" ca="1" si="77"/>
        <v>50590584.400000006</v>
      </c>
      <c r="GD9" s="40">
        <f t="shared" ca="1" si="77"/>
        <v>50590584.400000006</v>
      </c>
      <c r="GE9" s="40">
        <f t="shared" ca="1" si="77"/>
        <v>50590584.400000006</v>
      </c>
      <c r="GF9" s="40">
        <f t="shared" ca="1" si="77"/>
        <v>50590584.400000006</v>
      </c>
      <c r="GG9" s="40">
        <f t="shared" ca="1" si="77"/>
        <v>50590584.400000006</v>
      </c>
      <c r="GH9" s="40">
        <f t="shared" ca="1" si="77"/>
        <v>50590584.400000006</v>
      </c>
      <c r="GI9" s="40">
        <f t="shared" ca="1" si="77"/>
        <v>50590584.400000006</v>
      </c>
      <c r="GJ9" s="40">
        <f t="shared" ca="1" si="77"/>
        <v>50590584.400000006</v>
      </c>
      <c r="GK9" s="40">
        <f t="shared" ca="1" si="77"/>
        <v>50590584.400000006</v>
      </c>
      <c r="GL9" s="40">
        <f t="shared" ca="1" si="77"/>
        <v>50590584.400000006</v>
      </c>
      <c r="GM9" s="40">
        <f t="shared" ca="1" si="77"/>
        <v>50590584.400000006</v>
      </c>
      <c r="GN9" s="40">
        <f t="shared" ca="1" si="77"/>
        <v>50590584.400000006</v>
      </c>
      <c r="GO9" s="40">
        <f t="shared" ca="1" si="77"/>
        <v>50590584.400000006</v>
      </c>
      <c r="GP9" s="40">
        <f t="shared" ref="GP9:IN9" ca="1" si="78">IF(IF(AND(ISNA(GP$8),ISNA(GO$8)),GO9*(1+$C$11),IF(AND(GO$8&gt;0,ISNA(GP$8)),GO9*(1+$C$11),GP$8))&gt;$C$21,$C$21,IF(AND(ISNA(GP$8),ISNA(GO$8)),GO9*(1+$C$11),IF(AND(GO$8&gt;0,ISNA(GP$8)),GO9*(1+$C$11),GP$8)))</f>
        <v>50590584.400000006</v>
      </c>
      <c r="GQ9" s="40">
        <f t="shared" ca="1" si="78"/>
        <v>50590584.400000006</v>
      </c>
      <c r="GR9" s="40">
        <f t="shared" ca="1" si="78"/>
        <v>50590584.400000006</v>
      </c>
      <c r="GS9" s="40">
        <f t="shared" ca="1" si="78"/>
        <v>50590584.400000006</v>
      </c>
      <c r="GT9" s="40">
        <f t="shared" ca="1" si="78"/>
        <v>50590584.400000006</v>
      </c>
      <c r="GU9" s="40">
        <f t="shared" ca="1" si="78"/>
        <v>50590584.400000006</v>
      </c>
      <c r="GV9" s="40">
        <f t="shared" ca="1" si="78"/>
        <v>50590584.400000006</v>
      </c>
      <c r="GW9" s="40">
        <f t="shared" ca="1" si="78"/>
        <v>50590584.400000006</v>
      </c>
      <c r="GX9" s="40">
        <f t="shared" ca="1" si="78"/>
        <v>50590584.400000006</v>
      </c>
      <c r="GY9" s="40">
        <f t="shared" ca="1" si="78"/>
        <v>50590584.400000006</v>
      </c>
      <c r="GZ9" s="40">
        <f t="shared" ca="1" si="78"/>
        <v>50590584.400000006</v>
      </c>
      <c r="HA9" s="40">
        <f t="shared" ca="1" si="78"/>
        <v>50590584.400000006</v>
      </c>
      <c r="HB9" s="40">
        <f t="shared" ca="1" si="78"/>
        <v>50590584.400000006</v>
      </c>
      <c r="HC9" s="40">
        <f t="shared" ca="1" si="78"/>
        <v>50590584.400000006</v>
      </c>
      <c r="HD9" s="40">
        <f t="shared" ca="1" si="78"/>
        <v>50590584.400000006</v>
      </c>
      <c r="HE9" s="40">
        <f t="shared" ca="1" si="78"/>
        <v>50590584.400000006</v>
      </c>
      <c r="HF9" s="40">
        <f t="shared" ca="1" si="78"/>
        <v>50590584.400000006</v>
      </c>
      <c r="HG9" s="40">
        <f t="shared" ca="1" si="78"/>
        <v>50590584.400000006</v>
      </c>
      <c r="HH9" s="40">
        <f t="shared" ca="1" si="78"/>
        <v>50590584.400000006</v>
      </c>
      <c r="HI9" s="40">
        <f t="shared" ca="1" si="78"/>
        <v>50590584.400000006</v>
      </c>
      <c r="HJ9" s="40">
        <f t="shared" ca="1" si="78"/>
        <v>50590584.400000006</v>
      </c>
      <c r="HK9" s="40">
        <f t="shared" ca="1" si="78"/>
        <v>50590584.400000006</v>
      </c>
      <c r="HL9" s="40">
        <f t="shared" ca="1" si="78"/>
        <v>50590584.400000006</v>
      </c>
      <c r="HM9" s="40">
        <f t="shared" ca="1" si="78"/>
        <v>50590584.400000006</v>
      </c>
      <c r="HN9" s="40">
        <f t="shared" ca="1" si="78"/>
        <v>50590584.400000006</v>
      </c>
      <c r="HO9" s="40">
        <f t="shared" ca="1" si="78"/>
        <v>50590584.400000006</v>
      </c>
      <c r="HP9" s="40">
        <f t="shared" ca="1" si="78"/>
        <v>50590584.400000006</v>
      </c>
      <c r="HQ9" s="40">
        <f t="shared" ca="1" si="78"/>
        <v>50590584.400000006</v>
      </c>
      <c r="HR9" s="40">
        <f t="shared" ca="1" si="78"/>
        <v>50590584.400000006</v>
      </c>
      <c r="HS9" s="40">
        <f t="shared" ca="1" si="78"/>
        <v>50590584.400000006</v>
      </c>
      <c r="HT9" s="40">
        <f t="shared" ca="1" si="78"/>
        <v>50590584.400000006</v>
      </c>
      <c r="HU9" s="40">
        <f t="shared" ca="1" si="78"/>
        <v>50590584.400000006</v>
      </c>
      <c r="HV9" s="40">
        <f t="shared" ca="1" si="78"/>
        <v>50590584.400000006</v>
      </c>
      <c r="HW9" s="40">
        <f t="shared" ca="1" si="78"/>
        <v>50590584.400000006</v>
      </c>
      <c r="HX9" s="40">
        <f t="shared" ca="1" si="78"/>
        <v>50590584.400000006</v>
      </c>
      <c r="HY9" s="40">
        <f t="shared" ca="1" si="78"/>
        <v>50590584.400000006</v>
      </c>
      <c r="HZ9" s="40">
        <f t="shared" ca="1" si="78"/>
        <v>50590584.400000006</v>
      </c>
      <c r="IA9" s="40">
        <f t="shared" ca="1" si="78"/>
        <v>50590584.400000006</v>
      </c>
      <c r="IB9" s="40">
        <f t="shared" ca="1" si="78"/>
        <v>50590584.400000006</v>
      </c>
      <c r="IC9" s="40">
        <f t="shared" ca="1" si="78"/>
        <v>50590584.400000006</v>
      </c>
      <c r="ID9" s="40">
        <f t="shared" ca="1" si="78"/>
        <v>50590584.400000006</v>
      </c>
      <c r="IE9" s="40">
        <f t="shared" ca="1" si="78"/>
        <v>50590584.400000006</v>
      </c>
      <c r="IF9" s="40">
        <f t="shared" ca="1" si="78"/>
        <v>50590584.400000006</v>
      </c>
      <c r="IG9" s="40">
        <f t="shared" ca="1" si="78"/>
        <v>50590584.400000006</v>
      </c>
      <c r="IH9" s="40">
        <f t="shared" ca="1" si="78"/>
        <v>50590584.400000006</v>
      </c>
      <c r="II9" s="40">
        <f t="shared" ca="1" si="78"/>
        <v>50590584.400000006</v>
      </c>
      <c r="IJ9" s="40">
        <f t="shared" ca="1" si="78"/>
        <v>50590584.400000006</v>
      </c>
      <c r="IK9" s="40">
        <f t="shared" ca="1" si="78"/>
        <v>50590584.400000006</v>
      </c>
      <c r="IL9" s="40">
        <f t="shared" ca="1" si="78"/>
        <v>50590584.400000006</v>
      </c>
      <c r="IM9" s="40">
        <f t="shared" ca="1" si="78"/>
        <v>50590584.400000006</v>
      </c>
      <c r="IN9" s="40">
        <f t="shared" ca="1" si="78"/>
        <v>50590584.400000006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105</v>
      </c>
      <c r="H10" s="40">
        <f t="shared" ref="H10" ca="1" si="79">IF(IF(AND(ISNA(H$8),ISNA(G$8)),G10*(1+$E$10),IF(AND(G$8&gt;0,ISNA(H$8)),G10*(1+$E$10),H$8))&gt;$C$21,$C$21,IF(AND(ISNA(H$8),ISNA(G$8)),G10*(1+$E$10),IF(AND(G$8&gt;0,ISNA(H$8)),G10*(1+$E$10),H$8)))</f>
        <v>115</v>
      </c>
      <c r="I10" s="40">
        <f t="shared" ref="I10:BT10" ca="1" si="80">IF(IF(AND(ISNA(I$8),ISNA(H$8)),H10*(1+$E$10),IF(AND(H$8&gt;0,ISNA(I$8)),H10*(1+$E$10),I$8))&gt;$C$21,$C$21,IF(AND(ISNA(I$8),ISNA(H$8)),H10*(1+$E$10),IF(AND(H$8&gt;0,ISNA(I$8)),H10*(1+$E$10),I$8)))</f>
        <v>125</v>
      </c>
      <c r="J10" s="40">
        <f t="shared" ca="1" si="80"/>
        <v>135</v>
      </c>
      <c r="K10" s="40">
        <f t="shared" ca="1" si="80"/>
        <v>145</v>
      </c>
      <c r="L10" s="40">
        <f t="shared" ca="1" si="80"/>
        <v>168</v>
      </c>
      <c r="M10" s="40">
        <f t="shared" ca="1" si="80"/>
        <v>196.5</v>
      </c>
      <c r="N10" s="40">
        <f t="shared" ca="1" si="80"/>
        <v>213</v>
      </c>
      <c r="O10" s="40">
        <f t="shared" ca="1" si="80"/>
        <v>227.875</v>
      </c>
      <c r="P10" s="40">
        <f t="shared" ca="1" si="80"/>
        <v>244.33333333333334</v>
      </c>
      <c r="Q10" s="40">
        <f t="shared" ca="1" si="80"/>
        <v>263.5</v>
      </c>
      <c r="R10" s="40">
        <f t="shared" ca="1" si="80"/>
        <v>283.45454545454544</v>
      </c>
      <c r="S10" s="40">
        <f t="shared" ca="1" si="80"/>
        <v>192</v>
      </c>
      <c r="T10" s="40">
        <f t="shared" ca="1" si="80"/>
        <v>188</v>
      </c>
      <c r="U10" s="40">
        <f t="shared" ca="1" si="80"/>
        <v>249</v>
      </c>
      <c r="V10" s="40">
        <f t="shared" ca="1" si="80"/>
        <v>280</v>
      </c>
      <c r="W10" s="40">
        <f t="shared" ca="1" si="80"/>
        <v>294</v>
      </c>
      <c r="X10" s="40">
        <f t="shared" ca="1" si="80"/>
        <v>272</v>
      </c>
      <c r="Y10" s="40">
        <f t="shared" ca="1" si="80"/>
        <v>339</v>
      </c>
      <c r="Z10" s="40">
        <f t="shared" ca="1" si="80"/>
        <v>380</v>
      </c>
      <c r="AA10" s="40">
        <f t="shared" ca="1" si="80"/>
        <v>362</v>
      </c>
      <c r="AB10" s="40">
        <f t="shared" ca="1" si="80"/>
        <v>400</v>
      </c>
      <c r="AC10" s="40">
        <f t="shared" ca="1" si="80"/>
        <v>449</v>
      </c>
      <c r="AD10" s="40">
        <f t="shared" ca="1" si="80"/>
        <v>458</v>
      </c>
      <c r="AE10" s="40">
        <f t="shared" ca="1" si="80"/>
        <v>433</v>
      </c>
      <c r="AF10" s="40">
        <f t="shared" ca="1" si="80"/>
        <v>379</v>
      </c>
      <c r="AG10" s="40">
        <f t="shared" ca="1" si="80"/>
        <v>368</v>
      </c>
      <c r="AH10" s="40">
        <f t="shared" ca="1" si="80"/>
        <v>362</v>
      </c>
      <c r="AI10" s="40">
        <f t="shared" ca="1" si="80"/>
        <v>420</v>
      </c>
      <c r="AJ10" s="40">
        <f t="shared" ca="1" si="80"/>
        <v>331</v>
      </c>
      <c r="AK10" s="40">
        <f t="shared" ca="1" si="80"/>
        <v>383</v>
      </c>
      <c r="AL10" s="40">
        <f t="shared" ca="1" si="80"/>
        <v>464</v>
      </c>
      <c r="AM10" s="40">
        <f t="shared" ca="1" si="80"/>
        <v>409</v>
      </c>
      <c r="AN10" s="40">
        <f t="shared" ca="1" si="80"/>
        <v>442</v>
      </c>
      <c r="AO10" s="40">
        <f t="shared" ca="1" si="80"/>
        <v>457</v>
      </c>
      <c r="AP10" s="40">
        <f t="shared" ca="1" si="80"/>
        <v>612</v>
      </c>
      <c r="AQ10" s="40">
        <f t="shared" ca="1" si="80"/>
        <v>755</v>
      </c>
      <c r="AR10" s="40">
        <f t="shared" ca="1" si="80"/>
        <v>941</v>
      </c>
      <c r="AS10" s="40">
        <f t="shared" ca="1" si="80"/>
        <v>882</v>
      </c>
      <c r="AT10" s="40">
        <f t="shared" ca="1" si="80"/>
        <v>932</v>
      </c>
      <c r="AU10" s="40">
        <f t="shared" ca="1" si="80"/>
        <v>1025.2</v>
      </c>
      <c r="AV10" s="40">
        <f t="shared" ca="1" si="80"/>
        <v>1127.7200000000003</v>
      </c>
      <c r="AW10" s="40">
        <f t="shared" ca="1" si="80"/>
        <v>1240.4920000000004</v>
      </c>
      <c r="AX10" s="40">
        <f t="shared" ca="1" si="80"/>
        <v>1364.5412000000006</v>
      </c>
      <c r="AY10" s="40">
        <f t="shared" ca="1" si="80"/>
        <v>1500.9953200000007</v>
      </c>
      <c r="AZ10" s="40">
        <f t="shared" ca="1" si="80"/>
        <v>1651.0948520000009</v>
      </c>
      <c r="BA10" s="40">
        <f t="shared" ca="1" si="80"/>
        <v>1816.2043372000012</v>
      </c>
      <c r="BB10" s="40">
        <f t="shared" ca="1" si="80"/>
        <v>1997.8247709200016</v>
      </c>
      <c r="BC10" s="40">
        <f t="shared" ca="1" si="80"/>
        <v>2197.6072480120019</v>
      </c>
      <c r="BD10" s="40">
        <f t="shared" ca="1" si="80"/>
        <v>2417.3679728132024</v>
      </c>
      <c r="BE10" s="40">
        <f t="shared" ca="1" si="80"/>
        <v>2659.1047700945228</v>
      </c>
      <c r="BF10" s="40">
        <f t="shared" ca="1" si="80"/>
        <v>2925.0152471039755</v>
      </c>
      <c r="BG10" s="40">
        <f t="shared" ca="1" si="80"/>
        <v>3217.5167718143734</v>
      </c>
      <c r="BH10" s="40">
        <f t="shared" ca="1" si="80"/>
        <v>3539.268448995811</v>
      </c>
      <c r="BI10" s="40">
        <f t="shared" ca="1" si="80"/>
        <v>3893.1952938953923</v>
      </c>
      <c r="BJ10" s="40">
        <f t="shared" ca="1" si="80"/>
        <v>4282.5148232849315</v>
      </c>
      <c r="BK10" s="40">
        <f t="shared" ca="1" si="80"/>
        <v>4710.7663056134252</v>
      </c>
      <c r="BL10" s="40">
        <f t="shared" ca="1" si="80"/>
        <v>5181.8429361747685</v>
      </c>
      <c r="BM10" s="40">
        <f t="shared" ca="1" si="80"/>
        <v>5700.0272297922456</v>
      </c>
      <c r="BN10" s="40">
        <f t="shared" ca="1" si="80"/>
        <v>6270.0299527714706</v>
      </c>
      <c r="BO10" s="40">
        <f t="shared" ca="1" si="80"/>
        <v>6897.032948048618</v>
      </c>
      <c r="BP10" s="40">
        <f t="shared" ca="1" si="80"/>
        <v>7586.7362428534807</v>
      </c>
      <c r="BQ10" s="40">
        <f t="shared" ca="1" si="80"/>
        <v>8345.4098671388292</v>
      </c>
      <c r="BR10" s="40">
        <f t="shared" ca="1" si="80"/>
        <v>9179.9508538527134</v>
      </c>
      <c r="BS10" s="40">
        <f t="shared" ca="1" si="80"/>
        <v>10097.945939237985</v>
      </c>
      <c r="BT10" s="40">
        <f t="shared" ca="1" si="80"/>
        <v>11107.740533161785</v>
      </c>
      <c r="BU10" s="40">
        <f t="shared" ref="BU10:EF10" ca="1" si="81">IF(IF(AND(ISNA(BU$8),ISNA(BT$8)),BT10*(1+$E$10),IF(AND(BT$8&gt;0,ISNA(BU$8)),BT10*(1+$E$10),BU$8))&gt;$C$21,$C$21,IF(AND(ISNA(BU$8),ISNA(BT$8)),BT10*(1+$E$10),IF(AND(BT$8&gt;0,ISNA(BU$8)),BT10*(1+$E$10),BU$8)))</f>
        <v>12218.514586477964</v>
      </c>
      <c r="BV10" s="40">
        <f t="shared" ca="1" si="81"/>
        <v>13440.366045125762</v>
      </c>
      <c r="BW10" s="40">
        <f t="shared" ca="1" si="81"/>
        <v>14784.402649638339</v>
      </c>
      <c r="BX10" s="40">
        <f t="shared" ca="1" si="81"/>
        <v>16262.842914602175</v>
      </c>
      <c r="BY10" s="40">
        <f t="shared" ca="1" si="81"/>
        <v>17889.127206062396</v>
      </c>
      <c r="BZ10" s="40">
        <f t="shared" ca="1" si="81"/>
        <v>19678.039926668636</v>
      </c>
      <c r="CA10" s="40">
        <f t="shared" ca="1" si="81"/>
        <v>21645.843919335501</v>
      </c>
      <c r="CB10" s="40">
        <f t="shared" ca="1" si="81"/>
        <v>23810.428311269054</v>
      </c>
      <c r="CC10" s="40">
        <f t="shared" ca="1" si="81"/>
        <v>26191.47114239596</v>
      </c>
      <c r="CD10" s="40">
        <f t="shared" ca="1" si="81"/>
        <v>28810.618256635556</v>
      </c>
      <c r="CE10" s="40">
        <f t="shared" ca="1" si="81"/>
        <v>31691.680082299114</v>
      </c>
      <c r="CF10" s="40">
        <f t="shared" ca="1" si="81"/>
        <v>34860.848090529027</v>
      </c>
      <c r="CG10" s="40">
        <f t="shared" ca="1" si="81"/>
        <v>38346.932899581931</v>
      </c>
      <c r="CH10" s="40">
        <f t="shared" ca="1" si="81"/>
        <v>42181.626189540126</v>
      </c>
      <c r="CI10" s="40">
        <f t="shared" ca="1" si="81"/>
        <v>46399.788808494144</v>
      </c>
      <c r="CJ10" s="40">
        <f t="shared" ca="1" si="81"/>
        <v>51039.767689343564</v>
      </c>
      <c r="CK10" s="40">
        <f t="shared" ca="1" si="81"/>
        <v>56143.744458277928</v>
      </c>
      <c r="CL10" s="40">
        <f t="shared" ca="1" si="81"/>
        <v>61758.118904105722</v>
      </c>
      <c r="CM10" s="40">
        <f t="shared" ca="1" si="81"/>
        <v>67933.930794516302</v>
      </c>
      <c r="CN10" s="40">
        <f t="shared" ca="1" si="81"/>
        <v>74727.323873967936</v>
      </c>
      <c r="CO10" s="40">
        <f t="shared" ca="1" si="81"/>
        <v>82200.056261364734</v>
      </c>
      <c r="CP10" s="40">
        <f t="shared" ca="1" si="81"/>
        <v>90420.061887501215</v>
      </c>
      <c r="CQ10" s="40">
        <f t="shared" ca="1" si="81"/>
        <v>99462.068076251351</v>
      </c>
      <c r="CR10" s="40">
        <f t="shared" ca="1" si="81"/>
        <v>109408.2748838765</v>
      </c>
      <c r="CS10" s="40">
        <f t="shared" ca="1" si="81"/>
        <v>120349.10237226415</v>
      </c>
      <c r="CT10" s="40">
        <f t="shared" ca="1" si="81"/>
        <v>132384.01260949057</v>
      </c>
      <c r="CU10" s="40">
        <f t="shared" ca="1" si="81"/>
        <v>145622.41387043963</v>
      </c>
      <c r="CV10" s="40">
        <f t="shared" ca="1" si="81"/>
        <v>160184.6552574836</v>
      </c>
      <c r="CW10" s="40">
        <f t="shared" ca="1" si="81"/>
        <v>176203.12078323198</v>
      </c>
      <c r="CX10" s="40">
        <f t="shared" ca="1" si="81"/>
        <v>193823.43286155519</v>
      </c>
      <c r="CY10" s="40">
        <f t="shared" ca="1" si="81"/>
        <v>213205.77614771074</v>
      </c>
      <c r="CZ10" s="40">
        <f t="shared" ca="1" si="81"/>
        <v>234526.35376248183</v>
      </c>
      <c r="DA10" s="40">
        <f t="shared" ca="1" si="81"/>
        <v>257978.98913873004</v>
      </c>
      <c r="DB10" s="40">
        <f t="shared" ca="1" si="81"/>
        <v>283776.88805260306</v>
      </c>
      <c r="DC10" s="40">
        <f t="shared" ca="1" si="81"/>
        <v>312154.5768578634</v>
      </c>
      <c r="DD10" s="40">
        <f t="shared" ca="1" si="81"/>
        <v>343370.03454364976</v>
      </c>
      <c r="DE10" s="40">
        <f t="shared" ca="1" si="81"/>
        <v>377707.03799801477</v>
      </c>
      <c r="DF10" s="40">
        <f t="shared" ca="1" si="81"/>
        <v>415477.7417978163</v>
      </c>
      <c r="DG10" s="40">
        <f t="shared" ca="1" si="81"/>
        <v>457025.51597759797</v>
      </c>
      <c r="DH10" s="40">
        <f t="shared" ca="1" si="81"/>
        <v>502728.0675753578</v>
      </c>
      <c r="DI10" s="40">
        <f t="shared" ca="1" si="81"/>
        <v>553000.87433289364</v>
      </c>
      <c r="DJ10" s="40">
        <f t="shared" ca="1" si="81"/>
        <v>608300.96176618303</v>
      </c>
      <c r="DK10" s="40">
        <f t="shared" ca="1" si="81"/>
        <v>669131.05794280139</v>
      </c>
      <c r="DL10" s="40">
        <f t="shared" ca="1" si="81"/>
        <v>736044.16373708157</v>
      </c>
      <c r="DM10" s="40">
        <f t="shared" ca="1" si="81"/>
        <v>809648.58011078974</v>
      </c>
      <c r="DN10" s="40">
        <f t="shared" ca="1" si="81"/>
        <v>890613.43812186876</v>
      </c>
      <c r="DO10" s="40">
        <f t="shared" ca="1" si="81"/>
        <v>979674.78193405573</v>
      </c>
      <c r="DP10" s="40">
        <f t="shared" ca="1" si="81"/>
        <v>1077642.2601274613</v>
      </c>
      <c r="DQ10" s="40">
        <f t="shared" ca="1" si="81"/>
        <v>1185406.4861402076</v>
      </c>
      <c r="DR10" s="40">
        <f t="shared" ca="1" si="81"/>
        <v>1303947.1347542284</v>
      </c>
      <c r="DS10" s="40">
        <f t="shared" ca="1" si="81"/>
        <v>1434341.8482296513</v>
      </c>
      <c r="DT10" s="40">
        <f t="shared" ca="1" si="81"/>
        <v>1577776.0330526165</v>
      </c>
      <c r="DU10" s="40">
        <f t="shared" ca="1" si="81"/>
        <v>1735553.6363578783</v>
      </c>
      <c r="DV10" s="40">
        <f t="shared" ca="1" si="81"/>
        <v>1909108.9999936663</v>
      </c>
      <c r="DW10" s="40">
        <f t="shared" ca="1" si="81"/>
        <v>2100019.8999930331</v>
      </c>
      <c r="DX10" s="40">
        <f t="shared" ca="1" si="81"/>
        <v>2310021.8899923367</v>
      </c>
      <c r="DY10" s="40">
        <f t="shared" ca="1" si="81"/>
        <v>2541024.0789915705</v>
      </c>
      <c r="DZ10" s="40">
        <f t="shared" ca="1" si="81"/>
        <v>2795126.4868907277</v>
      </c>
      <c r="EA10" s="40">
        <f t="shared" ca="1" si="81"/>
        <v>3074639.1355798007</v>
      </c>
      <c r="EB10" s="40">
        <f t="shared" ca="1" si="81"/>
        <v>3382103.0491377809</v>
      </c>
      <c r="EC10" s="40">
        <f t="shared" ca="1" si="81"/>
        <v>3720313.3540515592</v>
      </c>
      <c r="ED10" s="40">
        <f t="shared" ca="1" si="81"/>
        <v>4092344.6894567157</v>
      </c>
      <c r="EE10" s="40">
        <f t="shared" ca="1" si="81"/>
        <v>4501579.158402388</v>
      </c>
      <c r="EF10" s="40">
        <f t="shared" ca="1" si="81"/>
        <v>4951737.0742426272</v>
      </c>
      <c r="EG10" s="40">
        <f t="shared" ref="EG10:GR10" ca="1" si="82">IF(IF(AND(ISNA(EG$8),ISNA(EF$8)),EF10*(1+$E$10),IF(AND(EF$8&gt;0,ISNA(EG$8)),EF10*(1+$E$10),EG$8))&gt;$C$21,$C$21,IF(AND(ISNA(EG$8),ISNA(EF$8)),EF10*(1+$E$10),IF(AND(EF$8&gt;0,ISNA(EG$8)),EF10*(1+$E$10),EG$8)))</f>
        <v>5446910.7816668907</v>
      </c>
      <c r="EH10" s="40">
        <f t="shared" ca="1" si="82"/>
        <v>5991601.8598335804</v>
      </c>
      <c r="EI10" s="40">
        <f t="shared" ca="1" si="82"/>
        <v>6590762.0458169393</v>
      </c>
      <c r="EJ10" s="40">
        <f t="shared" ca="1" si="82"/>
        <v>7249838.250398634</v>
      </c>
      <c r="EK10" s="40">
        <f t="shared" ca="1" si="82"/>
        <v>7974822.0754384976</v>
      </c>
      <c r="EL10" s="40">
        <f t="shared" ca="1" si="82"/>
        <v>8772304.2829823475</v>
      </c>
      <c r="EM10" s="40">
        <f t="shared" ca="1" si="82"/>
        <v>9649534.7112805825</v>
      </c>
      <c r="EN10" s="40">
        <f t="shared" ca="1" si="82"/>
        <v>10614488.182408642</v>
      </c>
      <c r="EO10" s="40">
        <f t="shared" ca="1" si="82"/>
        <v>11675937.000649508</v>
      </c>
      <c r="EP10" s="40">
        <f t="shared" ca="1" si="82"/>
        <v>12843530.70071446</v>
      </c>
      <c r="EQ10" s="40">
        <f t="shared" ca="1" si="82"/>
        <v>14127883.770785907</v>
      </c>
      <c r="ER10" s="40">
        <f t="shared" ca="1" si="82"/>
        <v>15540672.1478645</v>
      </c>
      <c r="ES10" s="40">
        <f t="shared" ca="1" si="82"/>
        <v>17094739.362650953</v>
      </c>
      <c r="ET10" s="40">
        <f t="shared" ca="1" si="82"/>
        <v>18804213.298916049</v>
      </c>
      <c r="EU10" s="40">
        <f t="shared" ca="1" si="82"/>
        <v>20684634.628807656</v>
      </c>
      <c r="EV10" s="40">
        <f t="shared" ca="1" si="82"/>
        <v>22753098.091688424</v>
      </c>
      <c r="EW10" s="40">
        <f t="shared" ca="1" si="82"/>
        <v>25028407.90085727</v>
      </c>
      <c r="EX10" s="40">
        <f t="shared" ca="1" si="82"/>
        <v>27531248.690942999</v>
      </c>
      <c r="EY10" s="40">
        <f t="shared" ca="1" si="82"/>
        <v>30284373.5600373</v>
      </c>
      <c r="EZ10" s="40">
        <f t="shared" ca="1" si="82"/>
        <v>33312810.916041031</v>
      </c>
      <c r="FA10" s="40">
        <f t="shared" ca="1" si="82"/>
        <v>36644092.007645138</v>
      </c>
      <c r="FB10" s="40">
        <f t="shared" ca="1" si="82"/>
        <v>40308501.208409652</v>
      </c>
      <c r="FC10" s="40">
        <f t="shared" ca="1" si="82"/>
        <v>44339351.329250619</v>
      </c>
      <c r="FD10" s="40">
        <f t="shared" ca="1" si="82"/>
        <v>48773286.462175682</v>
      </c>
      <c r="FE10" s="40">
        <f t="shared" ca="1" si="82"/>
        <v>50590584.400000006</v>
      </c>
      <c r="FF10" s="40">
        <f t="shared" ca="1" si="82"/>
        <v>50590584.400000006</v>
      </c>
      <c r="FG10" s="40">
        <f t="shared" ca="1" si="82"/>
        <v>50590584.400000006</v>
      </c>
      <c r="FH10" s="40">
        <f t="shared" ca="1" si="82"/>
        <v>50590584.400000006</v>
      </c>
      <c r="FI10" s="40">
        <f t="shared" ca="1" si="82"/>
        <v>50590584.400000006</v>
      </c>
      <c r="FJ10" s="40">
        <f t="shared" ca="1" si="82"/>
        <v>50590584.400000006</v>
      </c>
      <c r="FK10" s="40">
        <f t="shared" ca="1" si="82"/>
        <v>50590584.400000006</v>
      </c>
      <c r="FL10" s="40">
        <f t="shared" ca="1" si="82"/>
        <v>50590584.400000006</v>
      </c>
      <c r="FM10" s="40">
        <f t="shared" ca="1" si="82"/>
        <v>50590584.400000006</v>
      </c>
      <c r="FN10" s="40">
        <f t="shared" ca="1" si="82"/>
        <v>50590584.400000006</v>
      </c>
      <c r="FO10" s="40">
        <f t="shared" ca="1" si="82"/>
        <v>50590584.400000006</v>
      </c>
      <c r="FP10" s="40">
        <f t="shared" ca="1" si="82"/>
        <v>50590584.400000006</v>
      </c>
      <c r="FQ10" s="40">
        <f t="shared" ca="1" si="82"/>
        <v>50590584.400000006</v>
      </c>
      <c r="FR10" s="40">
        <f t="shared" ca="1" si="82"/>
        <v>50590584.400000006</v>
      </c>
      <c r="FS10" s="40">
        <f t="shared" ca="1" si="82"/>
        <v>50590584.400000006</v>
      </c>
      <c r="FT10" s="40">
        <f t="shared" ca="1" si="82"/>
        <v>50590584.400000006</v>
      </c>
      <c r="FU10" s="40">
        <f t="shared" ca="1" si="82"/>
        <v>50590584.400000006</v>
      </c>
      <c r="FV10" s="40">
        <f t="shared" ca="1" si="82"/>
        <v>50590584.400000006</v>
      </c>
      <c r="FW10" s="40">
        <f t="shared" ca="1" si="82"/>
        <v>50590584.400000006</v>
      </c>
      <c r="FX10" s="40">
        <f t="shared" ca="1" si="82"/>
        <v>50590584.400000006</v>
      </c>
      <c r="FY10" s="40">
        <f t="shared" ca="1" si="82"/>
        <v>50590584.400000006</v>
      </c>
      <c r="FZ10" s="40">
        <f t="shared" ca="1" si="82"/>
        <v>50590584.400000006</v>
      </c>
      <c r="GA10" s="40">
        <f t="shared" ca="1" si="82"/>
        <v>50590584.400000006</v>
      </c>
      <c r="GB10" s="40">
        <f t="shared" ca="1" si="82"/>
        <v>50590584.400000006</v>
      </c>
      <c r="GC10" s="40">
        <f t="shared" ca="1" si="82"/>
        <v>50590584.400000006</v>
      </c>
      <c r="GD10" s="40">
        <f t="shared" ca="1" si="82"/>
        <v>50590584.400000006</v>
      </c>
      <c r="GE10" s="40">
        <f t="shared" ca="1" si="82"/>
        <v>50590584.400000006</v>
      </c>
      <c r="GF10" s="40">
        <f t="shared" ca="1" si="82"/>
        <v>50590584.400000006</v>
      </c>
      <c r="GG10" s="40">
        <f t="shared" ca="1" si="82"/>
        <v>50590584.400000006</v>
      </c>
      <c r="GH10" s="40">
        <f t="shared" ca="1" si="82"/>
        <v>50590584.400000006</v>
      </c>
      <c r="GI10" s="40">
        <f t="shared" ca="1" si="82"/>
        <v>50590584.400000006</v>
      </c>
      <c r="GJ10" s="40">
        <f t="shared" ca="1" si="82"/>
        <v>50590584.400000006</v>
      </c>
      <c r="GK10" s="40">
        <f t="shared" ca="1" si="82"/>
        <v>50590584.400000006</v>
      </c>
      <c r="GL10" s="40">
        <f t="shared" ca="1" si="82"/>
        <v>50590584.400000006</v>
      </c>
      <c r="GM10" s="40">
        <f t="shared" ca="1" si="82"/>
        <v>50590584.400000006</v>
      </c>
      <c r="GN10" s="40">
        <f t="shared" ca="1" si="82"/>
        <v>50590584.400000006</v>
      </c>
      <c r="GO10" s="40">
        <f t="shared" ca="1" si="82"/>
        <v>50590584.400000006</v>
      </c>
      <c r="GP10" s="40">
        <f t="shared" ca="1" si="82"/>
        <v>50590584.400000006</v>
      </c>
      <c r="GQ10" s="40">
        <f t="shared" ca="1" si="82"/>
        <v>50590584.400000006</v>
      </c>
      <c r="GR10" s="40">
        <f t="shared" ca="1" si="82"/>
        <v>50590584.400000006</v>
      </c>
      <c r="GS10" s="40">
        <f t="shared" ref="GS10:IN10" ca="1" si="83">IF(IF(AND(ISNA(GS$8),ISNA(GR$8)),GR10*(1+$E$10),IF(AND(GR$8&gt;0,ISNA(GS$8)),GR10*(1+$E$10),GS$8))&gt;$C$21,$C$21,IF(AND(ISNA(GS$8),ISNA(GR$8)),GR10*(1+$E$10),IF(AND(GR$8&gt;0,ISNA(GS$8)),GR10*(1+$E$10),GS$8)))</f>
        <v>50590584.400000006</v>
      </c>
      <c r="GT10" s="40">
        <f t="shared" ca="1" si="83"/>
        <v>50590584.400000006</v>
      </c>
      <c r="GU10" s="40">
        <f t="shared" ca="1" si="83"/>
        <v>50590584.400000006</v>
      </c>
      <c r="GV10" s="40">
        <f t="shared" ca="1" si="83"/>
        <v>50590584.400000006</v>
      </c>
      <c r="GW10" s="40">
        <f t="shared" ca="1" si="83"/>
        <v>50590584.400000006</v>
      </c>
      <c r="GX10" s="40">
        <f t="shared" ca="1" si="83"/>
        <v>50590584.400000006</v>
      </c>
      <c r="GY10" s="40">
        <f t="shared" ca="1" si="83"/>
        <v>50590584.400000006</v>
      </c>
      <c r="GZ10" s="40">
        <f t="shared" ca="1" si="83"/>
        <v>50590584.400000006</v>
      </c>
      <c r="HA10" s="40">
        <f t="shared" ca="1" si="83"/>
        <v>50590584.400000006</v>
      </c>
      <c r="HB10" s="40">
        <f t="shared" ca="1" si="83"/>
        <v>50590584.400000006</v>
      </c>
      <c r="HC10" s="40">
        <f t="shared" ca="1" si="83"/>
        <v>50590584.400000006</v>
      </c>
      <c r="HD10" s="40">
        <f t="shared" ca="1" si="83"/>
        <v>50590584.400000006</v>
      </c>
      <c r="HE10" s="40">
        <f t="shared" ca="1" si="83"/>
        <v>50590584.400000006</v>
      </c>
      <c r="HF10" s="40">
        <f t="shared" ca="1" si="83"/>
        <v>50590584.400000006</v>
      </c>
      <c r="HG10" s="40">
        <f t="shared" ca="1" si="83"/>
        <v>50590584.400000006</v>
      </c>
      <c r="HH10" s="40">
        <f t="shared" ca="1" si="83"/>
        <v>50590584.400000006</v>
      </c>
      <c r="HI10" s="40">
        <f t="shared" ca="1" si="83"/>
        <v>50590584.400000006</v>
      </c>
      <c r="HJ10" s="40">
        <f t="shared" ca="1" si="83"/>
        <v>50590584.400000006</v>
      </c>
      <c r="HK10" s="40">
        <f t="shared" ca="1" si="83"/>
        <v>50590584.400000006</v>
      </c>
      <c r="HL10" s="40">
        <f t="shared" ca="1" si="83"/>
        <v>50590584.400000006</v>
      </c>
      <c r="HM10" s="40">
        <f t="shared" ca="1" si="83"/>
        <v>50590584.400000006</v>
      </c>
      <c r="HN10" s="40">
        <f t="shared" ca="1" si="83"/>
        <v>50590584.400000006</v>
      </c>
      <c r="HO10" s="40">
        <f t="shared" ca="1" si="83"/>
        <v>50590584.400000006</v>
      </c>
      <c r="HP10" s="40">
        <f t="shared" ca="1" si="83"/>
        <v>50590584.400000006</v>
      </c>
      <c r="HQ10" s="40">
        <f t="shared" ca="1" si="83"/>
        <v>50590584.400000006</v>
      </c>
      <c r="HR10" s="40">
        <f t="shared" ca="1" si="83"/>
        <v>50590584.400000006</v>
      </c>
      <c r="HS10" s="40">
        <f t="shared" ca="1" si="83"/>
        <v>50590584.400000006</v>
      </c>
      <c r="HT10" s="40">
        <f t="shared" ca="1" si="83"/>
        <v>50590584.400000006</v>
      </c>
      <c r="HU10" s="40">
        <f t="shared" ca="1" si="83"/>
        <v>50590584.400000006</v>
      </c>
      <c r="HV10" s="40">
        <f t="shared" ca="1" si="83"/>
        <v>50590584.400000006</v>
      </c>
      <c r="HW10" s="40">
        <f t="shared" ca="1" si="83"/>
        <v>50590584.400000006</v>
      </c>
      <c r="HX10" s="40">
        <f t="shared" ca="1" si="83"/>
        <v>50590584.400000006</v>
      </c>
      <c r="HY10" s="40">
        <f t="shared" ca="1" si="83"/>
        <v>50590584.400000006</v>
      </c>
      <c r="HZ10" s="40">
        <f t="shared" ca="1" si="83"/>
        <v>50590584.400000006</v>
      </c>
      <c r="IA10" s="40">
        <f t="shared" ca="1" si="83"/>
        <v>50590584.400000006</v>
      </c>
      <c r="IB10" s="40">
        <f t="shared" ca="1" si="83"/>
        <v>50590584.400000006</v>
      </c>
      <c r="IC10" s="40">
        <f t="shared" ca="1" si="83"/>
        <v>50590584.400000006</v>
      </c>
      <c r="ID10" s="40">
        <f t="shared" ca="1" si="83"/>
        <v>50590584.400000006</v>
      </c>
      <c r="IE10" s="40">
        <f t="shared" ca="1" si="83"/>
        <v>50590584.400000006</v>
      </c>
      <c r="IF10" s="40">
        <f t="shared" ca="1" si="83"/>
        <v>50590584.400000006</v>
      </c>
      <c r="IG10" s="40">
        <f t="shared" ca="1" si="83"/>
        <v>50590584.400000006</v>
      </c>
      <c r="IH10" s="40">
        <f t="shared" ca="1" si="83"/>
        <v>50590584.400000006</v>
      </c>
      <c r="II10" s="40">
        <f t="shared" ca="1" si="83"/>
        <v>50590584.400000006</v>
      </c>
      <c r="IJ10" s="40">
        <f t="shared" ca="1" si="83"/>
        <v>50590584.400000006</v>
      </c>
      <c r="IK10" s="40">
        <f t="shared" ca="1" si="83"/>
        <v>50590584.400000006</v>
      </c>
      <c r="IL10" s="40">
        <f t="shared" ca="1" si="83"/>
        <v>50590584.400000006</v>
      </c>
      <c r="IM10" s="40">
        <f t="shared" ca="1" si="83"/>
        <v>50590584.400000006</v>
      </c>
      <c r="IN10" s="40">
        <f t="shared" ca="1" si="83"/>
        <v>50590584.400000006</v>
      </c>
    </row>
    <row r="11" spans="2:248" x14ac:dyDescent="0.3">
      <c r="B11" s="19" t="s">
        <v>526</v>
      </c>
      <c r="C11" s="53">
        <f ca="1">HLOOKUP($C$5-1,G4:IN16,13,FALSE)</f>
        <v>0.16090039201672482</v>
      </c>
      <c r="E11" s="19">
        <v>0.25</v>
      </c>
      <c r="F11" s="19" t="s">
        <v>494</v>
      </c>
      <c r="G11" s="40">
        <f t="shared" ref="G11" si="84">IF(IF(AND(ISNA(G$8),ISNA(F$8)),F11*(1+$E$11),IF(AND(F$8&gt;0,ISNA(G$8)),F11*(1+$E$11),G$8))&gt;$C$21,$C$21,IF(AND(ISNA(G$8),ISNA(F$8)),F11*(1+$E$11),IF(AND(F$8&gt;0,ISNA(G$8)),F11*(1+$E$11),G$8)))</f>
        <v>105</v>
      </c>
      <c r="H11" s="40">
        <f t="shared" ref="H11" ca="1" si="85">IF(IF(AND(ISNA(H$8),ISNA(G$8)),G11*(1+$E$11),IF(AND(G$8&gt;0,ISNA(H$8)),G11*(1+$E$11),H$8))&gt;$C$21,$C$21,IF(AND(ISNA(H$8),ISNA(G$8)),G11*(1+$E$11),IF(AND(G$8&gt;0,ISNA(H$8)),G11*(1+$E$11),H$8)))</f>
        <v>115</v>
      </c>
      <c r="I11" s="40">
        <f t="shared" ref="I11:BT11" ca="1" si="86">IF(IF(AND(ISNA(I$8),ISNA(H$8)),H11*(1+$E$11),IF(AND(H$8&gt;0,ISNA(I$8)),H11*(1+$E$11),I$8))&gt;$C$21,$C$21,IF(AND(ISNA(I$8),ISNA(H$8)),H11*(1+$E$11),IF(AND(H$8&gt;0,ISNA(I$8)),H11*(1+$E$11),I$8)))</f>
        <v>125</v>
      </c>
      <c r="J11" s="40">
        <f t="shared" ca="1" si="86"/>
        <v>135</v>
      </c>
      <c r="K11" s="40">
        <f t="shared" ca="1" si="86"/>
        <v>145</v>
      </c>
      <c r="L11" s="40">
        <f t="shared" ca="1" si="86"/>
        <v>168</v>
      </c>
      <c r="M11" s="40">
        <f t="shared" ca="1" si="86"/>
        <v>196.5</v>
      </c>
      <c r="N11" s="40">
        <f t="shared" ca="1" si="86"/>
        <v>213</v>
      </c>
      <c r="O11" s="40">
        <f t="shared" ca="1" si="86"/>
        <v>227.875</v>
      </c>
      <c r="P11" s="40">
        <f t="shared" ca="1" si="86"/>
        <v>244.33333333333334</v>
      </c>
      <c r="Q11" s="40">
        <f t="shared" ca="1" si="86"/>
        <v>263.5</v>
      </c>
      <c r="R11" s="40">
        <f t="shared" ca="1" si="86"/>
        <v>283.45454545454544</v>
      </c>
      <c r="S11" s="40">
        <f t="shared" ca="1" si="86"/>
        <v>192</v>
      </c>
      <c r="T11" s="40">
        <f t="shared" ca="1" si="86"/>
        <v>188</v>
      </c>
      <c r="U11" s="40">
        <f t="shared" ca="1" si="86"/>
        <v>249</v>
      </c>
      <c r="V11" s="40">
        <f t="shared" ca="1" si="86"/>
        <v>280</v>
      </c>
      <c r="W11" s="40">
        <f t="shared" ca="1" si="86"/>
        <v>294</v>
      </c>
      <c r="X11" s="40">
        <f t="shared" ca="1" si="86"/>
        <v>272</v>
      </c>
      <c r="Y11" s="40">
        <f t="shared" ca="1" si="86"/>
        <v>339</v>
      </c>
      <c r="Z11" s="40">
        <f t="shared" ca="1" si="86"/>
        <v>380</v>
      </c>
      <c r="AA11" s="40">
        <f t="shared" ca="1" si="86"/>
        <v>362</v>
      </c>
      <c r="AB11" s="40">
        <f t="shared" ca="1" si="86"/>
        <v>400</v>
      </c>
      <c r="AC11" s="40">
        <f t="shared" ca="1" si="86"/>
        <v>449</v>
      </c>
      <c r="AD11" s="40">
        <f t="shared" ca="1" si="86"/>
        <v>458</v>
      </c>
      <c r="AE11" s="40">
        <f t="shared" ca="1" si="86"/>
        <v>433</v>
      </c>
      <c r="AF11" s="40">
        <f t="shared" ca="1" si="86"/>
        <v>379</v>
      </c>
      <c r="AG11" s="40">
        <f t="shared" ca="1" si="86"/>
        <v>368</v>
      </c>
      <c r="AH11" s="40">
        <f t="shared" ca="1" si="86"/>
        <v>362</v>
      </c>
      <c r="AI11" s="40">
        <f t="shared" ca="1" si="86"/>
        <v>420</v>
      </c>
      <c r="AJ11" s="40">
        <f t="shared" ca="1" si="86"/>
        <v>331</v>
      </c>
      <c r="AK11" s="40">
        <f t="shared" ca="1" si="86"/>
        <v>383</v>
      </c>
      <c r="AL11" s="40">
        <f t="shared" ca="1" si="86"/>
        <v>464</v>
      </c>
      <c r="AM11" s="40">
        <f t="shared" ca="1" si="86"/>
        <v>409</v>
      </c>
      <c r="AN11" s="40">
        <f t="shared" ca="1" si="86"/>
        <v>442</v>
      </c>
      <c r="AO11" s="40">
        <f t="shared" ca="1" si="86"/>
        <v>457</v>
      </c>
      <c r="AP11" s="40">
        <f t="shared" ca="1" si="86"/>
        <v>612</v>
      </c>
      <c r="AQ11" s="40">
        <f t="shared" ca="1" si="86"/>
        <v>755</v>
      </c>
      <c r="AR11" s="40">
        <f t="shared" ca="1" si="86"/>
        <v>941</v>
      </c>
      <c r="AS11" s="40">
        <f t="shared" ca="1" si="86"/>
        <v>882</v>
      </c>
      <c r="AT11" s="40">
        <f t="shared" ca="1" si="86"/>
        <v>932</v>
      </c>
      <c r="AU11" s="40">
        <f t="shared" ca="1" si="86"/>
        <v>1165</v>
      </c>
      <c r="AV11" s="40">
        <f t="shared" ca="1" si="86"/>
        <v>1456.25</v>
      </c>
      <c r="AW11" s="40">
        <f t="shared" ca="1" si="86"/>
        <v>1820.3125</v>
      </c>
      <c r="AX11" s="40">
        <f t="shared" ca="1" si="86"/>
        <v>2275.390625</v>
      </c>
      <c r="AY11" s="40">
        <f t="shared" ca="1" si="86"/>
        <v>2844.23828125</v>
      </c>
      <c r="AZ11" s="40">
        <f t="shared" ca="1" si="86"/>
        <v>3555.2978515625</v>
      </c>
      <c r="BA11" s="40">
        <f t="shared" ca="1" si="86"/>
        <v>4444.122314453125</v>
      </c>
      <c r="BB11" s="40">
        <f t="shared" ca="1" si="86"/>
        <v>5555.1528930664063</v>
      </c>
      <c r="BC11" s="40">
        <f t="shared" ca="1" si="86"/>
        <v>6943.9411163330078</v>
      </c>
      <c r="BD11" s="40">
        <f t="shared" ca="1" si="86"/>
        <v>8679.9263954162598</v>
      </c>
      <c r="BE11" s="40">
        <f t="shared" ca="1" si="86"/>
        <v>10849.907994270325</v>
      </c>
      <c r="BF11" s="40">
        <f t="shared" ca="1" si="86"/>
        <v>13562.384992837906</v>
      </c>
      <c r="BG11" s="40">
        <f t="shared" ca="1" si="86"/>
        <v>16952.981241047382</v>
      </c>
      <c r="BH11" s="40">
        <f t="shared" ca="1" si="86"/>
        <v>21191.226551309228</v>
      </c>
      <c r="BI11" s="40">
        <f t="shared" ca="1" si="86"/>
        <v>26489.033189136535</v>
      </c>
      <c r="BJ11" s="40">
        <f t="shared" ca="1" si="86"/>
        <v>33111.291486420669</v>
      </c>
      <c r="BK11" s="40">
        <f t="shared" ca="1" si="86"/>
        <v>41389.114358025836</v>
      </c>
      <c r="BL11" s="40">
        <f t="shared" ca="1" si="86"/>
        <v>51736.392947532295</v>
      </c>
      <c r="BM11" s="40">
        <f t="shared" ca="1" si="86"/>
        <v>64670.491184415368</v>
      </c>
      <c r="BN11" s="40">
        <f t="shared" ca="1" si="86"/>
        <v>80838.113980519207</v>
      </c>
      <c r="BO11" s="40">
        <f t="shared" ca="1" si="86"/>
        <v>101047.64247564902</v>
      </c>
      <c r="BP11" s="40">
        <f t="shared" ca="1" si="86"/>
        <v>126309.55309456127</v>
      </c>
      <c r="BQ11" s="40">
        <f t="shared" ca="1" si="86"/>
        <v>157886.94136820157</v>
      </c>
      <c r="BR11" s="40">
        <f t="shared" ca="1" si="86"/>
        <v>197358.67671025195</v>
      </c>
      <c r="BS11" s="40">
        <f t="shared" ca="1" si="86"/>
        <v>246698.34588781494</v>
      </c>
      <c r="BT11" s="40">
        <f t="shared" ca="1" si="86"/>
        <v>308372.93235976866</v>
      </c>
      <c r="BU11" s="40">
        <f t="shared" ref="BU11:EF11" ca="1" si="87">IF(IF(AND(ISNA(BU$8),ISNA(BT$8)),BT11*(1+$E$11),IF(AND(BT$8&gt;0,ISNA(BU$8)),BT11*(1+$E$11),BU$8))&gt;$C$21,$C$21,IF(AND(ISNA(BU$8),ISNA(BT$8)),BT11*(1+$E$11),IF(AND(BT$8&gt;0,ISNA(BU$8)),BT11*(1+$E$11),BU$8)))</f>
        <v>385466.1654497108</v>
      </c>
      <c r="BV11" s="40">
        <f t="shared" ca="1" si="87"/>
        <v>481832.70681213849</v>
      </c>
      <c r="BW11" s="40">
        <f t="shared" ca="1" si="87"/>
        <v>602290.8835151731</v>
      </c>
      <c r="BX11" s="40">
        <f t="shared" ca="1" si="87"/>
        <v>752863.60439396638</v>
      </c>
      <c r="BY11" s="40">
        <f t="shared" ca="1" si="87"/>
        <v>941079.505492458</v>
      </c>
      <c r="BZ11" s="40">
        <f t="shared" ca="1" si="87"/>
        <v>1176349.3818655724</v>
      </c>
      <c r="CA11" s="40">
        <f t="shared" ca="1" si="87"/>
        <v>1470436.7273319655</v>
      </c>
      <c r="CB11" s="40">
        <f t="shared" ca="1" si="87"/>
        <v>1838045.9091649568</v>
      </c>
      <c r="CC11" s="40">
        <f t="shared" ca="1" si="87"/>
        <v>2297557.3864561962</v>
      </c>
      <c r="CD11" s="40">
        <f t="shared" ca="1" si="87"/>
        <v>2871946.733070245</v>
      </c>
      <c r="CE11" s="40">
        <f t="shared" ca="1" si="87"/>
        <v>3589933.4163378063</v>
      </c>
      <c r="CF11" s="40">
        <f t="shared" ca="1" si="87"/>
        <v>4487416.7704222575</v>
      </c>
      <c r="CG11" s="40">
        <f t="shared" ca="1" si="87"/>
        <v>5609270.9630278219</v>
      </c>
      <c r="CH11" s="40">
        <f t="shared" ca="1" si="87"/>
        <v>7011588.7037847769</v>
      </c>
      <c r="CI11" s="40">
        <f t="shared" ca="1" si="87"/>
        <v>8764485.8797309715</v>
      </c>
      <c r="CJ11" s="40">
        <f t="shared" ca="1" si="87"/>
        <v>10955607.349663714</v>
      </c>
      <c r="CK11" s="40">
        <f t="shared" ca="1" si="87"/>
        <v>13694509.187079642</v>
      </c>
      <c r="CL11" s="40">
        <f t="shared" ca="1" si="87"/>
        <v>17118136.483849552</v>
      </c>
      <c r="CM11" s="40">
        <f t="shared" ca="1" si="87"/>
        <v>21397670.60481194</v>
      </c>
      <c r="CN11" s="40">
        <f t="shared" ca="1" si="87"/>
        <v>26747088.256014924</v>
      </c>
      <c r="CO11" s="40">
        <f t="shared" ca="1" si="87"/>
        <v>33433860.320018657</v>
      </c>
      <c r="CP11" s="40">
        <f t="shared" ca="1" si="87"/>
        <v>41792325.400023319</v>
      </c>
      <c r="CQ11" s="40">
        <f t="shared" ca="1" si="87"/>
        <v>50590584.400000006</v>
      </c>
      <c r="CR11" s="40">
        <f t="shared" ca="1" si="87"/>
        <v>50590584.400000006</v>
      </c>
      <c r="CS11" s="40">
        <f t="shared" ca="1" si="87"/>
        <v>50590584.400000006</v>
      </c>
      <c r="CT11" s="40">
        <f t="shared" ca="1" si="87"/>
        <v>50590584.400000006</v>
      </c>
      <c r="CU11" s="40">
        <f t="shared" ca="1" si="87"/>
        <v>50590584.400000006</v>
      </c>
      <c r="CV11" s="40">
        <f t="shared" ca="1" si="87"/>
        <v>50590584.400000006</v>
      </c>
      <c r="CW11" s="40">
        <f t="shared" ca="1" si="87"/>
        <v>50590584.400000006</v>
      </c>
      <c r="CX11" s="40">
        <f t="shared" ca="1" si="87"/>
        <v>50590584.400000006</v>
      </c>
      <c r="CY11" s="40">
        <f t="shared" ca="1" si="87"/>
        <v>50590584.400000006</v>
      </c>
      <c r="CZ11" s="40">
        <f t="shared" ca="1" si="87"/>
        <v>50590584.400000006</v>
      </c>
      <c r="DA11" s="40">
        <f t="shared" ca="1" si="87"/>
        <v>50590584.400000006</v>
      </c>
      <c r="DB11" s="40">
        <f t="shared" ca="1" si="87"/>
        <v>50590584.400000006</v>
      </c>
      <c r="DC11" s="40">
        <f t="shared" ca="1" si="87"/>
        <v>50590584.400000006</v>
      </c>
      <c r="DD11" s="40">
        <f t="shared" ca="1" si="87"/>
        <v>50590584.400000006</v>
      </c>
      <c r="DE11" s="40">
        <f t="shared" ca="1" si="87"/>
        <v>50590584.400000006</v>
      </c>
      <c r="DF11" s="40">
        <f t="shared" ca="1" si="87"/>
        <v>50590584.400000006</v>
      </c>
      <c r="DG11" s="40">
        <f t="shared" ca="1" si="87"/>
        <v>50590584.400000006</v>
      </c>
      <c r="DH11" s="40">
        <f t="shared" ca="1" si="87"/>
        <v>50590584.400000006</v>
      </c>
      <c r="DI11" s="40">
        <f t="shared" ca="1" si="87"/>
        <v>50590584.400000006</v>
      </c>
      <c r="DJ11" s="40">
        <f t="shared" ca="1" si="87"/>
        <v>50590584.400000006</v>
      </c>
      <c r="DK11" s="40">
        <f t="shared" ca="1" si="87"/>
        <v>50590584.400000006</v>
      </c>
      <c r="DL11" s="40">
        <f t="shared" ca="1" si="87"/>
        <v>50590584.400000006</v>
      </c>
      <c r="DM11" s="40">
        <f t="shared" ca="1" si="87"/>
        <v>50590584.400000006</v>
      </c>
      <c r="DN11" s="40">
        <f t="shared" ca="1" si="87"/>
        <v>50590584.400000006</v>
      </c>
      <c r="DO11" s="40">
        <f t="shared" ca="1" si="87"/>
        <v>50590584.400000006</v>
      </c>
      <c r="DP11" s="40">
        <f t="shared" ca="1" si="87"/>
        <v>50590584.400000006</v>
      </c>
      <c r="DQ11" s="40">
        <f t="shared" ca="1" si="87"/>
        <v>50590584.400000006</v>
      </c>
      <c r="DR11" s="40">
        <f t="shared" ca="1" si="87"/>
        <v>50590584.400000006</v>
      </c>
      <c r="DS11" s="40">
        <f t="shared" ca="1" si="87"/>
        <v>50590584.400000006</v>
      </c>
      <c r="DT11" s="40">
        <f t="shared" ca="1" si="87"/>
        <v>50590584.400000006</v>
      </c>
      <c r="DU11" s="40">
        <f t="shared" ca="1" si="87"/>
        <v>50590584.400000006</v>
      </c>
      <c r="DV11" s="40">
        <f t="shared" ca="1" si="87"/>
        <v>50590584.400000006</v>
      </c>
      <c r="DW11" s="40">
        <f t="shared" ca="1" si="87"/>
        <v>50590584.400000006</v>
      </c>
      <c r="DX11" s="40">
        <f t="shared" ca="1" si="87"/>
        <v>50590584.400000006</v>
      </c>
      <c r="DY11" s="40">
        <f t="shared" ca="1" si="87"/>
        <v>50590584.400000006</v>
      </c>
      <c r="DZ11" s="40">
        <f t="shared" ca="1" si="87"/>
        <v>50590584.400000006</v>
      </c>
      <c r="EA11" s="40">
        <f t="shared" ca="1" si="87"/>
        <v>50590584.400000006</v>
      </c>
      <c r="EB11" s="40">
        <f t="shared" ca="1" si="87"/>
        <v>50590584.400000006</v>
      </c>
      <c r="EC11" s="40">
        <f t="shared" ca="1" si="87"/>
        <v>50590584.400000006</v>
      </c>
      <c r="ED11" s="40">
        <f t="shared" ca="1" si="87"/>
        <v>50590584.400000006</v>
      </c>
      <c r="EE11" s="40">
        <f t="shared" ca="1" si="87"/>
        <v>50590584.400000006</v>
      </c>
      <c r="EF11" s="40">
        <f t="shared" ca="1" si="87"/>
        <v>50590584.400000006</v>
      </c>
      <c r="EG11" s="40">
        <f t="shared" ref="EG11:GR11" ca="1" si="88">IF(IF(AND(ISNA(EG$8),ISNA(EF$8)),EF11*(1+$E$11),IF(AND(EF$8&gt;0,ISNA(EG$8)),EF11*(1+$E$11),EG$8))&gt;$C$21,$C$21,IF(AND(ISNA(EG$8),ISNA(EF$8)),EF11*(1+$E$11),IF(AND(EF$8&gt;0,ISNA(EG$8)),EF11*(1+$E$11),EG$8)))</f>
        <v>50590584.400000006</v>
      </c>
      <c r="EH11" s="40">
        <f t="shared" ca="1" si="88"/>
        <v>50590584.400000006</v>
      </c>
      <c r="EI11" s="40">
        <f t="shared" ca="1" si="88"/>
        <v>50590584.400000006</v>
      </c>
      <c r="EJ11" s="40">
        <f t="shared" ca="1" si="88"/>
        <v>50590584.400000006</v>
      </c>
      <c r="EK11" s="40">
        <f t="shared" ca="1" si="88"/>
        <v>50590584.400000006</v>
      </c>
      <c r="EL11" s="40">
        <f t="shared" ca="1" si="88"/>
        <v>50590584.400000006</v>
      </c>
      <c r="EM11" s="40">
        <f t="shared" ca="1" si="88"/>
        <v>50590584.400000006</v>
      </c>
      <c r="EN11" s="40">
        <f t="shared" ca="1" si="88"/>
        <v>50590584.400000006</v>
      </c>
      <c r="EO11" s="40">
        <f t="shared" ca="1" si="88"/>
        <v>50590584.400000006</v>
      </c>
      <c r="EP11" s="40">
        <f t="shared" ca="1" si="88"/>
        <v>50590584.400000006</v>
      </c>
      <c r="EQ11" s="40">
        <f t="shared" ca="1" si="88"/>
        <v>50590584.400000006</v>
      </c>
      <c r="ER11" s="40">
        <f t="shared" ca="1" si="88"/>
        <v>50590584.400000006</v>
      </c>
      <c r="ES11" s="40">
        <f t="shared" ca="1" si="88"/>
        <v>50590584.400000006</v>
      </c>
      <c r="ET11" s="40">
        <f t="shared" ca="1" si="88"/>
        <v>50590584.400000006</v>
      </c>
      <c r="EU11" s="40">
        <f t="shared" ca="1" si="88"/>
        <v>50590584.400000006</v>
      </c>
      <c r="EV11" s="40">
        <f t="shared" ca="1" si="88"/>
        <v>50590584.400000006</v>
      </c>
      <c r="EW11" s="40">
        <f t="shared" ca="1" si="88"/>
        <v>50590584.400000006</v>
      </c>
      <c r="EX11" s="40">
        <f t="shared" ca="1" si="88"/>
        <v>50590584.400000006</v>
      </c>
      <c r="EY11" s="40">
        <f t="shared" ca="1" si="88"/>
        <v>50590584.400000006</v>
      </c>
      <c r="EZ11" s="40">
        <f t="shared" ca="1" si="88"/>
        <v>50590584.400000006</v>
      </c>
      <c r="FA11" s="40">
        <f t="shared" ca="1" si="88"/>
        <v>50590584.400000006</v>
      </c>
      <c r="FB11" s="40">
        <f t="shared" ca="1" si="88"/>
        <v>50590584.400000006</v>
      </c>
      <c r="FC11" s="40">
        <f t="shared" ca="1" si="88"/>
        <v>50590584.400000006</v>
      </c>
      <c r="FD11" s="40">
        <f t="shared" ca="1" si="88"/>
        <v>50590584.400000006</v>
      </c>
      <c r="FE11" s="40">
        <f t="shared" ca="1" si="88"/>
        <v>50590584.400000006</v>
      </c>
      <c r="FF11" s="40">
        <f t="shared" ca="1" si="88"/>
        <v>50590584.400000006</v>
      </c>
      <c r="FG11" s="40">
        <f t="shared" ca="1" si="88"/>
        <v>50590584.400000006</v>
      </c>
      <c r="FH11" s="40">
        <f t="shared" ca="1" si="88"/>
        <v>50590584.400000006</v>
      </c>
      <c r="FI11" s="40">
        <f t="shared" ca="1" si="88"/>
        <v>50590584.400000006</v>
      </c>
      <c r="FJ11" s="40">
        <f t="shared" ca="1" si="88"/>
        <v>50590584.400000006</v>
      </c>
      <c r="FK11" s="40">
        <f t="shared" ca="1" si="88"/>
        <v>50590584.400000006</v>
      </c>
      <c r="FL11" s="40">
        <f t="shared" ca="1" si="88"/>
        <v>50590584.400000006</v>
      </c>
      <c r="FM11" s="40">
        <f t="shared" ca="1" si="88"/>
        <v>50590584.400000006</v>
      </c>
      <c r="FN11" s="40">
        <f t="shared" ca="1" si="88"/>
        <v>50590584.400000006</v>
      </c>
      <c r="FO11" s="40">
        <f t="shared" ca="1" si="88"/>
        <v>50590584.400000006</v>
      </c>
      <c r="FP11" s="40">
        <f t="shared" ca="1" si="88"/>
        <v>50590584.400000006</v>
      </c>
      <c r="FQ11" s="40">
        <f t="shared" ca="1" si="88"/>
        <v>50590584.400000006</v>
      </c>
      <c r="FR11" s="40">
        <f t="shared" ca="1" si="88"/>
        <v>50590584.400000006</v>
      </c>
      <c r="FS11" s="40">
        <f t="shared" ca="1" si="88"/>
        <v>50590584.400000006</v>
      </c>
      <c r="FT11" s="40">
        <f t="shared" ca="1" si="88"/>
        <v>50590584.400000006</v>
      </c>
      <c r="FU11" s="40">
        <f t="shared" ca="1" si="88"/>
        <v>50590584.400000006</v>
      </c>
      <c r="FV11" s="40">
        <f t="shared" ca="1" si="88"/>
        <v>50590584.400000006</v>
      </c>
      <c r="FW11" s="40">
        <f t="shared" ca="1" si="88"/>
        <v>50590584.400000006</v>
      </c>
      <c r="FX11" s="40">
        <f t="shared" ca="1" si="88"/>
        <v>50590584.400000006</v>
      </c>
      <c r="FY11" s="40">
        <f t="shared" ca="1" si="88"/>
        <v>50590584.400000006</v>
      </c>
      <c r="FZ11" s="40">
        <f t="shared" ca="1" si="88"/>
        <v>50590584.400000006</v>
      </c>
      <c r="GA11" s="40">
        <f t="shared" ca="1" si="88"/>
        <v>50590584.400000006</v>
      </c>
      <c r="GB11" s="40">
        <f t="shared" ca="1" si="88"/>
        <v>50590584.400000006</v>
      </c>
      <c r="GC11" s="40">
        <f t="shared" ca="1" si="88"/>
        <v>50590584.400000006</v>
      </c>
      <c r="GD11" s="40">
        <f t="shared" ca="1" si="88"/>
        <v>50590584.400000006</v>
      </c>
      <c r="GE11" s="40">
        <f t="shared" ca="1" si="88"/>
        <v>50590584.400000006</v>
      </c>
      <c r="GF11" s="40">
        <f t="shared" ca="1" si="88"/>
        <v>50590584.400000006</v>
      </c>
      <c r="GG11" s="40">
        <f t="shared" ca="1" si="88"/>
        <v>50590584.400000006</v>
      </c>
      <c r="GH11" s="40">
        <f t="shared" ca="1" si="88"/>
        <v>50590584.400000006</v>
      </c>
      <c r="GI11" s="40">
        <f t="shared" ca="1" si="88"/>
        <v>50590584.400000006</v>
      </c>
      <c r="GJ11" s="40">
        <f t="shared" ca="1" si="88"/>
        <v>50590584.400000006</v>
      </c>
      <c r="GK11" s="40">
        <f t="shared" ca="1" si="88"/>
        <v>50590584.400000006</v>
      </c>
      <c r="GL11" s="40">
        <f t="shared" ca="1" si="88"/>
        <v>50590584.400000006</v>
      </c>
      <c r="GM11" s="40">
        <f t="shared" ca="1" si="88"/>
        <v>50590584.400000006</v>
      </c>
      <c r="GN11" s="40">
        <f t="shared" ca="1" si="88"/>
        <v>50590584.400000006</v>
      </c>
      <c r="GO11" s="40">
        <f t="shared" ca="1" si="88"/>
        <v>50590584.400000006</v>
      </c>
      <c r="GP11" s="40">
        <f t="shared" ca="1" si="88"/>
        <v>50590584.400000006</v>
      </c>
      <c r="GQ11" s="40">
        <f t="shared" ca="1" si="88"/>
        <v>50590584.400000006</v>
      </c>
      <c r="GR11" s="40">
        <f t="shared" ca="1" si="88"/>
        <v>50590584.400000006</v>
      </c>
      <c r="GS11" s="40">
        <f t="shared" ref="GS11:IN11" ca="1" si="89">IF(IF(AND(ISNA(GS$8),ISNA(GR$8)),GR11*(1+$E$11),IF(AND(GR$8&gt;0,ISNA(GS$8)),GR11*(1+$E$11),GS$8))&gt;$C$21,$C$21,IF(AND(ISNA(GS$8),ISNA(GR$8)),GR11*(1+$E$11),IF(AND(GR$8&gt;0,ISNA(GS$8)),GR11*(1+$E$11),GS$8)))</f>
        <v>50590584.400000006</v>
      </c>
      <c r="GT11" s="40">
        <f t="shared" ca="1" si="89"/>
        <v>50590584.400000006</v>
      </c>
      <c r="GU11" s="40">
        <f t="shared" ca="1" si="89"/>
        <v>50590584.400000006</v>
      </c>
      <c r="GV11" s="40">
        <f t="shared" ca="1" si="89"/>
        <v>50590584.400000006</v>
      </c>
      <c r="GW11" s="40">
        <f t="shared" ca="1" si="89"/>
        <v>50590584.400000006</v>
      </c>
      <c r="GX11" s="40">
        <f t="shared" ca="1" si="89"/>
        <v>50590584.400000006</v>
      </c>
      <c r="GY11" s="40">
        <f t="shared" ca="1" si="89"/>
        <v>50590584.400000006</v>
      </c>
      <c r="GZ11" s="40">
        <f t="shared" ca="1" si="89"/>
        <v>50590584.400000006</v>
      </c>
      <c r="HA11" s="40">
        <f t="shared" ca="1" si="89"/>
        <v>50590584.400000006</v>
      </c>
      <c r="HB11" s="40">
        <f t="shared" ca="1" si="89"/>
        <v>50590584.400000006</v>
      </c>
      <c r="HC11" s="40">
        <f t="shared" ca="1" si="89"/>
        <v>50590584.400000006</v>
      </c>
      <c r="HD11" s="40">
        <f t="shared" ca="1" si="89"/>
        <v>50590584.400000006</v>
      </c>
      <c r="HE11" s="40">
        <f t="shared" ca="1" si="89"/>
        <v>50590584.400000006</v>
      </c>
      <c r="HF11" s="40">
        <f t="shared" ca="1" si="89"/>
        <v>50590584.400000006</v>
      </c>
      <c r="HG11" s="40">
        <f t="shared" ca="1" si="89"/>
        <v>50590584.400000006</v>
      </c>
      <c r="HH11" s="40">
        <f t="shared" ca="1" si="89"/>
        <v>50590584.400000006</v>
      </c>
      <c r="HI11" s="40">
        <f t="shared" ca="1" si="89"/>
        <v>50590584.400000006</v>
      </c>
      <c r="HJ11" s="40">
        <f t="shared" ca="1" si="89"/>
        <v>50590584.400000006</v>
      </c>
      <c r="HK11" s="40">
        <f t="shared" ca="1" si="89"/>
        <v>50590584.400000006</v>
      </c>
      <c r="HL11" s="40">
        <f t="shared" ca="1" si="89"/>
        <v>50590584.400000006</v>
      </c>
      <c r="HM11" s="40">
        <f t="shared" ca="1" si="89"/>
        <v>50590584.400000006</v>
      </c>
      <c r="HN11" s="40">
        <f t="shared" ca="1" si="89"/>
        <v>50590584.400000006</v>
      </c>
      <c r="HO11" s="40">
        <f t="shared" ca="1" si="89"/>
        <v>50590584.400000006</v>
      </c>
      <c r="HP11" s="40">
        <f t="shared" ca="1" si="89"/>
        <v>50590584.400000006</v>
      </c>
      <c r="HQ11" s="40">
        <f t="shared" ca="1" si="89"/>
        <v>50590584.400000006</v>
      </c>
      <c r="HR11" s="40">
        <f t="shared" ca="1" si="89"/>
        <v>50590584.400000006</v>
      </c>
      <c r="HS11" s="40">
        <f t="shared" ca="1" si="89"/>
        <v>50590584.400000006</v>
      </c>
      <c r="HT11" s="40">
        <f t="shared" ca="1" si="89"/>
        <v>50590584.400000006</v>
      </c>
      <c r="HU11" s="40">
        <f t="shared" ca="1" si="89"/>
        <v>50590584.400000006</v>
      </c>
      <c r="HV11" s="40">
        <f t="shared" ca="1" si="89"/>
        <v>50590584.400000006</v>
      </c>
      <c r="HW11" s="40">
        <f t="shared" ca="1" si="89"/>
        <v>50590584.400000006</v>
      </c>
      <c r="HX11" s="40">
        <f t="shared" ca="1" si="89"/>
        <v>50590584.400000006</v>
      </c>
      <c r="HY11" s="40">
        <f t="shared" ca="1" si="89"/>
        <v>50590584.400000006</v>
      </c>
      <c r="HZ11" s="40">
        <f t="shared" ca="1" si="89"/>
        <v>50590584.400000006</v>
      </c>
      <c r="IA11" s="40">
        <f t="shared" ca="1" si="89"/>
        <v>50590584.400000006</v>
      </c>
      <c r="IB11" s="40">
        <f t="shared" ca="1" si="89"/>
        <v>50590584.400000006</v>
      </c>
      <c r="IC11" s="40">
        <f t="shared" ca="1" si="89"/>
        <v>50590584.400000006</v>
      </c>
      <c r="ID11" s="40">
        <f t="shared" ca="1" si="89"/>
        <v>50590584.400000006</v>
      </c>
      <c r="IE11" s="40">
        <f t="shared" ca="1" si="89"/>
        <v>50590584.400000006</v>
      </c>
      <c r="IF11" s="40">
        <f t="shared" ca="1" si="89"/>
        <v>50590584.400000006</v>
      </c>
      <c r="IG11" s="40">
        <f t="shared" ca="1" si="89"/>
        <v>50590584.400000006</v>
      </c>
      <c r="IH11" s="40">
        <f t="shared" ca="1" si="89"/>
        <v>50590584.400000006</v>
      </c>
      <c r="II11" s="40">
        <f t="shared" ca="1" si="89"/>
        <v>50590584.400000006</v>
      </c>
      <c r="IJ11" s="40">
        <f t="shared" ca="1" si="89"/>
        <v>50590584.400000006</v>
      </c>
      <c r="IK11" s="40">
        <f t="shared" ca="1" si="89"/>
        <v>50590584.400000006</v>
      </c>
      <c r="IL11" s="40">
        <f t="shared" ca="1" si="89"/>
        <v>50590584.400000006</v>
      </c>
      <c r="IM11" s="40">
        <f t="shared" ca="1" si="89"/>
        <v>50590584.400000006</v>
      </c>
      <c r="IN11" s="40">
        <f t="shared" ca="1" si="89"/>
        <v>50590584.400000006</v>
      </c>
    </row>
    <row r="12" spans="2:248" x14ac:dyDescent="0.3">
      <c r="B12" s="19" t="s">
        <v>527</v>
      </c>
      <c r="C12" s="74">
        <f>VLOOKUP(B2,Days_Since_100!C:G,5,FALSE)-1</f>
        <v>7.0841408045857257E-2</v>
      </c>
      <c r="E12" s="19">
        <v>0.4</v>
      </c>
      <c r="F12" s="19" t="s">
        <v>452</v>
      </c>
      <c r="G12" s="40">
        <f t="shared" ref="G12" si="90">IF(IF(AND(ISNA(G$8),ISNA(F$8)),F12*(1+$E$12),IF(AND(F$8&gt;0,ISNA(G$8)),F12*(1+$E$12),G$8))&gt;$C$21,$C$21,IF(AND(ISNA(G$8),ISNA(F$8)),F12*(1+$E$12),IF(AND(F$8&gt;0,ISNA(G$8)),F12*(1+$E$12),G$8)))</f>
        <v>105</v>
      </c>
      <c r="H12" s="40">
        <f t="shared" ref="H12" ca="1" si="91">IF(IF(AND(ISNA(H$8),ISNA(G$8)),G12*(1+$E$12),IF(AND(G$8&gt;0,ISNA(H$8)),G12*(1+$E$12),H$8))&gt;$C$21,$C$21,IF(AND(ISNA(H$8),ISNA(G$8)),G12*(1+$E$12),IF(AND(G$8&gt;0,ISNA(H$8)),G12*(1+$E$12),H$8)))</f>
        <v>115</v>
      </c>
      <c r="I12" s="40">
        <f t="shared" ref="I12:BT12" ca="1" si="92">IF(IF(AND(ISNA(I$8),ISNA(H$8)),H12*(1+$E$12),IF(AND(H$8&gt;0,ISNA(I$8)),H12*(1+$E$12),I$8))&gt;$C$21,$C$21,IF(AND(ISNA(I$8),ISNA(H$8)),H12*(1+$E$12),IF(AND(H$8&gt;0,ISNA(I$8)),H12*(1+$E$12),I$8)))</f>
        <v>125</v>
      </c>
      <c r="J12" s="40">
        <f t="shared" ca="1" si="92"/>
        <v>135</v>
      </c>
      <c r="K12" s="40">
        <f t="shared" ca="1" si="92"/>
        <v>145</v>
      </c>
      <c r="L12" s="40">
        <f t="shared" ca="1" si="92"/>
        <v>168</v>
      </c>
      <c r="M12" s="40">
        <f t="shared" ca="1" si="92"/>
        <v>196.5</v>
      </c>
      <c r="N12" s="40">
        <f t="shared" ca="1" si="92"/>
        <v>213</v>
      </c>
      <c r="O12" s="40">
        <f t="shared" ca="1" si="92"/>
        <v>227.875</v>
      </c>
      <c r="P12" s="40">
        <f t="shared" ca="1" si="92"/>
        <v>244.33333333333334</v>
      </c>
      <c r="Q12" s="40">
        <f t="shared" ca="1" si="92"/>
        <v>263.5</v>
      </c>
      <c r="R12" s="40">
        <f t="shared" ca="1" si="92"/>
        <v>283.45454545454544</v>
      </c>
      <c r="S12" s="40">
        <f t="shared" ca="1" si="92"/>
        <v>192</v>
      </c>
      <c r="T12" s="40">
        <f t="shared" ca="1" si="92"/>
        <v>188</v>
      </c>
      <c r="U12" s="40">
        <f t="shared" ca="1" si="92"/>
        <v>249</v>
      </c>
      <c r="V12" s="40">
        <f t="shared" ca="1" si="92"/>
        <v>280</v>
      </c>
      <c r="W12" s="40">
        <f t="shared" ca="1" si="92"/>
        <v>294</v>
      </c>
      <c r="X12" s="40">
        <f t="shared" ca="1" si="92"/>
        <v>272</v>
      </c>
      <c r="Y12" s="40">
        <f t="shared" ca="1" si="92"/>
        <v>339</v>
      </c>
      <c r="Z12" s="40">
        <f t="shared" ca="1" si="92"/>
        <v>380</v>
      </c>
      <c r="AA12" s="40">
        <f t="shared" ca="1" si="92"/>
        <v>362</v>
      </c>
      <c r="AB12" s="40">
        <f t="shared" ca="1" si="92"/>
        <v>400</v>
      </c>
      <c r="AC12" s="40">
        <f t="shared" ca="1" si="92"/>
        <v>449</v>
      </c>
      <c r="AD12" s="40">
        <f t="shared" ca="1" si="92"/>
        <v>458</v>
      </c>
      <c r="AE12" s="40">
        <f t="shared" ca="1" si="92"/>
        <v>433</v>
      </c>
      <c r="AF12" s="40">
        <f t="shared" ca="1" si="92"/>
        <v>379</v>
      </c>
      <c r="AG12" s="40">
        <f t="shared" ca="1" si="92"/>
        <v>368</v>
      </c>
      <c r="AH12" s="40">
        <f t="shared" ca="1" si="92"/>
        <v>362</v>
      </c>
      <c r="AI12" s="40">
        <f t="shared" ca="1" si="92"/>
        <v>420</v>
      </c>
      <c r="AJ12" s="40">
        <f t="shared" ca="1" si="92"/>
        <v>331</v>
      </c>
      <c r="AK12" s="40">
        <f t="shared" ca="1" si="92"/>
        <v>383</v>
      </c>
      <c r="AL12" s="40">
        <f t="shared" ca="1" si="92"/>
        <v>464</v>
      </c>
      <c r="AM12" s="40">
        <f t="shared" ca="1" si="92"/>
        <v>409</v>
      </c>
      <c r="AN12" s="40">
        <f t="shared" ca="1" si="92"/>
        <v>442</v>
      </c>
      <c r="AO12" s="40">
        <f t="shared" ca="1" si="92"/>
        <v>457</v>
      </c>
      <c r="AP12" s="40">
        <f t="shared" ca="1" si="92"/>
        <v>612</v>
      </c>
      <c r="AQ12" s="40">
        <f t="shared" ca="1" si="92"/>
        <v>755</v>
      </c>
      <c r="AR12" s="40">
        <f t="shared" ca="1" si="92"/>
        <v>941</v>
      </c>
      <c r="AS12" s="40">
        <f t="shared" ca="1" si="92"/>
        <v>882</v>
      </c>
      <c r="AT12" s="40">
        <f t="shared" ca="1" si="92"/>
        <v>932</v>
      </c>
      <c r="AU12" s="40">
        <f t="shared" ca="1" si="92"/>
        <v>1304.8</v>
      </c>
      <c r="AV12" s="40">
        <f t="shared" ca="1" si="92"/>
        <v>1826.7199999999998</v>
      </c>
      <c r="AW12" s="40">
        <f t="shared" ca="1" si="92"/>
        <v>2557.4079999999994</v>
      </c>
      <c r="AX12" s="40">
        <f t="shared" ca="1" si="92"/>
        <v>3580.3711999999991</v>
      </c>
      <c r="AY12" s="40">
        <f t="shared" ca="1" si="92"/>
        <v>5012.5196799999985</v>
      </c>
      <c r="AZ12" s="40">
        <f t="shared" ca="1" si="92"/>
        <v>7017.5275519999977</v>
      </c>
      <c r="BA12" s="40">
        <f t="shared" ca="1" si="92"/>
        <v>9824.5385727999965</v>
      </c>
      <c r="BB12" s="40">
        <f t="shared" ca="1" si="92"/>
        <v>13754.354001919994</v>
      </c>
      <c r="BC12" s="40">
        <f t="shared" ca="1" si="92"/>
        <v>19256.09560268799</v>
      </c>
      <c r="BD12" s="40">
        <f t="shared" ca="1" si="92"/>
        <v>26958.533843763184</v>
      </c>
      <c r="BE12" s="40">
        <f t="shared" ca="1" si="92"/>
        <v>37741.947381268452</v>
      </c>
      <c r="BF12" s="40">
        <f t="shared" ca="1" si="92"/>
        <v>52838.726333775827</v>
      </c>
      <c r="BG12" s="40">
        <f t="shared" ca="1" si="92"/>
        <v>73974.216867286159</v>
      </c>
      <c r="BH12" s="40">
        <f t="shared" ca="1" si="92"/>
        <v>103563.90361420062</v>
      </c>
      <c r="BI12" s="40">
        <f t="shared" ca="1" si="92"/>
        <v>144989.46505988087</v>
      </c>
      <c r="BJ12" s="40">
        <f t="shared" ca="1" si="92"/>
        <v>202985.25108383319</v>
      </c>
      <c r="BK12" s="40">
        <f t="shared" ca="1" si="92"/>
        <v>284179.35151736648</v>
      </c>
      <c r="BL12" s="40">
        <f t="shared" ca="1" si="92"/>
        <v>397851.09212431306</v>
      </c>
      <c r="BM12" s="40">
        <f t="shared" ca="1" si="92"/>
        <v>556991.5289740382</v>
      </c>
      <c r="BN12" s="40">
        <f t="shared" ca="1" si="92"/>
        <v>779788.14056365343</v>
      </c>
      <c r="BO12" s="40">
        <f t="shared" ca="1" si="92"/>
        <v>1091703.3967891147</v>
      </c>
      <c r="BP12" s="40">
        <f t="shared" ca="1" si="92"/>
        <v>1528384.7555047604</v>
      </c>
      <c r="BQ12" s="40">
        <f t="shared" ca="1" si="92"/>
        <v>2139738.6577066644</v>
      </c>
      <c r="BR12" s="40">
        <f t="shared" ca="1" si="92"/>
        <v>2995634.12078933</v>
      </c>
      <c r="BS12" s="40">
        <f t="shared" ca="1" si="92"/>
        <v>4193887.7691050619</v>
      </c>
      <c r="BT12" s="40">
        <f t="shared" ca="1" si="92"/>
        <v>5871442.8767470866</v>
      </c>
      <c r="BU12" s="40">
        <f t="shared" ref="BU12:EF12" ca="1" si="93">IF(IF(AND(ISNA(BU$8),ISNA(BT$8)),BT12*(1+$E$12),IF(AND(BT$8&gt;0,ISNA(BU$8)),BT12*(1+$E$12),BU$8))&gt;$C$21,$C$21,IF(AND(ISNA(BU$8),ISNA(BT$8)),BT12*(1+$E$12),IF(AND(BT$8&gt;0,ISNA(BU$8)),BT12*(1+$E$12),BU$8)))</f>
        <v>8220020.0274459207</v>
      </c>
      <c r="BV12" s="40">
        <f t="shared" ca="1" si="93"/>
        <v>11508028.038424289</v>
      </c>
      <c r="BW12" s="40">
        <f t="shared" ca="1" si="93"/>
        <v>16111239.253794003</v>
      </c>
      <c r="BX12" s="40">
        <f t="shared" ca="1" si="93"/>
        <v>22555734.955311604</v>
      </c>
      <c r="BY12" s="40">
        <f t="shared" ca="1" si="93"/>
        <v>31578028.937436242</v>
      </c>
      <c r="BZ12" s="40">
        <f t="shared" ca="1" si="93"/>
        <v>44209240.512410738</v>
      </c>
      <c r="CA12" s="40">
        <f t="shared" ca="1" si="93"/>
        <v>50590584.400000006</v>
      </c>
      <c r="CB12" s="40">
        <f t="shared" ca="1" si="93"/>
        <v>50590584.400000006</v>
      </c>
      <c r="CC12" s="40">
        <f t="shared" ca="1" si="93"/>
        <v>50590584.400000006</v>
      </c>
      <c r="CD12" s="40">
        <f t="shared" ca="1" si="93"/>
        <v>50590584.400000006</v>
      </c>
      <c r="CE12" s="40">
        <f t="shared" ca="1" si="93"/>
        <v>50590584.400000006</v>
      </c>
      <c r="CF12" s="40">
        <f t="shared" ca="1" si="93"/>
        <v>50590584.400000006</v>
      </c>
      <c r="CG12" s="40">
        <f t="shared" ca="1" si="93"/>
        <v>50590584.400000006</v>
      </c>
      <c r="CH12" s="40">
        <f t="shared" ca="1" si="93"/>
        <v>50590584.400000006</v>
      </c>
      <c r="CI12" s="40">
        <f t="shared" ca="1" si="93"/>
        <v>50590584.400000006</v>
      </c>
      <c r="CJ12" s="40">
        <f t="shared" ca="1" si="93"/>
        <v>50590584.400000006</v>
      </c>
      <c r="CK12" s="40">
        <f t="shared" ca="1" si="93"/>
        <v>50590584.400000006</v>
      </c>
      <c r="CL12" s="40">
        <f t="shared" ca="1" si="93"/>
        <v>50590584.400000006</v>
      </c>
      <c r="CM12" s="40">
        <f t="shared" ca="1" si="93"/>
        <v>50590584.400000006</v>
      </c>
      <c r="CN12" s="40">
        <f t="shared" ca="1" si="93"/>
        <v>50590584.400000006</v>
      </c>
      <c r="CO12" s="40">
        <f t="shared" ca="1" si="93"/>
        <v>50590584.400000006</v>
      </c>
      <c r="CP12" s="40">
        <f t="shared" ca="1" si="93"/>
        <v>50590584.400000006</v>
      </c>
      <c r="CQ12" s="40">
        <f t="shared" ca="1" si="93"/>
        <v>50590584.400000006</v>
      </c>
      <c r="CR12" s="40">
        <f t="shared" ca="1" si="93"/>
        <v>50590584.400000006</v>
      </c>
      <c r="CS12" s="40">
        <f t="shared" ca="1" si="93"/>
        <v>50590584.400000006</v>
      </c>
      <c r="CT12" s="40">
        <f t="shared" ca="1" si="93"/>
        <v>50590584.400000006</v>
      </c>
      <c r="CU12" s="40">
        <f t="shared" ca="1" si="93"/>
        <v>50590584.400000006</v>
      </c>
      <c r="CV12" s="40">
        <f t="shared" ca="1" si="93"/>
        <v>50590584.400000006</v>
      </c>
      <c r="CW12" s="40">
        <f t="shared" ca="1" si="93"/>
        <v>50590584.400000006</v>
      </c>
      <c r="CX12" s="40">
        <f t="shared" ca="1" si="93"/>
        <v>50590584.400000006</v>
      </c>
      <c r="CY12" s="40">
        <f t="shared" ca="1" si="93"/>
        <v>50590584.400000006</v>
      </c>
      <c r="CZ12" s="40">
        <f t="shared" ca="1" si="93"/>
        <v>50590584.400000006</v>
      </c>
      <c r="DA12" s="40">
        <f t="shared" ca="1" si="93"/>
        <v>50590584.400000006</v>
      </c>
      <c r="DB12" s="40">
        <f t="shared" ca="1" si="93"/>
        <v>50590584.400000006</v>
      </c>
      <c r="DC12" s="40">
        <f t="shared" ca="1" si="93"/>
        <v>50590584.400000006</v>
      </c>
      <c r="DD12" s="40">
        <f t="shared" ca="1" si="93"/>
        <v>50590584.400000006</v>
      </c>
      <c r="DE12" s="40">
        <f t="shared" ca="1" si="93"/>
        <v>50590584.400000006</v>
      </c>
      <c r="DF12" s="40">
        <f t="shared" ca="1" si="93"/>
        <v>50590584.400000006</v>
      </c>
      <c r="DG12" s="40">
        <f t="shared" ca="1" si="93"/>
        <v>50590584.400000006</v>
      </c>
      <c r="DH12" s="40">
        <f t="shared" ca="1" si="93"/>
        <v>50590584.400000006</v>
      </c>
      <c r="DI12" s="40">
        <f t="shared" ca="1" si="93"/>
        <v>50590584.400000006</v>
      </c>
      <c r="DJ12" s="40">
        <f t="shared" ca="1" si="93"/>
        <v>50590584.400000006</v>
      </c>
      <c r="DK12" s="40">
        <f t="shared" ca="1" si="93"/>
        <v>50590584.400000006</v>
      </c>
      <c r="DL12" s="40">
        <f t="shared" ca="1" si="93"/>
        <v>50590584.400000006</v>
      </c>
      <c r="DM12" s="40">
        <f t="shared" ca="1" si="93"/>
        <v>50590584.400000006</v>
      </c>
      <c r="DN12" s="40">
        <f t="shared" ca="1" si="93"/>
        <v>50590584.400000006</v>
      </c>
      <c r="DO12" s="40">
        <f t="shared" ca="1" si="93"/>
        <v>50590584.400000006</v>
      </c>
      <c r="DP12" s="40">
        <f t="shared" ca="1" si="93"/>
        <v>50590584.400000006</v>
      </c>
      <c r="DQ12" s="40">
        <f t="shared" ca="1" si="93"/>
        <v>50590584.400000006</v>
      </c>
      <c r="DR12" s="40">
        <f t="shared" ca="1" si="93"/>
        <v>50590584.400000006</v>
      </c>
      <c r="DS12" s="40">
        <f t="shared" ca="1" si="93"/>
        <v>50590584.400000006</v>
      </c>
      <c r="DT12" s="40">
        <f t="shared" ca="1" si="93"/>
        <v>50590584.400000006</v>
      </c>
      <c r="DU12" s="40">
        <f t="shared" ca="1" si="93"/>
        <v>50590584.400000006</v>
      </c>
      <c r="DV12" s="40">
        <f t="shared" ca="1" si="93"/>
        <v>50590584.400000006</v>
      </c>
      <c r="DW12" s="40">
        <f t="shared" ca="1" si="93"/>
        <v>50590584.400000006</v>
      </c>
      <c r="DX12" s="40">
        <f t="shared" ca="1" si="93"/>
        <v>50590584.400000006</v>
      </c>
      <c r="DY12" s="40">
        <f t="shared" ca="1" si="93"/>
        <v>50590584.400000006</v>
      </c>
      <c r="DZ12" s="40">
        <f t="shared" ca="1" si="93"/>
        <v>50590584.400000006</v>
      </c>
      <c r="EA12" s="40">
        <f t="shared" ca="1" si="93"/>
        <v>50590584.400000006</v>
      </c>
      <c r="EB12" s="40">
        <f t="shared" ca="1" si="93"/>
        <v>50590584.400000006</v>
      </c>
      <c r="EC12" s="40">
        <f t="shared" ca="1" si="93"/>
        <v>50590584.400000006</v>
      </c>
      <c r="ED12" s="40">
        <f t="shared" ca="1" si="93"/>
        <v>50590584.400000006</v>
      </c>
      <c r="EE12" s="40">
        <f t="shared" ca="1" si="93"/>
        <v>50590584.400000006</v>
      </c>
      <c r="EF12" s="40">
        <f t="shared" ca="1" si="93"/>
        <v>50590584.400000006</v>
      </c>
      <c r="EG12" s="40">
        <f t="shared" ref="EG12:GR12" ca="1" si="94">IF(IF(AND(ISNA(EG$8),ISNA(EF$8)),EF12*(1+$E$12),IF(AND(EF$8&gt;0,ISNA(EG$8)),EF12*(1+$E$12),EG$8))&gt;$C$21,$C$21,IF(AND(ISNA(EG$8),ISNA(EF$8)),EF12*(1+$E$12),IF(AND(EF$8&gt;0,ISNA(EG$8)),EF12*(1+$E$12),EG$8)))</f>
        <v>50590584.400000006</v>
      </c>
      <c r="EH12" s="40">
        <f t="shared" ca="1" si="94"/>
        <v>50590584.400000006</v>
      </c>
      <c r="EI12" s="40">
        <f t="shared" ca="1" si="94"/>
        <v>50590584.400000006</v>
      </c>
      <c r="EJ12" s="40">
        <f t="shared" ca="1" si="94"/>
        <v>50590584.400000006</v>
      </c>
      <c r="EK12" s="40">
        <f t="shared" ca="1" si="94"/>
        <v>50590584.400000006</v>
      </c>
      <c r="EL12" s="40">
        <f t="shared" ca="1" si="94"/>
        <v>50590584.400000006</v>
      </c>
      <c r="EM12" s="40">
        <f t="shared" ca="1" si="94"/>
        <v>50590584.400000006</v>
      </c>
      <c r="EN12" s="40">
        <f t="shared" ca="1" si="94"/>
        <v>50590584.400000006</v>
      </c>
      <c r="EO12" s="40">
        <f t="shared" ca="1" si="94"/>
        <v>50590584.400000006</v>
      </c>
      <c r="EP12" s="40">
        <f t="shared" ca="1" si="94"/>
        <v>50590584.400000006</v>
      </c>
      <c r="EQ12" s="40">
        <f t="shared" ca="1" si="94"/>
        <v>50590584.400000006</v>
      </c>
      <c r="ER12" s="40">
        <f t="shared" ca="1" si="94"/>
        <v>50590584.400000006</v>
      </c>
      <c r="ES12" s="40">
        <f t="shared" ca="1" si="94"/>
        <v>50590584.400000006</v>
      </c>
      <c r="ET12" s="40">
        <f t="shared" ca="1" si="94"/>
        <v>50590584.400000006</v>
      </c>
      <c r="EU12" s="40">
        <f t="shared" ca="1" si="94"/>
        <v>50590584.400000006</v>
      </c>
      <c r="EV12" s="40">
        <f t="shared" ca="1" si="94"/>
        <v>50590584.400000006</v>
      </c>
      <c r="EW12" s="40">
        <f t="shared" ca="1" si="94"/>
        <v>50590584.400000006</v>
      </c>
      <c r="EX12" s="40">
        <f t="shared" ca="1" si="94"/>
        <v>50590584.400000006</v>
      </c>
      <c r="EY12" s="40">
        <f t="shared" ca="1" si="94"/>
        <v>50590584.400000006</v>
      </c>
      <c r="EZ12" s="40">
        <f t="shared" ca="1" si="94"/>
        <v>50590584.400000006</v>
      </c>
      <c r="FA12" s="40">
        <f t="shared" ca="1" si="94"/>
        <v>50590584.400000006</v>
      </c>
      <c r="FB12" s="40">
        <f t="shared" ca="1" si="94"/>
        <v>50590584.400000006</v>
      </c>
      <c r="FC12" s="40">
        <f t="shared" ca="1" si="94"/>
        <v>50590584.400000006</v>
      </c>
      <c r="FD12" s="40">
        <f t="shared" ca="1" si="94"/>
        <v>50590584.400000006</v>
      </c>
      <c r="FE12" s="40">
        <f t="shared" ca="1" si="94"/>
        <v>50590584.400000006</v>
      </c>
      <c r="FF12" s="40">
        <f t="shared" ca="1" si="94"/>
        <v>50590584.400000006</v>
      </c>
      <c r="FG12" s="40">
        <f t="shared" ca="1" si="94"/>
        <v>50590584.400000006</v>
      </c>
      <c r="FH12" s="40">
        <f t="shared" ca="1" si="94"/>
        <v>50590584.400000006</v>
      </c>
      <c r="FI12" s="40">
        <f t="shared" ca="1" si="94"/>
        <v>50590584.400000006</v>
      </c>
      <c r="FJ12" s="40">
        <f t="shared" ca="1" si="94"/>
        <v>50590584.400000006</v>
      </c>
      <c r="FK12" s="40">
        <f t="shared" ca="1" si="94"/>
        <v>50590584.400000006</v>
      </c>
      <c r="FL12" s="40">
        <f t="shared" ca="1" si="94"/>
        <v>50590584.400000006</v>
      </c>
      <c r="FM12" s="40">
        <f t="shared" ca="1" si="94"/>
        <v>50590584.400000006</v>
      </c>
      <c r="FN12" s="40">
        <f t="shared" ca="1" si="94"/>
        <v>50590584.400000006</v>
      </c>
      <c r="FO12" s="40">
        <f t="shared" ca="1" si="94"/>
        <v>50590584.400000006</v>
      </c>
      <c r="FP12" s="40">
        <f t="shared" ca="1" si="94"/>
        <v>50590584.400000006</v>
      </c>
      <c r="FQ12" s="40">
        <f t="shared" ca="1" si="94"/>
        <v>50590584.400000006</v>
      </c>
      <c r="FR12" s="40">
        <f t="shared" ca="1" si="94"/>
        <v>50590584.400000006</v>
      </c>
      <c r="FS12" s="40">
        <f t="shared" ca="1" si="94"/>
        <v>50590584.400000006</v>
      </c>
      <c r="FT12" s="40">
        <f t="shared" ca="1" si="94"/>
        <v>50590584.400000006</v>
      </c>
      <c r="FU12" s="40">
        <f t="shared" ca="1" si="94"/>
        <v>50590584.400000006</v>
      </c>
      <c r="FV12" s="40">
        <f t="shared" ca="1" si="94"/>
        <v>50590584.400000006</v>
      </c>
      <c r="FW12" s="40">
        <f t="shared" ca="1" si="94"/>
        <v>50590584.400000006</v>
      </c>
      <c r="FX12" s="40">
        <f t="shared" ca="1" si="94"/>
        <v>50590584.400000006</v>
      </c>
      <c r="FY12" s="40">
        <f t="shared" ca="1" si="94"/>
        <v>50590584.400000006</v>
      </c>
      <c r="FZ12" s="40">
        <f t="shared" ca="1" si="94"/>
        <v>50590584.400000006</v>
      </c>
      <c r="GA12" s="40">
        <f t="shared" ca="1" si="94"/>
        <v>50590584.400000006</v>
      </c>
      <c r="GB12" s="40">
        <f t="shared" ca="1" si="94"/>
        <v>50590584.400000006</v>
      </c>
      <c r="GC12" s="40">
        <f t="shared" ca="1" si="94"/>
        <v>50590584.400000006</v>
      </c>
      <c r="GD12" s="40">
        <f t="shared" ca="1" si="94"/>
        <v>50590584.400000006</v>
      </c>
      <c r="GE12" s="40">
        <f t="shared" ca="1" si="94"/>
        <v>50590584.400000006</v>
      </c>
      <c r="GF12" s="40">
        <f t="shared" ca="1" si="94"/>
        <v>50590584.400000006</v>
      </c>
      <c r="GG12" s="40">
        <f t="shared" ca="1" si="94"/>
        <v>50590584.400000006</v>
      </c>
      <c r="GH12" s="40">
        <f t="shared" ca="1" si="94"/>
        <v>50590584.400000006</v>
      </c>
      <c r="GI12" s="40">
        <f t="shared" ca="1" si="94"/>
        <v>50590584.400000006</v>
      </c>
      <c r="GJ12" s="40">
        <f t="shared" ca="1" si="94"/>
        <v>50590584.400000006</v>
      </c>
      <c r="GK12" s="40">
        <f t="shared" ca="1" si="94"/>
        <v>50590584.400000006</v>
      </c>
      <c r="GL12" s="40">
        <f t="shared" ca="1" si="94"/>
        <v>50590584.400000006</v>
      </c>
      <c r="GM12" s="40">
        <f t="shared" ca="1" si="94"/>
        <v>50590584.400000006</v>
      </c>
      <c r="GN12" s="40">
        <f t="shared" ca="1" si="94"/>
        <v>50590584.400000006</v>
      </c>
      <c r="GO12" s="40">
        <f t="shared" ca="1" si="94"/>
        <v>50590584.400000006</v>
      </c>
      <c r="GP12" s="40">
        <f t="shared" ca="1" si="94"/>
        <v>50590584.400000006</v>
      </c>
      <c r="GQ12" s="40">
        <f t="shared" ca="1" si="94"/>
        <v>50590584.400000006</v>
      </c>
      <c r="GR12" s="40">
        <f t="shared" ca="1" si="94"/>
        <v>50590584.400000006</v>
      </c>
      <c r="GS12" s="40">
        <f t="shared" ref="GS12:IN12" ca="1" si="95">IF(IF(AND(ISNA(GS$8),ISNA(GR$8)),GR12*(1+$E$12),IF(AND(GR$8&gt;0,ISNA(GS$8)),GR12*(1+$E$12),GS$8))&gt;$C$21,$C$21,IF(AND(ISNA(GS$8),ISNA(GR$8)),GR12*(1+$E$12),IF(AND(GR$8&gt;0,ISNA(GS$8)),GR12*(1+$E$12),GS$8)))</f>
        <v>50590584.400000006</v>
      </c>
      <c r="GT12" s="40">
        <f t="shared" ca="1" si="95"/>
        <v>50590584.400000006</v>
      </c>
      <c r="GU12" s="40">
        <f t="shared" ca="1" si="95"/>
        <v>50590584.400000006</v>
      </c>
      <c r="GV12" s="40">
        <f t="shared" ca="1" si="95"/>
        <v>50590584.400000006</v>
      </c>
      <c r="GW12" s="40">
        <f t="shared" ca="1" si="95"/>
        <v>50590584.400000006</v>
      </c>
      <c r="GX12" s="40">
        <f t="shared" ca="1" si="95"/>
        <v>50590584.400000006</v>
      </c>
      <c r="GY12" s="40">
        <f t="shared" ca="1" si="95"/>
        <v>50590584.400000006</v>
      </c>
      <c r="GZ12" s="40">
        <f t="shared" ca="1" si="95"/>
        <v>50590584.400000006</v>
      </c>
      <c r="HA12" s="40">
        <f t="shared" ca="1" si="95"/>
        <v>50590584.400000006</v>
      </c>
      <c r="HB12" s="40">
        <f t="shared" ca="1" si="95"/>
        <v>50590584.400000006</v>
      </c>
      <c r="HC12" s="40">
        <f t="shared" ca="1" si="95"/>
        <v>50590584.400000006</v>
      </c>
      <c r="HD12" s="40">
        <f t="shared" ca="1" si="95"/>
        <v>50590584.400000006</v>
      </c>
      <c r="HE12" s="40">
        <f t="shared" ca="1" si="95"/>
        <v>50590584.400000006</v>
      </c>
      <c r="HF12" s="40">
        <f t="shared" ca="1" si="95"/>
        <v>50590584.400000006</v>
      </c>
      <c r="HG12" s="40">
        <f t="shared" ca="1" si="95"/>
        <v>50590584.400000006</v>
      </c>
      <c r="HH12" s="40">
        <f t="shared" ca="1" si="95"/>
        <v>50590584.400000006</v>
      </c>
      <c r="HI12" s="40">
        <f t="shared" ca="1" si="95"/>
        <v>50590584.400000006</v>
      </c>
      <c r="HJ12" s="40">
        <f t="shared" ca="1" si="95"/>
        <v>50590584.400000006</v>
      </c>
      <c r="HK12" s="40">
        <f t="shared" ca="1" si="95"/>
        <v>50590584.400000006</v>
      </c>
      <c r="HL12" s="40">
        <f t="shared" ca="1" si="95"/>
        <v>50590584.400000006</v>
      </c>
      <c r="HM12" s="40">
        <f t="shared" ca="1" si="95"/>
        <v>50590584.400000006</v>
      </c>
      <c r="HN12" s="40">
        <f t="shared" ca="1" si="95"/>
        <v>50590584.400000006</v>
      </c>
      <c r="HO12" s="40">
        <f t="shared" ca="1" si="95"/>
        <v>50590584.400000006</v>
      </c>
      <c r="HP12" s="40">
        <f t="shared" ca="1" si="95"/>
        <v>50590584.400000006</v>
      </c>
      <c r="HQ12" s="40">
        <f t="shared" ca="1" si="95"/>
        <v>50590584.400000006</v>
      </c>
      <c r="HR12" s="40">
        <f t="shared" ca="1" si="95"/>
        <v>50590584.400000006</v>
      </c>
      <c r="HS12" s="40">
        <f t="shared" ca="1" si="95"/>
        <v>50590584.400000006</v>
      </c>
      <c r="HT12" s="40">
        <f t="shared" ca="1" si="95"/>
        <v>50590584.400000006</v>
      </c>
      <c r="HU12" s="40">
        <f t="shared" ca="1" si="95"/>
        <v>50590584.400000006</v>
      </c>
      <c r="HV12" s="40">
        <f t="shared" ca="1" si="95"/>
        <v>50590584.400000006</v>
      </c>
      <c r="HW12" s="40">
        <f t="shared" ca="1" si="95"/>
        <v>50590584.400000006</v>
      </c>
      <c r="HX12" s="40">
        <f t="shared" ca="1" si="95"/>
        <v>50590584.400000006</v>
      </c>
      <c r="HY12" s="40">
        <f t="shared" ca="1" si="95"/>
        <v>50590584.400000006</v>
      </c>
      <c r="HZ12" s="40">
        <f t="shared" ca="1" si="95"/>
        <v>50590584.400000006</v>
      </c>
      <c r="IA12" s="40">
        <f t="shared" ca="1" si="95"/>
        <v>50590584.400000006</v>
      </c>
      <c r="IB12" s="40">
        <f t="shared" ca="1" si="95"/>
        <v>50590584.400000006</v>
      </c>
      <c r="IC12" s="40">
        <f t="shared" ca="1" si="95"/>
        <v>50590584.400000006</v>
      </c>
      <c r="ID12" s="40">
        <f t="shared" ca="1" si="95"/>
        <v>50590584.400000006</v>
      </c>
      <c r="IE12" s="40">
        <f t="shared" ca="1" si="95"/>
        <v>50590584.400000006</v>
      </c>
      <c r="IF12" s="40">
        <f t="shared" ca="1" si="95"/>
        <v>50590584.400000006</v>
      </c>
      <c r="IG12" s="40">
        <f t="shared" ca="1" si="95"/>
        <v>50590584.400000006</v>
      </c>
      <c r="IH12" s="40">
        <f t="shared" ca="1" si="95"/>
        <v>50590584.400000006</v>
      </c>
      <c r="II12" s="40">
        <f t="shared" ca="1" si="95"/>
        <v>50590584.400000006</v>
      </c>
      <c r="IJ12" s="40">
        <f t="shared" ca="1" si="95"/>
        <v>50590584.400000006</v>
      </c>
      <c r="IK12" s="40">
        <f t="shared" ca="1" si="95"/>
        <v>50590584.400000006</v>
      </c>
      <c r="IL12" s="40">
        <f t="shared" ca="1" si="95"/>
        <v>50590584.400000006</v>
      </c>
      <c r="IM12" s="40">
        <f t="shared" ca="1" si="95"/>
        <v>50590584.400000006</v>
      </c>
      <c r="IN12" s="40">
        <f t="shared" ca="1" si="95"/>
        <v>50590584.400000006</v>
      </c>
    </row>
    <row r="13" spans="2:248" x14ac:dyDescent="0.3">
      <c r="B13" s="19" t="s">
        <v>586</v>
      </c>
      <c r="C13" s="74">
        <f ca="1">HLOOKUP($C$5-1,G4:IN17,14,FALSE)</f>
        <v>3.9803235550439187E-2</v>
      </c>
      <c r="F13" s="19" t="s">
        <v>587</v>
      </c>
      <c r="G13" s="74"/>
      <c r="H13" s="53">
        <f ca="1">IF(ISNA(G5),NA(),IF(H4&lt;$C$10,(H5/OFFSET(H5,0,-H4))^(1/(H4)),(H5/OFFSET(H5,0,-$C$10))^(1/$C$10))-1)</f>
        <v>0.161904761904762</v>
      </c>
      <c r="I13" s="53">
        <f ca="1">IF(ISNA(H5),NA(),IF(I4&lt;$C$10,(I5/OFFSET(I5,0,-I4))^(1/(I4)),(I5/OFFSET(I5,0,-$C$10))^(1/$C$10))-1)</f>
        <v>0.18321595661992318</v>
      </c>
      <c r="J13" s="53">
        <f t="shared" ref="J13:BT13" ca="1" si="96">IF(ISNA(I5),NA(),IF(J4&lt;$C$10,(J5/OFFSET(J5,0,-J4))^(1/(J4)),(J5/OFFSET(J5,0,-$C$10))^(1/$C$10))-1)</f>
        <v>0.14833678012614415</v>
      </c>
      <c r="K13" s="53">
        <f t="shared" ca="1" si="96"/>
        <v>0.12801507993497308</v>
      </c>
      <c r="L13" s="53">
        <f ca="1">IF(ISNA(K5),NA(),IF(L4&lt;$C$10,(L5/OFFSET(L5,0,-L4))^(1/(L4)),(L5/OFFSET(L5,0,-$C$10))^(1/$C$10))-1)</f>
        <v>0.12474611314209483</v>
      </c>
      <c r="M13" s="53">
        <f t="shared" ca="1" si="96"/>
        <v>0.11895027803526736</v>
      </c>
      <c r="N13" s="53">
        <f t="shared" ca="1" si="96"/>
        <v>9.1750758822856326E-2</v>
      </c>
      <c r="O13" s="53">
        <f t="shared" ca="1" si="96"/>
        <v>8.6735823837897019E-2</v>
      </c>
      <c r="P13" s="53">
        <f t="shared" ca="1" si="96"/>
        <v>8.5321006202182081E-2</v>
      </c>
      <c r="Q13" s="53">
        <f t="shared" ca="1" si="96"/>
        <v>7.710428028660643E-2</v>
      </c>
      <c r="R13" s="53">
        <f t="shared" ca="1" si="96"/>
        <v>6.4855723187660308E-2</v>
      </c>
      <c r="S13" s="53">
        <f t="shared" ca="1" si="96"/>
        <v>7.7404113542846487E-2</v>
      </c>
      <c r="T13" s="53">
        <f ca="1">IF(ISNA(S5),NA(),IF(T4&lt;$C$10,(T5/OFFSET(T5,0,-T4))^(1/(T4)),(T5/OFFSET(T5,0,-$C$10))^(1/$C$10))-1)</f>
        <v>8.3570297157355755E-2</v>
      </c>
      <c r="U13" s="53">
        <f t="shared" ca="1" si="96"/>
        <v>0.10408336122422823</v>
      </c>
      <c r="V13" s="53">
        <f t="shared" ca="1" si="96"/>
        <v>0.10966036088938491</v>
      </c>
      <c r="W13" s="53">
        <f t="shared" ca="1" si="96"/>
        <v>0.11369743483780748</v>
      </c>
      <c r="X13" s="53">
        <f t="shared" ca="1" si="96"/>
        <v>9.0733322498641744E-2</v>
      </c>
      <c r="Y13" s="53">
        <f t="shared" ca="1" si="96"/>
        <v>0.10046117845187297</v>
      </c>
      <c r="Z13" s="53">
        <f t="shared" ca="1" si="96"/>
        <v>8.7552706572454841E-2</v>
      </c>
      <c r="AA13" s="53">
        <f t="shared" ca="1" si="96"/>
        <v>6.7480588922517848E-2</v>
      </c>
      <c r="AB13" s="53">
        <f t="shared" ca="1" si="96"/>
        <v>6.9061919797259064E-2</v>
      </c>
      <c r="AC13" s="53">
        <f ca="1">IF(ISNA(AB5),NA(),IF(AC4&lt;$C$10,(AC5/OFFSET(AC5,0,-AC4))^(1/(AC4)),(AC5/OFFSET(AC5,0,-$C$10))^(1/$C$10))-1)</f>
        <v>8.6304850578419634E-2</v>
      </c>
      <c r="AD13" s="53">
        <f t="shared" ca="1" si="96"/>
        <v>7.6259915712631132E-2</v>
      </c>
      <c r="AE13" s="53">
        <f t="shared" ca="1" si="96"/>
        <v>5.5971557164414598E-2</v>
      </c>
      <c r="AF13" s="53">
        <f t="shared" ca="1" si="96"/>
        <v>6.5611089807552592E-2</v>
      </c>
      <c r="AG13" s="53">
        <f ca="1">IF(ISNA(AF5),NA(),IF(AG4&lt;$C$10,(AG5/OFFSET(AG5,0,-AG4))^(1/(AG4)),(AG5/OFFSET(AG5,0,-$C$10))^(1/$C$10))-1)</f>
        <v>4.8664940277397983E-2</v>
      </c>
      <c r="AH13" s="53">
        <f t="shared" ca="1" si="96"/>
        <v>3.6331014231625325E-2</v>
      </c>
      <c r="AI13" s="53">
        <f t="shared" ca="1" si="96"/>
        <v>2.7952069623549125E-2</v>
      </c>
      <c r="AJ13" s="53">
        <f t="shared" ca="1" si="96"/>
        <v>3.7178491358442534E-2</v>
      </c>
      <c r="AK13" s="53">
        <f t="shared" ca="1" si="96"/>
        <v>4.6305626192720384E-2</v>
      </c>
      <c r="AL13" s="53">
        <f t="shared" ca="1" si="96"/>
        <v>4.8772926459972332E-2</v>
      </c>
      <c r="AM13" s="53">
        <f t="shared" ca="1" si="96"/>
        <v>5.2431151403422582E-2</v>
      </c>
      <c r="AN13" s="53">
        <f t="shared" ca="1" si="96"/>
        <v>6.2991667181409694E-2</v>
      </c>
      <c r="AO13" s="53">
        <f t="shared" ca="1" si="96"/>
        <v>6.6128119339313285E-2</v>
      </c>
      <c r="AP13" s="53">
        <f t="shared" ca="1" si="96"/>
        <v>5.9223841048812176E-2</v>
      </c>
      <c r="AQ13" s="53">
        <f t="shared" ca="1" si="96"/>
        <v>8.459992905653646E-2</v>
      </c>
      <c r="AR13" s="53">
        <f t="shared" ca="1" si="96"/>
        <v>9.358926684359048E-2</v>
      </c>
      <c r="AS13" s="53">
        <f t="shared" ca="1" si="96"/>
        <v>7.380942215342956E-2</v>
      </c>
      <c r="AT13" s="53">
        <f t="shared" ca="1" si="96"/>
        <v>7.0841408045857257E-2</v>
      </c>
      <c r="AU13" s="53" t="e">
        <f t="shared" ca="1" si="96"/>
        <v>#N/A</v>
      </c>
      <c r="AV13" s="53" t="e">
        <f t="shared" ca="1" si="96"/>
        <v>#N/A</v>
      </c>
      <c r="AW13" s="53" t="e">
        <f t="shared" ca="1" si="96"/>
        <v>#N/A</v>
      </c>
      <c r="AX13" s="53" t="e">
        <f t="shared" ca="1" si="96"/>
        <v>#N/A</v>
      </c>
      <c r="AY13" s="53" t="e">
        <f t="shared" ca="1" si="96"/>
        <v>#N/A</v>
      </c>
      <c r="AZ13" s="53" t="e">
        <f t="shared" ca="1" si="96"/>
        <v>#N/A</v>
      </c>
      <c r="BA13" s="53" t="e">
        <f t="shared" ca="1" si="96"/>
        <v>#N/A</v>
      </c>
      <c r="BB13" s="53" t="e">
        <f t="shared" ca="1" si="96"/>
        <v>#N/A</v>
      </c>
      <c r="BC13" s="53" t="e">
        <f t="shared" ca="1" si="96"/>
        <v>#N/A</v>
      </c>
      <c r="BD13" s="53" t="e">
        <f t="shared" ca="1" si="96"/>
        <v>#N/A</v>
      </c>
      <c r="BE13" s="53" t="e">
        <f t="shared" ca="1" si="96"/>
        <v>#N/A</v>
      </c>
      <c r="BF13" s="53" t="e">
        <f t="shared" ca="1" si="96"/>
        <v>#N/A</v>
      </c>
      <c r="BG13" s="53" t="e">
        <f t="shared" ca="1" si="96"/>
        <v>#N/A</v>
      </c>
      <c r="BH13" s="53" t="e">
        <f t="shared" ca="1" si="96"/>
        <v>#N/A</v>
      </c>
      <c r="BI13" s="53" t="e">
        <f t="shared" ca="1" si="96"/>
        <v>#N/A</v>
      </c>
      <c r="BJ13" s="53" t="e">
        <f t="shared" ca="1" si="96"/>
        <v>#N/A</v>
      </c>
      <c r="BK13" s="53" t="e">
        <f t="shared" ca="1" si="96"/>
        <v>#N/A</v>
      </c>
      <c r="BL13" s="53" t="e">
        <f t="shared" ca="1" si="96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6"/>
        <v>#N/A</v>
      </c>
      <c r="BO13" s="53" t="e">
        <f t="shared" ca="1" si="96"/>
        <v>#N/A</v>
      </c>
      <c r="BP13" s="53" t="e">
        <f t="shared" ca="1" si="96"/>
        <v>#N/A</v>
      </c>
      <c r="BQ13" s="53" t="e">
        <f t="shared" ca="1" si="96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6"/>
        <v>#N/A</v>
      </c>
      <c r="BT13" s="53" t="e">
        <f t="shared" ca="1" si="96"/>
        <v>#N/A</v>
      </c>
      <c r="BU13" s="53" t="e">
        <f t="shared" ref="BU13:EF13" ca="1" si="97">IF(ISNA(BT5),NA(),IF(BU4&lt;$C$10,(BU5/OFFSET(BU5,0,-BU4))^(1/(BU4)),(BU5/OFFSET(BU5,0,-$C$10))^(1/$C$10))-1)</f>
        <v>#N/A</v>
      </c>
      <c r="BV13" s="53" t="e">
        <f t="shared" ca="1" si="97"/>
        <v>#N/A</v>
      </c>
      <c r="BW13" s="53" t="e">
        <f t="shared" ca="1" si="97"/>
        <v>#N/A</v>
      </c>
      <c r="BX13" s="53" t="e">
        <f t="shared" ca="1" si="97"/>
        <v>#N/A</v>
      </c>
      <c r="BY13" s="53" t="e">
        <f t="shared" ca="1" si="97"/>
        <v>#N/A</v>
      </c>
      <c r="BZ13" s="53" t="e">
        <f t="shared" ca="1" si="97"/>
        <v>#N/A</v>
      </c>
      <c r="CA13" s="53" t="e">
        <f t="shared" ca="1" si="97"/>
        <v>#N/A</v>
      </c>
      <c r="CB13" s="53" t="e">
        <f t="shared" ca="1" si="97"/>
        <v>#N/A</v>
      </c>
      <c r="CC13" s="53" t="e">
        <f t="shared" ca="1" si="97"/>
        <v>#N/A</v>
      </c>
      <c r="CD13" s="53" t="e">
        <f t="shared" ca="1" si="97"/>
        <v>#N/A</v>
      </c>
      <c r="CE13" s="53" t="e">
        <f t="shared" ca="1" si="97"/>
        <v>#N/A</v>
      </c>
      <c r="CF13" s="53" t="e">
        <f t="shared" ca="1" si="97"/>
        <v>#N/A</v>
      </c>
      <c r="CG13" s="53" t="e">
        <f t="shared" ca="1" si="97"/>
        <v>#N/A</v>
      </c>
      <c r="CH13" s="53" t="e">
        <f t="shared" ca="1" si="97"/>
        <v>#N/A</v>
      </c>
      <c r="CI13" s="53" t="e">
        <f t="shared" ca="1" si="97"/>
        <v>#N/A</v>
      </c>
      <c r="CJ13" s="53" t="e">
        <f t="shared" ca="1" si="97"/>
        <v>#N/A</v>
      </c>
      <c r="CK13" s="53" t="e">
        <f t="shared" ca="1" si="97"/>
        <v>#N/A</v>
      </c>
      <c r="CL13" s="53" t="e">
        <f t="shared" ca="1" si="97"/>
        <v>#N/A</v>
      </c>
      <c r="CM13" s="53" t="e">
        <f t="shared" ca="1" si="97"/>
        <v>#N/A</v>
      </c>
      <c r="CN13" s="53" t="e">
        <f t="shared" ca="1" si="97"/>
        <v>#N/A</v>
      </c>
      <c r="CO13" s="53" t="e">
        <f t="shared" ca="1" si="97"/>
        <v>#N/A</v>
      </c>
      <c r="CP13" s="53" t="e">
        <f t="shared" ca="1" si="97"/>
        <v>#N/A</v>
      </c>
      <c r="CQ13" s="53" t="e">
        <f t="shared" ca="1" si="97"/>
        <v>#N/A</v>
      </c>
      <c r="CR13" s="53" t="e">
        <f t="shared" ca="1" si="97"/>
        <v>#N/A</v>
      </c>
      <c r="CS13" s="53" t="e">
        <f t="shared" ca="1" si="97"/>
        <v>#N/A</v>
      </c>
      <c r="CT13" s="53" t="e">
        <f t="shared" ca="1" si="97"/>
        <v>#N/A</v>
      </c>
      <c r="CU13" s="53" t="e">
        <f t="shared" ca="1" si="97"/>
        <v>#N/A</v>
      </c>
      <c r="CV13" s="53" t="e">
        <f t="shared" ca="1" si="97"/>
        <v>#N/A</v>
      </c>
      <c r="CW13" s="53" t="e">
        <f t="shared" ca="1" si="97"/>
        <v>#N/A</v>
      </c>
      <c r="CX13" s="53" t="e">
        <f t="shared" ca="1" si="97"/>
        <v>#N/A</v>
      </c>
      <c r="CY13" s="53" t="e">
        <f t="shared" ca="1" si="97"/>
        <v>#N/A</v>
      </c>
      <c r="CZ13" s="53" t="e">
        <f t="shared" ca="1" si="97"/>
        <v>#N/A</v>
      </c>
      <c r="DA13" s="53" t="e">
        <f t="shared" ca="1" si="97"/>
        <v>#N/A</v>
      </c>
      <c r="DB13" s="53" t="e">
        <f t="shared" ca="1" si="97"/>
        <v>#N/A</v>
      </c>
      <c r="DC13" s="53" t="e">
        <f t="shared" ca="1" si="97"/>
        <v>#N/A</v>
      </c>
      <c r="DD13" s="53" t="e">
        <f t="shared" ca="1" si="97"/>
        <v>#N/A</v>
      </c>
      <c r="DE13" s="53" t="e">
        <f t="shared" ca="1" si="97"/>
        <v>#N/A</v>
      </c>
      <c r="DF13" s="53" t="e">
        <f t="shared" ca="1" si="97"/>
        <v>#N/A</v>
      </c>
      <c r="DG13" s="53" t="e">
        <f t="shared" ca="1" si="97"/>
        <v>#N/A</v>
      </c>
      <c r="DH13" s="53" t="e">
        <f t="shared" ca="1" si="97"/>
        <v>#N/A</v>
      </c>
      <c r="DI13" s="53" t="e">
        <f t="shared" ca="1" si="97"/>
        <v>#N/A</v>
      </c>
      <c r="DJ13" s="53" t="e">
        <f t="shared" ca="1" si="97"/>
        <v>#N/A</v>
      </c>
      <c r="DK13" s="53" t="e">
        <f t="shared" ca="1" si="97"/>
        <v>#N/A</v>
      </c>
      <c r="DL13" s="53" t="e">
        <f t="shared" ca="1" si="97"/>
        <v>#N/A</v>
      </c>
      <c r="DM13" s="53" t="e">
        <f t="shared" ca="1" si="97"/>
        <v>#N/A</v>
      </c>
      <c r="DN13" s="53" t="e">
        <f t="shared" ca="1" si="97"/>
        <v>#N/A</v>
      </c>
      <c r="DO13" s="53" t="e">
        <f t="shared" ca="1" si="97"/>
        <v>#N/A</v>
      </c>
      <c r="DP13" s="53" t="e">
        <f t="shared" ca="1" si="97"/>
        <v>#N/A</v>
      </c>
      <c r="DQ13" s="53" t="e">
        <f t="shared" ca="1" si="97"/>
        <v>#N/A</v>
      </c>
      <c r="DR13" s="53" t="e">
        <f t="shared" ca="1" si="97"/>
        <v>#N/A</v>
      </c>
      <c r="DS13" s="53" t="e">
        <f t="shared" ca="1" si="97"/>
        <v>#N/A</v>
      </c>
      <c r="DT13" s="53" t="e">
        <f t="shared" ca="1" si="97"/>
        <v>#N/A</v>
      </c>
      <c r="DU13" s="53" t="e">
        <f t="shared" ca="1" si="97"/>
        <v>#N/A</v>
      </c>
      <c r="DV13" s="53" t="e">
        <f t="shared" ca="1" si="97"/>
        <v>#N/A</v>
      </c>
      <c r="DW13" s="53" t="e">
        <f t="shared" ca="1" si="97"/>
        <v>#N/A</v>
      </c>
      <c r="DX13" s="53" t="e">
        <f t="shared" ca="1" si="97"/>
        <v>#N/A</v>
      </c>
      <c r="DY13" s="53" t="e">
        <f t="shared" ca="1" si="97"/>
        <v>#N/A</v>
      </c>
      <c r="DZ13" s="53" t="e">
        <f t="shared" ca="1" si="97"/>
        <v>#N/A</v>
      </c>
      <c r="EA13" s="53" t="e">
        <f t="shared" ca="1" si="97"/>
        <v>#N/A</v>
      </c>
      <c r="EB13" s="53" t="e">
        <f t="shared" ca="1" si="97"/>
        <v>#N/A</v>
      </c>
      <c r="EC13" s="53" t="e">
        <f t="shared" ca="1" si="97"/>
        <v>#N/A</v>
      </c>
      <c r="ED13" s="53" t="e">
        <f t="shared" ca="1" si="97"/>
        <v>#N/A</v>
      </c>
      <c r="EE13" s="53" t="e">
        <f t="shared" ca="1" si="97"/>
        <v>#N/A</v>
      </c>
      <c r="EF13" s="53" t="e">
        <f t="shared" ca="1" si="97"/>
        <v>#N/A</v>
      </c>
      <c r="EG13" s="53" t="e">
        <f t="shared" ref="EG13:GR13" ca="1" si="98">IF(ISNA(EF5),NA(),IF(EG4&lt;$C$10,(EG5/OFFSET(EG5,0,-EG4))^(1/(EG4)),(EG5/OFFSET(EG5,0,-$C$10))^(1/$C$10))-1)</f>
        <v>#N/A</v>
      </c>
      <c r="EH13" s="53" t="e">
        <f t="shared" ca="1" si="98"/>
        <v>#N/A</v>
      </c>
      <c r="EI13" s="53" t="e">
        <f t="shared" ca="1" si="98"/>
        <v>#N/A</v>
      </c>
      <c r="EJ13" s="53" t="e">
        <f t="shared" ca="1" si="98"/>
        <v>#N/A</v>
      </c>
      <c r="EK13" s="53" t="e">
        <f t="shared" ca="1" si="98"/>
        <v>#N/A</v>
      </c>
      <c r="EL13" s="53" t="e">
        <f t="shared" ca="1" si="98"/>
        <v>#N/A</v>
      </c>
      <c r="EM13" s="53" t="e">
        <f t="shared" ca="1" si="98"/>
        <v>#N/A</v>
      </c>
      <c r="EN13" s="53" t="e">
        <f t="shared" ca="1" si="98"/>
        <v>#N/A</v>
      </c>
      <c r="EO13" s="53" t="e">
        <f t="shared" ca="1" si="98"/>
        <v>#N/A</v>
      </c>
      <c r="EP13" s="53" t="e">
        <f t="shared" ca="1" si="98"/>
        <v>#N/A</v>
      </c>
      <c r="EQ13" s="53" t="e">
        <f t="shared" ca="1" si="98"/>
        <v>#N/A</v>
      </c>
      <c r="ER13" s="53" t="e">
        <f t="shared" ca="1" si="98"/>
        <v>#N/A</v>
      </c>
      <c r="ES13" s="53" t="e">
        <f t="shared" ca="1" si="98"/>
        <v>#N/A</v>
      </c>
      <c r="ET13" s="53" t="e">
        <f t="shared" ca="1" si="98"/>
        <v>#N/A</v>
      </c>
      <c r="EU13" s="53" t="e">
        <f t="shared" ca="1" si="98"/>
        <v>#N/A</v>
      </c>
      <c r="EV13" s="53" t="e">
        <f t="shared" ca="1" si="98"/>
        <v>#N/A</v>
      </c>
      <c r="EW13" s="53" t="e">
        <f t="shared" ca="1" si="98"/>
        <v>#N/A</v>
      </c>
      <c r="EX13" s="53" t="e">
        <f t="shared" ca="1" si="98"/>
        <v>#N/A</v>
      </c>
      <c r="EY13" s="53" t="e">
        <f t="shared" ca="1" si="98"/>
        <v>#N/A</v>
      </c>
      <c r="EZ13" s="53" t="e">
        <f t="shared" ca="1" si="98"/>
        <v>#N/A</v>
      </c>
      <c r="FA13" s="53" t="e">
        <f t="shared" ca="1" si="98"/>
        <v>#N/A</v>
      </c>
      <c r="FB13" s="53" t="e">
        <f t="shared" ca="1" si="98"/>
        <v>#N/A</v>
      </c>
      <c r="FC13" s="53" t="e">
        <f t="shared" ca="1" si="98"/>
        <v>#N/A</v>
      </c>
      <c r="FD13" s="53" t="e">
        <f t="shared" ca="1" si="98"/>
        <v>#N/A</v>
      </c>
      <c r="FE13" s="53" t="e">
        <f t="shared" ca="1" si="98"/>
        <v>#N/A</v>
      </c>
      <c r="FF13" s="53" t="e">
        <f t="shared" ca="1" si="98"/>
        <v>#N/A</v>
      </c>
      <c r="FG13" s="53" t="e">
        <f t="shared" ca="1" si="98"/>
        <v>#N/A</v>
      </c>
      <c r="FH13" s="53" t="e">
        <f t="shared" ca="1" si="98"/>
        <v>#N/A</v>
      </c>
      <c r="FI13" s="53" t="e">
        <f t="shared" ca="1" si="98"/>
        <v>#N/A</v>
      </c>
      <c r="FJ13" s="53" t="e">
        <f t="shared" ca="1" si="98"/>
        <v>#N/A</v>
      </c>
      <c r="FK13" s="53" t="e">
        <f t="shared" ca="1" si="98"/>
        <v>#N/A</v>
      </c>
      <c r="FL13" s="53" t="e">
        <f t="shared" ca="1" si="98"/>
        <v>#N/A</v>
      </c>
      <c r="FM13" s="53" t="e">
        <f t="shared" ca="1" si="98"/>
        <v>#N/A</v>
      </c>
      <c r="FN13" s="53" t="e">
        <f t="shared" ca="1" si="98"/>
        <v>#N/A</v>
      </c>
      <c r="FO13" s="53" t="e">
        <f t="shared" ca="1" si="98"/>
        <v>#N/A</v>
      </c>
      <c r="FP13" s="53" t="e">
        <f t="shared" ca="1" si="98"/>
        <v>#N/A</v>
      </c>
      <c r="FQ13" s="53" t="e">
        <f t="shared" ca="1" si="98"/>
        <v>#N/A</v>
      </c>
      <c r="FR13" s="53" t="e">
        <f t="shared" ca="1" si="98"/>
        <v>#N/A</v>
      </c>
      <c r="FS13" s="53" t="e">
        <f t="shared" ca="1" si="98"/>
        <v>#N/A</v>
      </c>
      <c r="FT13" s="53" t="e">
        <f t="shared" ca="1" si="98"/>
        <v>#N/A</v>
      </c>
      <c r="FU13" s="53" t="e">
        <f t="shared" ca="1" si="98"/>
        <v>#N/A</v>
      </c>
      <c r="FV13" s="53" t="e">
        <f t="shared" ca="1" si="98"/>
        <v>#N/A</v>
      </c>
      <c r="FW13" s="53" t="e">
        <f t="shared" ca="1" si="98"/>
        <v>#N/A</v>
      </c>
      <c r="FX13" s="53" t="e">
        <f t="shared" ca="1" si="98"/>
        <v>#N/A</v>
      </c>
      <c r="FY13" s="53" t="e">
        <f t="shared" ca="1" si="98"/>
        <v>#N/A</v>
      </c>
      <c r="FZ13" s="53" t="e">
        <f t="shared" ca="1" si="98"/>
        <v>#N/A</v>
      </c>
      <c r="GA13" s="53" t="e">
        <f t="shared" ca="1" si="98"/>
        <v>#N/A</v>
      </c>
      <c r="GB13" s="53" t="e">
        <f t="shared" ca="1" si="98"/>
        <v>#N/A</v>
      </c>
      <c r="GC13" s="53" t="e">
        <f t="shared" ca="1" si="98"/>
        <v>#N/A</v>
      </c>
      <c r="GD13" s="53" t="e">
        <f t="shared" ca="1" si="98"/>
        <v>#N/A</v>
      </c>
      <c r="GE13" s="53" t="e">
        <f t="shared" ca="1" si="98"/>
        <v>#N/A</v>
      </c>
      <c r="GF13" s="53" t="e">
        <f t="shared" ca="1" si="98"/>
        <v>#N/A</v>
      </c>
      <c r="GG13" s="53" t="e">
        <f t="shared" ca="1" si="98"/>
        <v>#N/A</v>
      </c>
      <c r="GH13" s="53" t="e">
        <f t="shared" ca="1" si="98"/>
        <v>#N/A</v>
      </c>
      <c r="GI13" s="53" t="e">
        <f t="shared" ca="1" si="98"/>
        <v>#N/A</v>
      </c>
      <c r="GJ13" s="53" t="e">
        <f t="shared" ca="1" si="98"/>
        <v>#N/A</v>
      </c>
      <c r="GK13" s="53" t="e">
        <f t="shared" ca="1" si="98"/>
        <v>#N/A</v>
      </c>
      <c r="GL13" s="53" t="e">
        <f t="shared" ca="1" si="98"/>
        <v>#N/A</v>
      </c>
      <c r="GM13" s="53" t="e">
        <f t="shared" ca="1" si="98"/>
        <v>#N/A</v>
      </c>
      <c r="GN13" s="53" t="e">
        <f t="shared" ca="1" si="98"/>
        <v>#N/A</v>
      </c>
      <c r="GO13" s="53" t="e">
        <f t="shared" ca="1" si="98"/>
        <v>#N/A</v>
      </c>
      <c r="GP13" s="53" t="e">
        <f t="shared" ca="1" si="98"/>
        <v>#N/A</v>
      </c>
      <c r="GQ13" s="53" t="e">
        <f t="shared" ca="1" si="98"/>
        <v>#N/A</v>
      </c>
      <c r="GR13" s="53" t="e">
        <f t="shared" ca="1" si="98"/>
        <v>#N/A</v>
      </c>
      <c r="GS13" s="53" t="e">
        <f t="shared" ref="GS13:IN13" ca="1" si="99">IF(ISNA(GR5),NA(),IF(GS4&lt;$C$10,(GS5/OFFSET(GS5,0,-GS4))^(1/(GS4)),(GS5/OFFSET(GS5,0,-$C$10))^(1/$C$10))-1)</f>
        <v>#N/A</v>
      </c>
      <c r="GT13" s="53" t="e">
        <f t="shared" ca="1" si="99"/>
        <v>#N/A</v>
      </c>
      <c r="GU13" s="53" t="e">
        <f t="shared" ca="1" si="99"/>
        <v>#N/A</v>
      </c>
      <c r="GV13" s="53" t="e">
        <f t="shared" ca="1" si="99"/>
        <v>#N/A</v>
      </c>
      <c r="GW13" s="53" t="e">
        <f t="shared" ca="1" si="99"/>
        <v>#N/A</v>
      </c>
      <c r="GX13" s="53" t="e">
        <f t="shared" ca="1" si="99"/>
        <v>#N/A</v>
      </c>
      <c r="GY13" s="53" t="e">
        <f t="shared" ca="1" si="99"/>
        <v>#N/A</v>
      </c>
      <c r="GZ13" s="53" t="e">
        <f t="shared" ca="1" si="99"/>
        <v>#N/A</v>
      </c>
      <c r="HA13" s="53" t="e">
        <f t="shared" ca="1" si="99"/>
        <v>#N/A</v>
      </c>
      <c r="HB13" s="53" t="e">
        <f t="shared" ca="1" si="99"/>
        <v>#N/A</v>
      </c>
      <c r="HC13" s="53" t="e">
        <f t="shared" ca="1" si="99"/>
        <v>#N/A</v>
      </c>
      <c r="HD13" s="53" t="e">
        <f t="shared" ca="1" si="99"/>
        <v>#N/A</v>
      </c>
      <c r="HE13" s="53" t="e">
        <f t="shared" ca="1" si="99"/>
        <v>#N/A</v>
      </c>
      <c r="HF13" s="53" t="e">
        <f t="shared" ca="1" si="99"/>
        <v>#N/A</v>
      </c>
      <c r="HG13" s="53" t="e">
        <f t="shared" ca="1" si="99"/>
        <v>#N/A</v>
      </c>
      <c r="HH13" s="53" t="e">
        <f t="shared" ca="1" si="99"/>
        <v>#N/A</v>
      </c>
      <c r="HI13" s="53" t="e">
        <f t="shared" ca="1" si="99"/>
        <v>#N/A</v>
      </c>
      <c r="HJ13" s="53" t="e">
        <f t="shared" ca="1" si="99"/>
        <v>#N/A</v>
      </c>
      <c r="HK13" s="53" t="e">
        <f t="shared" ca="1" si="99"/>
        <v>#N/A</v>
      </c>
      <c r="HL13" s="53" t="e">
        <f t="shared" ca="1" si="99"/>
        <v>#N/A</v>
      </c>
      <c r="HM13" s="53" t="e">
        <f t="shared" ca="1" si="99"/>
        <v>#N/A</v>
      </c>
      <c r="HN13" s="53" t="e">
        <f t="shared" ca="1" si="99"/>
        <v>#N/A</v>
      </c>
      <c r="HO13" s="53" t="e">
        <f t="shared" ca="1" si="99"/>
        <v>#N/A</v>
      </c>
      <c r="HP13" s="53" t="e">
        <f t="shared" ca="1" si="99"/>
        <v>#N/A</v>
      </c>
      <c r="HQ13" s="53" t="e">
        <f t="shared" ca="1" si="99"/>
        <v>#N/A</v>
      </c>
      <c r="HR13" s="53" t="e">
        <f t="shared" ca="1" si="99"/>
        <v>#N/A</v>
      </c>
      <c r="HS13" s="53" t="e">
        <f t="shared" ca="1" si="99"/>
        <v>#N/A</v>
      </c>
      <c r="HT13" s="53" t="e">
        <f t="shared" ca="1" si="99"/>
        <v>#N/A</v>
      </c>
      <c r="HU13" s="53" t="e">
        <f t="shared" ca="1" si="99"/>
        <v>#N/A</v>
      </c>
      <c r="HV13" s="53" t="e">
        <f t="shared" ca="1" si="99"/>
        <v>#N/A</v>
      </c>
      <c r="HW13" s="53" t="e">
        <f t="shared" ca="1" si="99"/>
        <v>#N/A</v>
      </c>
      <c r="HX13" s="53" t="e">
        <f t="shared" ca="1" si="99"/>
        <v>#N/A</v>
      </c>
      <c r="HY13" s="53" t="e">
        <f t="shared" ca="1" si="99"/>
        <v>#N/A</v>
      </c>
      <c r="HZ13" s="53" t="e">
        <f t="shared" ca="1" si="99"/>
        <v>#N/A</v>
      </c>
      <c r="IA13" s="53" t="e">
        <f t="shared" ca="1" si="99"/>
        <v>#N/A</v>
      </c>
      <c r="IB13" s="53" t="e">
        <f t="shared" ca="1" si="99"/>
        <v>#N/A</v>
      </c>
      <c r="IC13" s="53" t="e">
        <f t="shared" ca="1" si="99"/>
        <v>#N/A</v>
      </c>
      <c r="ID13" s="53" t="e">
        <f t="shared" ca="1" si="99"/>
        <v>#N/A</v>
      </c>
      <c r="IE13" s="53" t="e">
        <f t="shared" ca="1" si="99"/>
        <v>#N/A</v>
      </c>
      <c r="IF13" s="53" t="e">
        <f t="shared" ca="1" si="99"/>
        <v>#N/A</v>
      </c>
      <c r="IG13" s="53" t="e">
        <f t="shared" ca="1" si="99"/>
        <v>#N/A</v>
      </c>
      <c r="IH13" s="53" t="e">
        <f t="shared" ca="1" si="99"/>
        <v>#N/A</v>
      </c>
      <c r="II13" s="53" t="e">
        <f t="shared" ca="1" si="99"/>
        <v>#N/A</v>
      </c>
      <c r="IJ13" s="53" t="e">
        <f t="shared" ca="1" si="99"/>
        <v>#N/A</v>
      </c>
      <c r="IK13" s="53" t="e">
        <f t="shared" ca="1" si="99"/>
        <v>#N/A</v>
      </c>
      <c r="IL13" s="53" t="e">
        <f t="shared" ca="1" si="99"/>
        <v>#N/A</v>
      </c>
      <c r="IM13" s="53" t="e">
        <f t="shared" ca="1" si="99"/>
        <v>#N/A</v>
      </c>
      <c r="IN13" s="53" t="e">
        <f t="shared" ca="1" si="99"/>
        <v>#N/A</v>
      </c>
    </row>
    <row r="14" spans="2:248" x14ac:dyDescent="0.3">
      <c r="B14" s="19" t="s">
        <v>451</v>
      </c>
      <c r="C14" s="21">
        <f>C4*(1+C12)</f>
        <v>2091.3532699135594</v>
      </c>
      <c r="F14" s="19" t="s">
        <v>601</v>
      </c>
      <c r="G14" s="53">
        <f ca="1">H14</f>
        <v>9.5238095238095344E-2</v>
      </c>
      <c r="H14" s="53">
        <f ca="1">IF(ISNA(G8),NA(),IF(H4&lt;$C$10,(H8/OFFSET(H8,0,-H4))^(1/(H4)),(H8/OFFSET(H8,0,-$C$10))^(1/$C$10))-1)</f>
        <v>9.5238095238095344E-2</v>
      </c>
      <c r="I14" s="53">
        <f t="shared" ref="I14:BT14" ca="1" si="100">IF(ISNA(H8),NA(),IF(I4&lt;$C$10,(I8/OFFSET(I8,0,-I4))^(1/(I4)),(I8/OFFSET(I8,0,-$C$10))^(1/$C$10))-1)</f>
        <v>9.1089451179961811E-2</v>
      </c>
      <c r="J14" s="53">
        <f t="shared" ca="1" si="100"/>
        <v>8.7380373002892142E-2</v>
      </c>
      <c r="K14" s="53">
        <f t="shared" ca="1" si="100"/>
        <v>8.4038423113316663E-2</v>
      </c>
      <c r="L14" s="53">
        <f t="shared" ca="1" si="100"/>
        <v>9.8560543306117854E-2</v>
      </c>
      <c r="M14" s="53">
        <f t="shared" ca="1" si="100"/>
        <v>0.11309682218436867</v>
      </c>
      <c r="N14" s="53">
        <f t="shared" ca="1" si="100"/>
        <v>0.11248437017806778</v>
      </c>
      <c r="O14" s="53">
        <f t="shared" ca="1" si="100"/>
        <v>0.11038243376826551</v>
      </c>
      <c r="P14" s="53">
        <f t="shared" ca="1" si="100"/>
        <v>0.10999990990724307</v>
      </c>
      <c r="Q14" s="53">
        <f t="shared" ca="1" si="100"/>
        <v>9.4193845216762995E-2</v>
      </c>
      <c r="R14" s="53">
        <f t="shared" ca="1" si="100"/>
        <v>7.6029490726087667E-2</v>
      </c>
      <c r="S14" s="53">
        <f t="shared" ca="1" si="100"/>
        <v>-2.0545366586808611E-2</v>
      </c>
      <c r="T14" s="53">
        <f t="shared" ca="1" si="100"/>
        <v>-3.7740442130641094E-2</v>
      </c>
      <c r="U14" s="53">
        <f t="shared" ca="1" si="100"/>
        <v>3.7910646242664825E-3</v>
      </c>
      <c r="V14" s="53">
        <f t="shared" ca="1" si="100"/>
        <v>1.2221324484673834E-2</v>
      </c>
      <c r="W14" s="53">
        <f t="shared" ca="1" si="100"/>
        <v>7.3323490899992461E-3</v>
      </c>
      <c r="X14" s="53">
        <f t="shared" ca="1" si="100"/>
        <v>7.2145025900850923E-2</v>
      </c>
      <c r="Y14" s="53">
        <f t="shared" ca="1" si="100"/>
        <v>0.12514467671245666</v>
      </c>
      <c r="Z14" s="53">
        <f t="shared" ca="1" si="100"/>
        <v>8.8220367139258293E-2</v>
      </c>
      <c r="AA14" s="53">
        <f t="shared" ca="1" si="100"/>
        <v>5.2713295112456926E-2</v>
      </c>
      <c r="AB14" s="53">
        <f t="shared" ca="1" si="100"/>
        <v>6.3512336986038642E-2</v>
      </c>
      <c r="AC14" s="53">
        <f t="shared" ca="1" si="100"/>
        <v>0.1054407942930875</v>
      </c>
      <c r="AD14" s="53">
        <f t="shared" ca="1" si="100"/>
        <v>6.2021126073798616E-2</v>
      </c>
      <c r="AE14" s="53">
        <f t="shared" ca="1" si="100"/>
        <v>2.6457234416283892E-2</v>
      </c>
      <c r="AF14" s="53">
        <f t="shared" ca="1" si="100"/>
        <v>9.2206493177886539E-3</v>
      </c>
      <c r="AG14" s="53">
        <f t="shared" ca="1" si="100"/>
        <v>-1.6538041668570203E-2</v>
      </c>
      <c r="AH14" s="53">
        <f t="shared" ca="1" si="100"/>
        <v>-4.2161154780544718E-2</v>
      </c>
      <c r="AI14" s="53">
        <f t="shared" ca="1" si="100"/>
        <v>-1.7173715873579964E-2</v>
      </c>
      <c r="AJ14" s="53">
        <f t="shared" ca="1" si="100"/>
        <v>-5.2306243445132794E-2</v>
      </c>
      <c r="AK14" s="53">
        <f t="shared" ca="1" si="100"/>
        <v>2.1019628527689793E-3</v>
      </c>
      <c r="AL14" s="53">
        <f t="shared" ca="1" si="100"/>
        <v>4.7451763732829999E-2</v>
      </c>
      <c r="AM14" s="53">
        <f t="shared" ca="1" si="100"/>
        <v>2.4714655384562301E-2</v>
      </c>
      <c r="AN14" s="53">
        <f t="shared" ca="1" si="100"/>
        <v>1.0263344665878638E-2</v>
      </c>
      <c r="AO14" s="53">
        <f t="shared" ca="1" si="100"/>
        <v>6.6639447777535388E-2</v>
      </c>
      <c r="AP14" s="53">
        <f t="shared" ca="1" si="100"/>
        <v>9.8273562978724138E-2</v>
      </c>
      <c r="AQ14" s="53">
        <f t="shared" ca="1" si="100"/>
        <v>0.10226443311983724</v>
      </c>
      <c r="AR14" s="53">
        <f t="shared" ca="1" si="100"/>
        <v>0.18133552191341207</v>
      </c>
      <c r="AS14" s="53">
        <f t="shared" ca="1" si="100"/>
        <v>0.14817811096336686</v>
      </c>
      <c r="AT14" s="53">
        <f t="shared" ca="1" si="100"/>
        <v>0.15318754317339556</v>
      </c>
      <c r="AU14" s="53" t="e">
        <f t="shared" ca="1" si="100"/>
        <v>#N/A</v>
      </c>
      <c r="AV14" s="53" t="e">
        <f t="shared" ca="1" si="100"/>
        <v>#N/A</v>
      </c>
      <c r="AW14" s="53" t="e">
        <f t="shared" ca="1" si="100"/>
        <v>#N/A</v>
      </c>
      <c r="AX14" s="53" t="e">
        <f t="shared" ca="1" si="100"/>
        <v>#N/A</v>
      </c>
      <c r="AY14" s="53" t="e">
        <f t="shared" ca="1" si="100"/>
        <v>#N/A</v>
      </c>
      <c r="AZ14" s="53" t="e">
        <f t="shared" ca="1" si="100"/>
        <v>#N/A</v>
      </c>
      <c r="BA14" s="53" t="e">
        <f t="shared" ca="1" si="100"/>
        <v>#N/A</v>
      </c>
      <c r="BB14" s="53" t="e">
        <f t="shared" ca="1" si="100"/>
        <v>#N/A</v>
      </c>
      <c r="BC14" s="53" t="e">
        <f t="shared" ca="1" si="100"/>
        <v>#N/A</v>
      </c>
      <c r="BD14" s="53" t="e">
        <f t="shared" ca="1" si="100"/>
        <v>#N/A</v>
      </c>
      <c r="BE14" s="53" t="e">
        <f t="shared" ca="1" si="100"/>
        <v>#N/A</v>
      </c>
      <c r="BF14" s="53" t="e">
        <f t="shared" ca="1" si="100"/>
        <v>#N/A</v>
      </c>
      <c r="BG14" s="53" t="e">
        <f t="shared" ca="1" si="100"/>
        <v>#N/A</v>
      </c>
      <c r="BH14" s="53" t="e">
        <f t="shared" ca="1" si="100"/>
        <v>#N/A</v>
      </c>
      <c r="BI14" s="53" t="e">
        <f t="shared" ca="1" si="100"/>
        <v>#N/A</v>
      </c>
      <c r="BJ14" s="53" t="e">
        <f t="shared" ca="1" si="100"/>
        <v>#N/A</v>
      </c>
      <c r="BK14" s="53" t="e">
        <f t="shared" ca="1" si="100"/>
        <v>#N/A</v>
      </c>
      <c r="BL14" s="53" t="e">
        <f t="shared" ca="1" si="100"/>
        <v>#N/A</v>
      </c>
      <c r="BM14" s="53" t="e">
        <f t="shared" ca="1" si="100"/>
        <v>#N/A</v>
      </c>
      <c r="BN14" s="53" t="e">
        <f t="shared" ca="1" si="100"/>
        <v>#N/A</v>
      </c>
      <c r="BO14" s="53" t="e">
        <f t="shared" ca="1" si="100"/>
        <v>#N/A</v>
      </c>
      <c r="BP14" s="53" t="e">
        <f t="shared" ca="1" si="100"/>
        <v>#N/A</v>
      </c>
      <c r="BQ14" s="53" t="e">
        <f t="shared" ca="1" si="100"/>
        <v>#N/A</v>
      </c>
      <c r="BR14" s="53" t="e">
        <f t="shared" ca="1" si="100"/>
        <v>#N/A</v>
      </c>
      <c r="BS14" s="53" t="e">
        <f t="shared" ca="1" si="100"/>
        <v>#N/A</v>
      </c>
      <c r="BT14" s="53" t="e">
        <f t="shared" ca="1" si="100"/>
        <v>#N/A</v>
      </c>
      <c r="BU14" s="53" t="e">
        <f t="shared" ref="BU14:EF14" ca="1" si="101">IF(ISNA(BT8),NA(),IF(BU4&lt;$C$10,(BU8/OFFSET(BU8,0,-BU4))^(1/(BU4)),(BU8/OFFSET(BU8,0,-$C$10))^(1/$C$10))-1)</f>
        <v>#N/A</v>
      </c>
      <c r="BV14" s="53" t="e">
        <f t="shared" ca="1" si="101"/>
        <v>#N/A</v>
      </c>
      <c r="BW14" s="53" t="e">
        <f t="shared" ca="1" si="101"/>
        <v>#N/A</v>
      </c>
      <c r="BX14" s="53" t="e">
        <f t="shared" ca="1" si="101"/>
        <v>#N/A</v>
      </c>
      <c r="BY14" s="53" t="e">
        <f t="shared" ca="1" si="101"/>
        <v>#N/A</v>
      </c>
      <c r="BZ14" s="53" t="e">
        <f t="shared" ca="1" si="101"/>
        <v>#N/A</v>
      </c>
      <c r="CA14" s="53" t="e">
        <f t="shared" ca="1" si="101"/>
        <v>#N/A</v>
      </c>
      <c r="CB14" s="53" t="e">
        <f t="shared" ca="1" si="101"/>
        <v>#N/A</v>
      </c>
      <c r="CC14" s="53" t="e">
        <f t="shared" ca="1" si="101"/>
        <v>#N/A</v>
      </c>
      <c r="CD14" s="53" t="e">
        <f t="shared" ca="1" si="101"/>
        <v>#N/A</v>
      </c>
      <c r="CE14" s="53" t="e">
        <f t="shared" ca="1" si="101"/>
        <v>#N/A</v>
      </c>
      <c r="CF14" s="53" t="e">
        <f t="shared" ca="1" si="101"/>
        <v>#N/A</v>
      </c>
      <c r="CG14" s="53" t="e">
        <f t="shared" ca="1" si="101"/>
        <v>#N/A</v>
      </c>
      <c r="CH14" s="53" t="e">
        <f t="shared" ca="1" si="101"/>
        <v>#N/A</v>
      </c>
      <c r="CI14" s="53" t="e">
        <f t="shared" ca="1" si="101"/>
        <v>#N/A</v>
      </c>
      <c r="CJ14" s="53" t="e">
        <f t="shared" ca="1" si="101"/>
        <v>#N/A</v>
      </c>
      <c r="CK14" s="53" t="e">
        <f t="shared" ca="1" si="101"/>
        <v>#N/A</v>
      </c>
      <c r="CL14" s="53" t="e">
        <f t="shared" ca="1" si="101"/>
        <v>#N/A</v>
      </c>
      <c r="CM14" s="53" t="e">
        <f t="shared" ca="1" si="101"/>
        <v>#N/A</v>
      </c>
      <c r="CN14" s="53" t="e">
        <f t="shared" ca="1" si="101"/>
        <v>#N/A</v>
      </c>
      <c r="CO14" s="53" t="e">
        <f t="shared" ca="1" si="101"/>
        <v>#N/A</v>
      </c>
      <c r="CP14" s="53" t="e">
        <f t="shared" ca="1" si="101"/>
        <v>#N/A</v>
      </c>
      <c r="CQ14" s="53" t="e">
        <f t="shared" ca="1" si="101"/>
        <v>#N/A</v>
      </c>
      <c r="CR14" s="53" t="e">
        <f t="shared" ca="1" si="101"/>
        <v>#N/A</v>
      </c>
      <c r="CS14" s="53" t="e">
        <f t="shared" ca="1" si="101"/>
        <v>#N/A</v>
      </c>
      <c r="CT14" s="53" t="e">
        <f t="shared" ca="1" si="101"/>
        <v>#N/A</v>
      </c>
      <c r="CU14" s="53" t="e">
        <f t="shared" ca="1" si="101"/>
        <v>#N/A</v>
      </c>
      <c r="CV14" s="53" t="e">
        <f t="shared" ca="1" si="101"/>
        <v>#N/A</v>
      </c>
      <c r="CW14" s="53" t="e">
        <f t="shared" ca="1" si="101"/>
        <v>#N/A</v>
      </c>
      <c r="CX14" s="53" t="e">
        <f t="shared" ca="1" si="101"/>
        <v>#N/A</v>
      </c>
      <c r="CY14" s="53" t="e">
        <f t="shared" ca="1" si="101"/>
        <v>#N/A</v>
      </c>
      <c r="CZ14" s="53" t="e">
        <f t="shared" ca="1" si="101"/>
        <v>#N/A</v>
      </c>
      <c r="DA14" s="53" t="e">
        <f t="shared" ca="1" si="101"/>
        <v>#N/A</v>
      </c>
      <c r="DB14" s="53" t="e">
        <f t="shared" ca="1" si="101"/>
        <v>#N/A</v>
      </c>
      <c r="DC14" s="53" t="e">
        <f t="shared" ca="1" si="101"/>
        <v>#N/A</v>
      </c>
      <c r="DD14" s="53" t="e">
        <f t="shared" ca="1" si="101"/>
        <v>#N/A</v>
      </c>
      <c r="DE14" s="53" t="e">
        <f t="shared" ca="1" si="101"/>
        <v>#N/A</v>
      </c>
      <c r="DF14" s="53" t="e">
        <f t="shared" ca="1" si="101"/>
        <v>#N/A</v>
      </c>
      <c r="DG14" s="53" t="e">
        <f t="shared" ca="1" si="101"/>
        <v>#N/A</v>
      </c>
      <c r="DH14" s="53" t="e">
        <f t="shared" ca="1" si="101"/>
        <v>#N/A</v>
      </c>
      <c r="DI14" s="53" t="e">
        <f t="shared" ca="1" si="101"/>
        <v>#N/A</v>
      </c>
      <c r="DJ14" s="53" t="e">
        <f t="shared" ca="1" si="101"/>
        <v>#N/A</v>
      </c>
      <c r="DK14" s="53" t="e">
        <f t="shared" ca="1" si="101"/>
        <v>#N/A</v>
      </c>
      <c r="DL14" s="53" t="e">
        <f t="shared" ca="1" si="101"/>
        <v>#N/A</v>
      </c>
      <c r="DM14" s="53" t="e">
        <f t="shared" ca="1" si="101"/>
        <v>#N/A</v>
      </c>
      <c r="DN14" s="53" t="e">
        <f t="shared" ca="1" si="101"/>
        <v>#N/A</v>
      </c>
      <c r="DO14" s="53" t="e">
        <f t="shared" ca="1" si="101"/>
        <v>#N/A</v>
      </c>
      <c r="DP14" s="53" t="e">
        <f t="shared" ca="1" si="101"/>
        <v>#N/A</v>
      </c>
      <c r="DQ14" s="53" t="e">
        <f t="shared" ca="1" si="101"/>
        <v>#N/A</v>
      </c>
      <c r="DR14" s="53" t="e">
        <f t="shared" ca="1" si="101"/>
        <v>#N/A</v>
      </c>
      <c r="DS14" s="53" t="e">
        <f t="shared" ca="1" si="101"/>
        <v>#N/A</v>
      </c>
      <c r="DT14" s="53" t="e">
        <f t="shared" ca="1" si="101"/>
        <v>#N/A</v>
      </c>
      <c r="DU14" s="53" t="e">
        <f t="shared" ca="1" si="101"/>
        <v>#N/A</v>
      </c>
      <c r="DV14" s="53" t="e">
        <f t="shared" ca="1" si="101"/>
        <v>#N/A</v>
      </c>
      <c r="DW14" s="53" t="e">
        <f t="shared" ca="1" si="101"/>
        <v>#N/A</v>
      </c>
      <c r="DX14" s="53" t="e">
        <f t="shared" ca="1" si="101"/>
        <v>#N/A</v>
      </c>
      <c r="DY14" s="53" t="e">
        <f t="shared" ca="1" si="101"/>
        <v>#N/A</v>
      </c>
      <c r="DZ14" s="53" t="e">
        <f t="shared" ca="1" si="101"/>
        <v>#N/A</v>
      </c>
      <c r="EA14" s="53" t="e">
        <f t="shared" ca="1" si="101"/>
        <v>#N/A</v>
      </c>
      <c r="EB14" s="53" t="e">
        <f t="shared" ca="1" si="101"/>
        <v>#N/A</v>
      </c>
      <c r="EC14" s="53" t="e">
        <f t="shared" ca="1" si="101"/>
        <v>#N/A</v>
      </c>
      <c r="ED14" s="53" t="e">
        <f t="shared" ca="1" si="101"/>
        <v>#N/A</v>
      </c>
      <c r="EE14" s="53" t="e">
        <f t="shared" ca="1" si="101"/>
        <v>#N/A</v>
      </c>
      <c r="EF14" s="53" t="e">
        <f t="shared" ca="1" si="101"/>
        <v>#N/A</v>
      </c>
      <c r="EG14" s="53" t="e">
        <f t="shared" ref="EG14:GR14" ca="1" si="102">IF(ISNA(EF8),NA(),IF(EG4&lt;$C$10,(EG8/OFFSET(EG8,0,-EG4))^(1/(EG4)),(EG8/OFFSET(EG8,0,-$C$10))^(1/$C$10))-1)</f>
        <v>#N/A</v>
      </c>
      <c r="EH14" s="53" t="e">
        <f t="shared" ca="1" si="102"/>
        <v>#N/A</v>
      </c>
      <c r="EI14" s="53" t="e">
        <f t="shared" ca="1" si="102"/>
        <v>#N/A</v>
      </c>
      <c r="EJ14" s="53" t="e">
        <f t="shared" ca="1" si="102"/>
        <v>#N/A</v>
      </c>
      <c r="EK14" s="53" t="e">
        <f t="shared" ca="1" si="102"/>
        <v>#N/A</v>
      </c>
      <c r="EL14" s="53" t="e">
        <f t="shared" ca="1" si="102"/>
        <v>#N/A</v>
      </c>
      <c r="EM14" s="53" t="e">
        <f t="shared" ca="1" si="102"/>
        <v>#N/A</v>
      </c>
      <c r="EN14" s="53" t="e">
        <f t="shared" ca="1" si="102"/>
        <v>#N/A</v>
      </c>
      <c r="EO14" s="53" t="e">
        <f t="shared" ca="1" si="102"/>
        <v>#N/A</v>
      </c>
      <c r="EP14" s="53" t="e">
        <f t="shared" ca="1" si="102"/>
        <v>#N/A</v>
      </c>
      <c r="EQ14" s="53" t="e">
        <f t="shared" ca="1" si="102"/>
        <v>#N/A</v>
      </c>
      <c r="ER14" s="53" t="e">
        <f t="shared" ca="1" si="102"/>
        <v>#N/A</v>
      </c>
      <c r="ES14" s="53" t="e">
        <f t="shared" ca="1" si="102"/>
        <v>#N/A</v>
      </c>
      <c r="ET14" s="53" t="e">
        <f t="shared" ca="1" si="102"/>
        <v>#N/A</v>
      </c>
      <c r="EU14" s="53" t="e">
        <f t="shared" ca="1" si="102"/>
        <v>#N/A</v>
      </c>
      <c r="EV14" s="53" t="e">
        <f t="shared" ca="1" si="102"/>
        <v>#N/A</v>
      </c>
      <c r="EW14" s="53" t="e">
        <f t="shared" ca="1" si="102"/>
        <v>#N/A</v>
      </c>
      <c r="EX14" s="53" t="e">
        <f t="shared" ca="1" si="102"/>
        <v>#N/A</v>
      </c>
      <c r="EY14" s="53" t="e">
        <f t="shared" ca="1" si="102"/>
        <v>#N/A</v>
      </c>
      <c r="EZ14" s="53" t="e">
        <f t="shared" ca="1" si="102"/>
        <v>#N/A</v>
      </c>
      <c r="FA14" s="53" t="e">
        <f t="shared" ca="1" si="102"/>
        <v>#N/A</v>
      </c>
      <c r="FB14" s="53" t="e">
        <f t="shared" ca="1" si="102"/>
        <v>#N/A</v>
      </c>
      <c r="FC14" s="53" t="e">
        <f t="shared" ca="1" si="102"/>
        <v>#N/A</v>
      </c>
      <c r="FD14" s="53" t="e">
        <f t="shared" ca="1" si="102"/>
        <v>#N/A</v>
      </c>
      <c r="FE14" s="53" t="e">
        <f t="shared" ca="1" si="102"/>
        <v>#N/A</v>
      </c>
      <c r="FF14" s="53" t="e">
        <f t="shared" ca="1" si="102"/>
        <v>#N/A</v>
      </c>
      <c r="FG14" s="53" t="e">
        <f t="shared" ca="1" si="102"/>
        <v>#N/A</v>
      </c>
      <c r="FH14" s="53" t="e">
        <f t="shared" ca="1" si="102"/>
        <v>#N/A</v>
      </c>
      <c r="FI14" s="53" t="e">
        <f t="shared" ca="1" si="102"/>
        <v>#N/A</v>
      </c>
      <c r="FJ14" s="53" t="e">
        <f t="shared" ca="1" si="102"/>
        <v>#N/A</v>
      </c>
      <c r="FK14" s="53" t="e">
        <f t="shared" ca="1" si="102"/>
        <v>#N/A</v>
      </c>
      <c r="FL14" s="53" t="e">
        <f t="shared" ca="1" si="102"/>
        <v>#N/A</v>
      </c>
      <c r="FM14" s="53" t="e">
        <f t="shared" ca="1" si="102"/>
        <v>#N/A</v>
      </c>
      <c r="FN14" s="53" t="e">
        <f t="shared" ca="1" si="102"/>
        <v>#N/A</v>
      </c>
      <c r="FO14" s="53" t="e">
        <f t="shared" ca="1" si="102"/>
        <v>#N/A</v>
      </c>
      <c r="FP14" s="53" t="e">
        <f t="shared" ca="1" si="102"/>
        <v>#N/A</v>
      </c>
      <c r="FQ14" s="53" t="e">
        <f t="shared" ca="1" si="102"/>
        <v>#N/A</v>
      </c>
      <c r="FR14" s="53" t="e">
        <f t="shared" ca="1" si="102"/>
        <v>#N/A</v>
      </c>
      <c r="FS14" s="53" t="e">
        <f t="shared" ca="1" si="102"/>
        <v>#N/A</v>
      </c>
      <c r="FT14" s="53" t="e">
        <f t="shared" ca="1" si="102"/>
        <v>#N/A</v>
      </c>
      <c r="FU14" s="53" t="e">
        <f t="shared" ca="1" si="102"/>
        <v>#N/A</v>
      </c>
      <c r="FV14" s="53" t="e">
        <f t="shared" ca="1" si="102"/>
        <v>#N/A</v>
      </c>
      <c r="FW14" s="53" t="e">
        <f t="shared" ca="1" si="102"/>
        <v>#N/A</v>
      </c>
      <c r="FX14" s="53" t="e">
        <f t="shared" ca="1" si="102"/>
        <v>#N/A</v>
      </c>
      <c r="FY14" s="53" t="e">
        <f t="shared" ca="1" si="102"/>
        <v>#N/A</v>
      </c>
      <c r="FZ14" s="53" t="e">
        <f t="shared" ca="1" si="102"/>
        <v>#N/A</v>
      </c>
      <c r="GA14" s="53" t="e">
        <f t="shared" ca="1" si="102"/>
        <v>#N/A</v>
      </c>
      <c r="GB14" s="53" t="e">
        <f t="shared" ca="1" si="102"/>
        <v>#N/A</v>
      </c>
      <c r="GC14" s="53" t="e">
        <f t="shared" ca="1" si="102"/>
        <v>#N/A</v>
      </c>
      <c r="GD14" s="53" t="e">
        <f t="shared" ca="1" si="102"/>
        <v>#N/A</v>
      </c>
      <c r="GE14" s="53" t="e">
        <f t="shared" ca="1" si="102"/>
        <v>#N/A</v>
      </c>
      <c r="GF14" s="53" t="e">
        <f t="shared" ca="1" si="102"/>
        <v>#N/A</v>
      </c>
      <c r="GG14" s="53" t="e">
        <f t="shared" ca="1" si="102"/>
        <v>#N/A</v>
      </c>
      <c r="GH14" s="53" t="e">
        <f t="shared" ca="1" si="102"/>
        <v>#N/A</v>
      </c>
      <c r="GI14" s="53" t="e">
        <f t="shared" ca="1" si="102"/>
        <v>#N/A</v>
      </c>
      <c r="GJ14" s="53" t="e">
        <f t="shared" ca="1" si="102"/>
        <v>#N/A</v>
      </c>
      <c r="GK14" s="53" t="e">
        <f t="shared" ca="1" si="102"/>
        <v>#N/A</v>
      </c>
      <c r="GL14" s="53" t="e">
        <f t="shared" ca="1" si="102"/>
        <v>#N/A</v>
      </c>
      <c r="GM14" s="53" t="e">
        <f t="shared" ca="1" si="102"/>
        <v>#N/A</v>
      </c>
      <c r="GN14" s="53" t="e">
        <f t="shared" ca="1" si="102"/>
        <v>#N/A</v>
      </c>
      <c r="GO14" s="53" t="e">
        <f t="shared" ca="1" si="102"/>
        <v>#N/A</v>
      </c>
      <c r="GP14" s="53" t="e">
        <f t="shared" ca="1" si="102"/>
        <v>#N/A</v>
      </c>
      <c r="GQ14" s="53" t="e">
        <f t="shared" ca="1" si="102"/>
        <v>#N/A</v>
      </c>
      <c r="GR14" s="53" t="e">
        <f t="shared" ca="1" si="102"/>
        <v>#N/A</v>
      </c>
      <c r="GS14" s="53" t="e">
        <f t="shared" ref="GS14:IN14" ca="1" si="103">IF(ISNA(GR8),NA(),IF(GS4&lt;$C$10,(GS8/OFFSET(GS8,0,-GS4))^(1/(GS4)),(GS8/OFFSET(GS8,0,-$C$10))^(1/$C$10))-1)</f>
        <v>#N/A</v>
      </c>
      <c r="GT14" s="53" t="e">
        <f t="shared" ca="1" si="103"/>
        <v>#N/A</v>
      </c>
      <c r="GU14" s="53" t="e">
        <f t="shared" ca="1" si="103"/>
        <v>#N/A</v>
      </c>
      <c r="GV14" s="53" t="e">
        <f t="shared" ca="1" si="103"/>
        <v>#N/A</v>
      </c>
      <c r="GW14" s="53" t="e">
        <f t="shared" ca="1" si="103"/>
        <v>#N/A</v>
      </c>
      <c r="GX14" s="53" t="e">
        <f t="shared" ca="1" si="103"/>
        <v>#N/A</v>
      </c>
      <c r="GY14" s="53" t="e">
        <f t="shared" ca="1" si="103"/>
        <v>#N/A</v>
      </c>
      <c r="GZ14" s="53" t="e">
        <f t="shared" ca="1" si="103"/>
        <v>#N/A</v>
      </c>
      <c r="HA14" s="53" t="e">
        <f t="shared" ca="1" si="103"/>
        <v>#N/A</v>
      </c>
      <c r="HB14" s="53" t="e">
        <f t="shared" ca="1" si="103"/>
        <v>#N/A</v>
      </c>
      <c r="HC14" s="53" t="e">
        <f t="shared" ca="1" si="103"/>
        <v>#N/A</v>
      </c>
      <c r="HD14" s="53" t="e">
        <f t="shared" ca="1" si="103"/>
        <v>#N/A</v>
      </c>
      <c r="HE14" s="53" t="e">
        <f t="shared" ca="1" si="103"/>
        <v>#N/A</v>
      </c>
      <c r="HF14" s="53" t="e">
        <f t="shared" ca="1" si="103"/>
        <v>#N/A</v>
      </c>
      <c r="HG14" s="53" t="e">
        <f t="shared" ca="1" si="103"/>
        <v>#N/A</v>
      </c>
      <c r="HH14" s="53" t="e">
        <f t="shared" ca="1" si="103"/>
        <v>#N/A</v>
      </c>
      <c r="HI14" s="53" t="e">
        <f t="shared" ca="1" si="103"/>
        <v>#N/A</v>
      </c>
      <c r="HJ14" s="53" t="e">
        <f t="shared" ca="1" si="103"/>
        <v>#N/A</v>
      </c>
      <c r="HK14" s="53" t="e">
        <f t="shared" ca="1" si="103"/>
        <v>#N/A</v>
      </c>
      <c r="HL14" s="53" t="e">
        <f t="shared" ca="1" si="103"/>
        <v>#N/A</v>
      </c>
      <c r="HM14" s="53" t="e">
        <f t="shared" ca="1" si="103"/>
        <v>#N/A</v>
      </c>
      <c r="HN14" s="53" t="e">
        <f t="shared" ca="1" si="103"/>
        <v>#N/A</v>
      </c>
      <c r="HO14" s="53" t="e">
        <f t="shared" ca="1" si="103"/>
        <v>#N/A</v>
      </c>
      <c r="HP14" s="53" t="e">
        <f t="shared" ca="1" si="103"/>
        <v>#N/A</v>
      </c>
      <c r="HQ14" s="53" t="e">
        <f t="shared" ca="1" si="103"/>
        <v>#N/A</v>
      </c>
      <c r="HR14" s="53" t="e">
        <f t="shared" ca="1" si="103"/>
        <v>#N/A</v>
      </c>
      <c r="HS14" s="53" t="e">
        <f t="shared" ca="1" si="103"/>
        <v>#N/A</v>
      </c>
      <c r="HT14" s="53" t="e">
        <f t="shared" ca="1" si="103"/>
        <v>#N/A</v>
      </c>
      <c r="HU14" s="53" t="e">
        <f t="shared" ca="1" si="103"/>
        <v>#N/A</v>
      </c>
      <c r="HV14" s="53" t="e">
        <f t="shared" ca="1" si="103"/>
        <v>#N/A</v>
      </c>
      <c r="HW14" s="53" t="e">
        <f t="shared" ca="1" si="103"/>
        <v>#N/A</v>
      </c>
      <c r="HX14" s="53" t="e">
        <f t="shared" ca="1" si="103"/>
        <v>#N/A</v>
      </c>
      <c r="HY14" s="53" t="e">
        <f t="shared" ca="1" si="103"/>
        <v>#N/A</v>
      </c>
      <c r="HZ14" s="53" t="e">
        <f t="shared" ca="1" si="103"/>
        <v>#N/A</v>
      </c>
      <c r="IA14" s="53" t="e">
        <f t="shared" ca="1" si="103"/>
        <v>#N/A</v>
      </c>
      <c r="IB14" s="53" t="e">
        <f t="shared" ca="1" si="103"/>
        <v>#N/A</v>
      </c>
      <c r="IC14" s="53" t="e">
        <f t="shared" ca="1" si="103"/>
        <v>#N/A</v>
      </c>
      <c r="ID14" s="53" t="e">
        <f t="shared" ca="1" si="103"/>
        <v>#N/A</v>
      </c>
      <c r="IE14" s="53" t="e">
        <f t="shared" ca="1" si="103"/>
        <v>#N/A</v>
      </c>
      <c r="IF14" s="53" t="e">
        <f t="shared" ca="1" si="103"/>
        <v>#N/A</v>
      </c>
      <c r="IG14" s="53" t="e">
        <f t="shared" ca="1" si="103"/>
        <v>#N/A</v>
      </c>
      <c r="IH14" s="53" t="e">
        <f t="shared" ca="1" si="103"/>
        <v>#N/A</v>
      </c>
      <c r="II14" s="53" t="e">
        <f t="shared" ca="1" si="103"/>
        <v>#N/A</v>
      </c>
      <c r="IJ14" s="53" t="e">
        <f t="shared" ca="1" si="103"/>
        <v>#N/A</v>
      </c>
      <c r="IK14" s="53" t="e">
        <f t="shared" ca="1" si="103"/>
        <v>#N/A</v>
      </c>
      <c r="IL14" s="53" t="e">
        <f t="shared" ca="1" si="103"/>
        <v>#N/A</v>
      </c>
      <c r="IM14" s="53" t="e">
        <f t="shared" ca="1" si="103"/>
        <v>#N/A</v>
      </c>
      <c r="IN14" s="53" t="e">
        <f t="shared" ca="1" si="103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7.1684587813620068E-2</v>
      </c>
      <c r="E15" s="93"/>
      <c r="F15" s="19" t="s">
        <v>568</v>
      </c>
      <c r="G15" s="53" t="e">
        <f ca="1">H15</f>
        <v>#N/A</v>
      </c>
      <c r="H15" s="53" t="e">
        <f t="shared" ref="H15:BS15" ca="1" si="104">IF(ISNA(G6),NA(),IF(H4-$C$9&lt;$C$10,(H6/OFFSET(H6,0,-H4+$C$9))^(1/(H4-$C$9)),(H6/OFFSET(H6,0,-$C$10))^(1/$C$10))-1)</f>
        <v>#N/A</v>
      </c>
      <c r="I15" s="53" t="e">
        <f t="shared" ca="1" si="104"/>
        <v>#N/A</v>
      </c>
      <c r="J15" s="53" t="e">
        <f t="shared" ca="1" si="104"/>
        <v>#N/A</v>
      </c>
      <c r="K15" s="53" t="e">
        <f t="shared" ca="1" si="104"/>
        <v>#N/A</v>
      </c>
      <c r="L15" s="53" t="e">
        <f t="shared" ca="1" si="104"/>
        <v>#N/A</v>
      </c>
      <c r="M15" s="53" t="e">
        <f t="shared" ca="1" si="104"/>
        <v>#N/A</v>
      </c>
      <c r="N15" s="53" t="e">
        <f t="shared" ca="1" si="104"/>
        <v>#N/A</v>
      </c>
      <c r="O15" s="53" t="e">
        <f t="shared" ca="1" si="104"/>
        <v>#N/A</v>
      </c>
      <c r="P15" s="53" t="e">
        <f t="shared" ca="1" si="104"/>
        <v>#N/A</v>
      </c>
      <c r="Q15" s="53" t="e">
        <f t="shared" ca="1" si="104"/>
        <v>#N/A</v>
      </c>
      <c r="R15" s="53" t="e">
        <f t="shared" ca="1" si="104"/>
        <v>#N/A</v>
      </c>
      <c r="S15" s="53" t="e">
        <f t="shared" ca="1" si="104"/>
        <v>#N/A</v>
      </c>
      <c r="T15" s="53" t="e">
        <f t="shared" ca="1" si="104"/>
        <v>#N/A</v>
      </c>
      <c r="U15" s="53" t="e">
        <f t="shared" ca="1" si="104"/>
        <v>#N/A</v>
      </c>
      <c r="V15" s="53" t="e">
        <f t="shared" ca="1" si="104"/>
        <v>#N/A</v>
      </c>
      <c r="W15" s="53" t="e">
        <f t="shared" ca="1" si="104"/>
        <v>#N/A</v>
      </c>
      <c r="X15" s="53" t="e">
        <f t="shared" ca="1" si="104"/>
        <v>#N/A</v>
      </c>
      <c r="Y15" s="53">
        <f t="shared" ca="1" si="104"/>
        <v>0</v>
      </c>
      <c r="Z15" s="53">
        <f t="shared" ca="1" si="104"/>
        <v>0.22474487139158894</v>
      </c>
      <c r="AA15" s="53">
        <f t="shared" ca="1" si="104"/>
        <v>0.1696070952851465</v>
      </c>
      <c r="AB15" s="53">
        <f t="shared" ca="1" si="104"/>
        <v>0.17405488594401852</v>
      </c>
      <c r="AC15" s="53">
        <f t="shared" ca="1" si="104"/>
        <v>0.17080491296489231</v>
      </c>
      <c r="AD15" s="53">
        <f t="shared" ca="1" si="104"/>
        <v>0.17080491296489231</v>
      </c>
      <c r="AE15" s="53">
        <f t="shared" ca="1" si="104"/>
        <v>0.12474611314209483</v>
      </c>
      <c r="AF15" s="53">
        <f t="shared" ca="1" si="104"/>
        <v>0.12630393921616268</v>
      </c>
      <c r="AG15" s="53">
        <f t="shared" ca="1" si="104"/>
        <v>8.825051007784368E-2</v>
      </c>
      <c r="AH15" s="53">
        <f t="shared" ca="1" si="104"/>
        <v>5.6805496536407318E-2</v>
      </c>
      <c r="AI15" s="53">
        <f t="shared" ca="1" si="104"/>
        <v>8.4471771197698553E-2</v>
      </c>
      <c r="AJ15" s="53">
        <f t="shared" ca="1" si="104"/>
        <v>5.3272768583090491E-2</v>
      </c>
      <c r="AK15" s="53">
        <f t="shared" ca="1" si="104"/>
        <v>7.1709725300183047E-2</v>
      </c>
      <c r="AL15" s="53">
        <f t="shared" ca="1" si="104"/>
        <v>7.6887308061656112E-2</v>
      </c>
      <c r="AM15" s="53">
        <f t="shared" ca="1" si="104"/>
        <v>8.1967190705377613E-2</v>
      </c>
      <c r="AN15" s="53">
        <f t="shared" ca="1" si="104"/>
        <v>6.3995312815083638E-2</v>
      </c>
      <c r="AO15" s="53">
        <f t="shared" ca="1" si="104"/>
        <v>6.0732713038533337E-2</v>
      </c>
      <c r="AP15" s="53">
        <f t="shared" ca="1" si="104"/>
        <v>3.6292713876201477E-2</v>
      </c>
      <c r="AQ15" s="53">
        <f t="shared" ca="1" si="104"/>
        <v>4.3640227150435917E-2</v>
      </c>
      <c r="AR15" s="53">
        <f t="shared" ca="1" si="104"/>
        <v>4.6610435928968297E-2</v>
      </c>
      <c r="AS15" s="53">
        <f t="shared" ca="1" si="104"/>
        <v>3.7137289336648172E-2</v>
      </c>
      <c r="AT15" s="53">
        <f t="shared" ca="1" si="104"/>
        <v>3.5661981385701091E-2</v>
      </c>
      <c r="AU15" s="53" t="e">
        <f t="shared" ca="1" si="104"/>
        <v>#N/A</v>
      </c>
      <c r="AV15" s="53" t="e">
        <f t="shared" ca="1" si="104"/>
        <v>#N/A</v>
      </c>
      <c r="AW15" s="53" t="e">
        <f t="shared" ca="1" si="104"/>
        <v>#N/A</v>
      </c>
      <c r="AX15" s="53" t="e">
        <f t="shared" ca="1" si="104"/>
        <v>#N/A</v>
      </c>
      <c r="AY15" s="53" t="e">
        <f t="shared" ca="1" si="104"/>
        <v>#N/A</v>
      </c>
      <c r="AZ15" s="53" t="e">
        <f t="shared" ca="1" si="104"/>
        <v>#N/A</v>
      </c>
      <c r="BA15" s="53" t="e">
        <f t="shared" ca="1" si="104"/>
        <v>#N/A</v>
      </c>
      <c r="BB15" s="53" t="e">
        <f t="shared" ca="1" si="104"/>
        <v>#N/A</v>
      </c>
      <c r="BC15" s="53" t="e">
        <f t="shared" ca="1" si="104"/>
        <v>#N/A</v>
      </c>
      <c r="BD15" s="53" t="e">
        <f t="shared" ca="1" si="104"/>
        <v>#N/A</v>
      </c>
      <c r="BE15" s="53" t="e">
        <f t="shared" ca="1" si="104"/>
        <v>#N/A</v>
      </c>
      <c r="BF15" s="53" t="e">
        <f t="shared" ca="1" si="104"/>
        <v>#N/A</v>
      </c>
      <c r="BG15" s="53" t="e">
        <f t="shared" ca="1" si="104"/>
        <v>#N/A</v>
      </c>
      <c r="BH15" s="53" t="e">
        <f t="shared" ca="1" si="104"/>
        <v>#N/A</v>
      </c>
      <c r="BI15" s="53" t="e">
        <f t="shared" ca="1" si="104"/>
        <v>#N/A</v>
      </c>
      <c r="BJ15" s="53" t="e">
        <f t="shared" ca="1" si="104"/>
        <v>#N/A</v>
      </c>
      <c r="BK15" s="53" t="e">
        <f t="shared" ca="1" si="104"/>
        <v>#N/A</v>
      </c>
      <c r="BL15" s="53" t="e">
        <f t="shared" ca="1" si="104"/>
        <v>#N/A</v>
      </c>
      <c r="BM15" s="53" t="e">
        <f t="shared" ca="1" si="104"/>
        <v>#N/A</v>
      </c>
      <c r="BN15" s="53" t="e">
        <f t="shared" ca="1" si="104"/>
        <v>#N/A</v>
      </c>
      <c r="BO15" s="53" t="e">
        <f t="shared" ca="1" si="104"/>
        <v>#N/A</v>
      </c>
      <c r="BP15" s="53" t="e">
        <f t="shared" ca="1" si="104"/>
        <v>#N/A</v>
      </c>
      <c r="BQ15" s="53" t="e">
        <f t="shared" ca="1" si="104"/>
        <v>#N/A</v>
      </c>
      <c r="BR15" s="53" t="e">
        <f t="shared" ca="1" si="104"/>
        <v>#N/A</v>
      </c>
      <c r="BS15" s="53" t="e">
        <f t="shared" ca="1" si="104"/>
        <v>#N/A</v>
      </c>
      <c r="BT15" s="53" t="e">
        <f t="shared" ref="BT15:EE15" ca="1" si="105">IF(ISNA(BS6),NA(),IF(BT4-$C$9&lt;$C$10,(BT6/OFFSET(BT6,0,-BT4+$C$9))^(1/(BT4-$C$9)),(BT6/OFFSET(BT6,0,-$C$10))^(1/$C$10))-1)</f>
        <v>#N/A</v>
      </c>
      <c r="BU15" s="53" t="e">
        <f t="shared" ca="1" si="105"/>
        <v>#N/A</v>
      </c>
      <c r="BV15" s="53" t="e">
        <f t="shared" ca="1" si="105"/>
        <v>#N/A</v>
      </c>
      <c r="BW15" s="53" t="e">
        <f t="shared" ca="1" si="105"/>
        <v>#N/A</v>
      </c>
      <c r="BX15" s="53" t="e">
        <f t="shared" ca="1" si="105"/>
        <v>#N/A</v>
      </c>
      <c r="BY15" s="53" t="e">
        <f t="shared" ca="1" si="105"/>
        <v>#N/A</v>
      </c>
      <c r="BZ15" s="53" t="e">
        <f t="shared" ca="1" si="105"/>
        <v>#N/A</v>
      </c>
      <c r="CA15" s="53" t="e">
        <f t="shared" ca="1" si="105"/>
        <v>#N/A</v>
      </c>
      <c r="CB15" s="53" t="e">
        <f t="shared" ca="1" si="105"/>
        <v>#N/A</v>
      </c>
      <c r="CC15" s="53" t="e">
        <f t="shared" ca="1" si="105"/>
        <v>#N/A</v>
      </c>
      <c r="CD15" s="53" t="e">
        <f t="shared" ca="1" si="105"/>
        <v>#N/A</v>
      </c>
      <c r="CE15" s="53" t="e">
        <f t="shared" ca="1" si="105"/>
        <v>#N/A</v>
      </c>
      <c r="CF15" s="53" t="e">
        <f t="shared" ca="1" si="105"/>
        <v>#N/A</v>
      </c>
      <c r="CG15" s="53" t="e">
        <f t="shared" ca="1" si="105"/>
        <v>#N/A</v>
      </c>
      <c r="CH15" s="53" t="e">
        <f t="shared" ca="1" si="105"/>
        <v>#N/A</v>
      </c>
      <c r="CI15" s="53" t="e">
        <f t="shared" ca="1" si="105"/>
        <v>#N/A</v>
      </c>
      <c r="CJ15" s="53" t="e">
        <f t="shared" ca="1" si="105"/>
        <v>#N/A</v>
      </c>
      <c r="CK15" s="53" t="e">
        <f t="shared" ca="1" si="105"/>
        <v>#N/A</v>
      </c>
      <c r="CL15" s="53" t="e">
        <f t="shared" ca="1" si="105"/>
        <v>#N/A</v>
      </c>
      <c r="CM15" s="53" t="e">
        <f t="shared" ca="1" si="105"/>
        <v>#N/A</v>
      </c>
      <c r="CN15" s="53" t="e">
        <f t="shared" ca="1" si="105"/>
        <v>#N/A</v>
      </c>
      <c r="CO15" s="53" t="e">
        <f t="shared" ca="1" si="105"/>
        <v>#N/A</v>
      </c>
      <c r="CP15" s="53" t="e">
        <f t="shared" ca="1" si="105"/>
        <v>#N/A</v>
      </c>
      <c r="CQ15" s="53" t="e">
        <f t="shared" ca="1" si="105"/>
        <v>#N/A</v>
      </c>
      <c r="CR15" s="53" t="e">
        <f t="shared" ca="1" si="105"/>
        <v>#N/A</v>
      </c>
      <c r="CS15" s="53" t="e">
        <f t="shared" ca="1" si="105"/>
        <v>#N/A</v>
      </c>
      <c r="CT15" s="53" t="e">
        <f t="shared" ca="1" si="105"/>
        <v>#N/A</v>
      </c>
      <c r="CU15" s="53" t="e">
        <f t="shared" ca="1" si="105"/>
        <v>#N/A</v>
      </c>
      <c r="CV15" s="53" t="e">
        <f t="shared" ca="1" si="105"/>
        <v>#N/A</v>
      </c>
      <c r="CW15" s="53" t="e">
        <f t="shared" ca="1" si="105"/>
        <v>#N/A</v>
      </c>
      <c r="CX15" s="53" t="e">
        <f t="shared" ca="1" si="105"/>
        <v>#N/A</v>
      </c>
      <c r="CY15" s="53" t="e">
        <f t="shared" ca="1" si="105"/>
        <v>#N/A</v>
      </c>
      <c r="CZ15" s="53" t="e">
        <f t="shared" ca="1" si="105"/>
        <v>#N/A</v>
      </c>
      <c r="DA15" s="53" t="e">
        <f t="shared" ca="1" si="105"/>
        <v>#N/A</v>
      </c>
      <c r="DB15" s="53" t="e">
        <f t="shared" ca="1" si="105"/>
        <v>#N/A</v>
      </c>
      <c r="DC15" s="53" t="e">
        <f t="shared" ca="1" si="105"/>
        <v>#N/A</v>
      </c>
      <c r="DD15" s="53" t="e">
        <f t="shared" ca="1" si="105"/>
        <v>#N/A</v>
      </c>
      <c r="DE15" s="53" t="e">
        <f t="shared" ca="1" si="105"/>
        <v>#N/A</v>
      </c>
      <c r="DF15" s="53" t="e">
        <f t="shared" ca="1" si="105"/>
        <v>#N/A</v>
      </c>
      <c r="DG15" s="53" t="e">
        <f t="shared" ca="1" si="105"/>
        <v>#N/A</v>
      </c>
      <c r="DH15" s="53" t="e">
        <f t="shared" ca="1" si="105"/>
        <v>#N/A</v>
      </c>
      <c r="DI15" s="53" t="e">
        <f t="shared" ca="1" si="105"/>
        <v>#N/A</v>
      </c>
      <c r="DJ15" s="53" t="e">
        <f t="shared" ca="1" si="105"/>
        <v>#N/A</v>
      </c>
      <c r="DK15" s="53" t="e">
        <f t="shared" ca="1" si="105"/>
        <v>#N/A</v>
      </c>
      <c r="DL15" s="53" t="e">
        <f t="shared" ca="1" si="105"/>
        <v>#N/A</v>
      </c>
      <c r="DM15" s="53" t="e">
        <f t="shared" ca="1" si="105"/>
        <v>#N/A</v>
      </c>
      <c r="DN15" s="53" t="e">
        <f t="shared" ca="1" si="105"/>
        <v>#N/A</v>
      </c>
      <c r="DO15" s="53" t="e">
        <f t="shared" ca="1" si="105"/>
        <v>#N/A</v>
      </c>
      <c r="DP15" s="53" t="e">
        <f t="shared" ca="1" si="105"/>
        <v>#N/A</v>
      </c>
      <c r="DQ15" s="53" t="e">
        <f t="shared" ca="1" si="105"/>
        <v>#N/A</v>
      </c>
      <c r="DR15" s="53" t="e">
        <f t="shared" ca="1" si="105"/>
        <v>#N/A</v>
      </c>
      <c r="DS15" s="53" t="e">
        <f t="shared" ca="1" si="105"/>
        <v>#N/A</v>
      </c>
      <c r="DT15" s="53" t="e">
        <f t="shared" ca="1" si="105"/>
        <v>#N/A</v>
      </c>
      <c r="DU15" s="53" t="e">
        <f t="shared" ca="1" si="105"/>
        <v>#N/A</v>
      </c>
      <c r="DV15" s="53" t="e">
        <f t="shared" ca="1" si="105"/>
        <v>#N/A</v>
      </c>
      <c r="DW15" s="53" t="e">
        <f t="shared" ca="1" si="105"/>
        <v>#N/A</v>
      </c>
      <c r="DX15" s="53" t="e">
        <f t="shared" ca="1" si="105"/>
        <v>#N/A</v>
      </c>
      <c r="DY15" s="53" t="e">
        <f t="shared" ca="1" si="105"/>
        <v>#N/A</v>
      </c>
      <c r="DZ15" s="53" t="e">
        <f t="shared" ca="1" si="105"/>
        <v>#N/A</v>
      </c>
      <c r="EA15" s="53" t="e">
        <f t="shared" ca="1" si="105"/>
        <v>#N/A</v>
      </c>
      <c r="EB15" s="53" t="e">
        <f t="shared" ca="1" si="105"/>
        <v>#N/A</v>
      </c>
      <c r="EC15" s="53" t="e">
        <f t="shared" ca="1" si="105"/>
        <v>#N/A</v>
      </c>
      <c r="ED15" s="53" t="e">
        <f t="shared" ca="1" si="105"/>
        <v>#N/A</v>
      </c>
      <c r="EE15" s="53" t="e">
        <f t="shared" ca="1" si="105"/>
        <v>#N/A</v>
      </c>
      <c r="EF15" s="53" t="e">
        <f t="shared" ref="EF15:GQ15" ca="1" si="106">IF(ISNA(EE6),NA(),IF(EF4-$C$9&lt;$C$10,(EF6/OFFSET(EF6,0,-EF4+$C$9))^(1/(EF4-$C$9)),(EF6/OFFSET(EF6,0,-$C$10))^(1/$C$10))-1)</f>
        <v>#N/A</v>
      </c>
      <c r="EG15" s="53" t="e">
        <f t="shared" ca="1" si="106"/>
        <v>#N/A</v>
      </c>
      <c r="EH15" s="53" t="e">
        <f t="shared" ca="1" si="106"/>
        <v>#N/A</v>
      </c>
      <c r="EI15" s="53" t="e">
        <f t="shared" ca="1" si="106"/>
        <v>#N/A</v>
      </c>
      <c r="EJ15" s="53" t="e">
        <f t="shared" ca="1" si="106"/>
        <v>#N/A</v>
      </c>
      <c r="EK15" s="53" t="e">
        <f t="shared" ca="1" si="106"/>
        <v>#N/A</v>
      </c>
      <c r="EL15" s="53" t="e">
        <f t="shared" ca="1" si="106"/>
        <v>#N/A</v>
      </c>
      <c r="EM15" s="53" t="e">
        <f t="shared" ca="1" si="106"/>
        <v>#N/A</v>
      </c>
      <c r="EN15" s="53" t="e">
        <f t="shared" ca="1" si="106"/>
        <v>#N/A</v>
      </c>
      <c r="EO15" s="53" t="e">
        <f t="shared" ca="1" si="106"/>
        <v>#N/A</v>
      </c>
      <c r="EP15" s="53" t="e">
        <f t="shared" ca="1" si="106"/>
        <v>#N/A</v>
      </c>
      <c r="EQ15" s="53" t="e">
        <f t="shared" ca="1" si="106"/>
        <v>#N/A</v>
      </c>
      <c r="ER15" s="53" t="e">
        <f t="shared" ca="1" si="106"/>
        <v>#N/A</v>
      </c>
      <c r="ES15" s="53" t="e">
        <f t="shared" ca="1" si="106"/>
        <v>#N/A</v>
      </c>
      <c r="ET15" s="53" t="e">
        <f t="shared" ca="1" si="106"/>
        <v>#N/A</v>
      </c>
      <c r="EU15" s="53" t="e">
        <f t="shared" ca="1" si="106"/>
        <v>#N/A</v>
      </c>
      <c r="EV15" s="53" t="e">
        <f t="shared" ca="1" si="106"/>
        <v>#N/A</v>
      </c>
      <c r="EW15" s="53" t="e">
        <f t="shared" ca="1" si="106"/>
        <v>#N/A</v>
      </c>
      <c r="EX15" s="53" t="e">
        <f t="shared" ca="1" si="106"/>
        <v>#N/A</v>
      </c>
      <c r="EY15" s="53" t="e">
        <f t="shared" ca="1" si="106"/>
        <v>#N/A</v>
      </c>
      <c r="EZ15" s="53" t="e">
        <f t="shared" ca="1" si="106"/>
        <v>#N/A</v>
      </c>
      <c r="FA15" s="53" t="e">
        <f t="shared" ca="1" si="106"/>
        <v>#N/A</v>
      </c>
      <c r="FB15" s="53" t="e">
        <f t="shared" ca="1" si="106"/>
        <v>#N/A</v>
      </c>
      <c r="FC15" s="53" t="e">
        <f t="shared" ca="1" si="106"/>
        <v>#N/A</v>
      </c>
      <c r="FD15" s="53" t="e">
        <f t="shared" ca="1" si="106"/>
        <v>#N/A</v>
      </c>
      <c r="FE15" s="53" t="e">
        <f t="shared" ca="1" si="106"/>
        <v>#N/A</v>
      </c>
      <c r="FF15" s="53" t="e">
        <f t="shared" ca="1" si="106"/>
        <v>#N/A</v>
      </c>
      <c r="FG15" s="53" t="e">
        <f t="shared" ca="1" si="106"/>
        <v>#N/A</v>
      </c>
      <c r="FH15" s="53" t="e">
        <f t="shared" ca="1" si="106"/>
        <v>#N/A</v>
      </c>
      <c r="FI15" s="53" t="e">
        <f t="shared" ca="1" si="106"/>
        <v>#N/A</v>
      </c>
      <c r="FJ15" s="53" t="e">
        <f t="shared" ca="1" si="106"/>
        <v>#N/A</v>
      </c>
      <c r="FK15" s="53" t="e">
        <f t="shared" ca="1" si="106"/>
        <v>#N/A</v>
      </c>
      <c r="FL15" s="53" t="e">
        <f t="shared" ca="1" si="106"/>
        <v>#N/A</v>
      </c>
      <c r="FM15" s="53" t="e">
        <f t="shared" ca="1" si="106"/>
        <v>#N/A</v>
      </c>
      <c r="FN15" s="53" t="e">
        <f t="shared" ca="1" si="106"/>
        <v>#N/A</v>
      </c>
      <c r="FO15" s="53" t="e">
        <f t="shared" ca="1" si="106"/>
        <v>#N/A</v>
      </c>
      <c r="FP15" s="53" t="e">
        <f t="shared" ca="1" si="106"/>
        <v>#N/A</v>
      </c>
      <c r="FQ15" s="53" t="e">
        <f t="shared" ca="1" si="106"/>
        <v>#N/A</v>
      </c>
      <c r="FR15" s="53" t="e">
        <f t="shared" ca="1" si="106"/>
        <v>#N/A</v>
      </c>
      <c r="FS15" s="53" t="e">
        <f t="shared" ca="1" si="106"/>
        <v>#N/A</v>
      </c>
      <c r="FT15" s="53" t="e">
        <f t="shared" ca="1" si="106"/>
        <v>#N/A</v>
      </c>
      <c r="FU15" s="53" t="e">
        <f t="shared" ca="1" si="106"/>
        <v>#N/A</v>
      </c>
      <c r="FV15" s="53" t="e">
        <f t="shared" ca="1" si="106"/>
        <v>#N/A</v>
      </c>
      <c r="FW15" s="53" t="e">
        <f t="shared" ca="1" si="106"/>
        <v>#N/A</v>
      </c>
      <c r="FX15" s="53" t="e">
        <f t="shared" ca="1" si="106"/>
        <v>#N/A</v>
      </c>
      <c r="FY15" s="53" t="e">
        <f t="shared" ca="1" si="106"/>
        <v>#N/A</v>
      </c>
      <c r="FZ15" s="53" t="e">
        <f t="shared" ca="1" si="106"/>
        <v>#N/A</v>
      </c>
      <c r="GA15" s="53" t="e">
        <f t="shared" ca="1" si="106"/>
        <v>#N/A</v>
      </c>
      <c r="GB15" s="53" t="e">
        <f t="shared" ca="1" si="106"/>
        <v>#N/A</v>
      </c>
      <c r="GC15" s="53" t="e">
        <f t="shared" ca="1" si="106"/>
        <v>#N/A</v>
      </c>
      <c r="GD15" s="53" t="e">
        <f t="shared" ca="1" si="106"/>
        <v>#N/A</v>
      </c>
      <c r="GE15" s="53" t="e">
        <f t="shared" ca="1" si="106"/>
        <v>#N/A</v>
      </c>
      <c r="GF15" s="53" t="e">
        <f t="shared" ca="1" si="106"/>
        <v>#N/A</v>
      </c>
      <c r="GG15" s="53" t="e">
        <f t="shared" ca="1" si="106"/>
        <v>#N/A</v>
      </c>
      <c r="GH15" s="53" t="e">
        <f t="shared" ca="1" si="106"/>
        <v>#N/A</v>
      </c>
      <c r="GI15" s="53" t="e">
        <f t="shared" ca="1" si="106"/>
        <v>#N/A</v>
      </c>
      <c r="GJ15" s="53" t="e">
        <f t="shared" ca="1" si="106"/>
        <v>#N/A</v>
      </c>
      <c r="GK15" s="53" t="e">
        <f t="shared" ca="1" si="106"/>
        <v>#N/A</v>
      </c>
      <c r="GL15" s="53" t="e">
        <f t="shared" ca="1" si="106"/>
        <v>#N/A</v>
      </c>
      <c r="GM15" s="53" t="e">
        <f t="shared" ca="1" si="106"/>
        <v>#N/A</v>
      </c>
      <c r="GN15" s="53" t="e">
        <f t="shared" ca="1" si="106"/>
        <v>#N/A</v>
      </c>
      <c r="GO15" s="53" t="e">
        <f t="shared" ca="1" si="106"/>
        <v>#N/A</v>
      </c>
      <c r="GP15" s="53" t="e">
        <f t="shared" ca="1" si="106"/>
        <v>#N/A</v>
      </c>
      <c r="GQ15" s="53" t="e">
        <f t="shared" ca="1" si="106"/>
        <v>#N/A</v>
      </c>
      <c r="GR15" s="53" t="e">
        <f t="shared" ref="GR15:IN15" ca="1" si="107">IF(ISNA(GQ6),NA(),IF(GR4-$C$9&lt;$C$10,(GR6/OFFSET(GR6,0,-GR4+$C$9))^(1/(GR4-$C$9)),(GR6/OFFSET(GR6,0,-$C$10))^(1/$C$10))-1)</f>
        <v>#N/A</v>
      </c>
      <c r="GS15" s="53" t="e">
        <f t="shared" ca="1" si="107"/>
        <v>#N/A</v>
      </c>
      <c r="GT15" s="53" t="e">
        <f t="shared" ca="1" si="107"/>
        <v>#N/A</v>
      </c>
      <c r="GU15" s="53" t="e">
        <f t="shared" ca="1" si="107"/>
        <v>#N/A</v>
      </c>
      <c r="GV15" s="53" t="e">
        <f t="shared" ca="1" si="107"/>
        <v>#N/A</v>
      </c>
      <c r="GW15" s="53" t="e">
        <f t="shared" ca="1" si="107"/>
        <v>#N/A</v>
      </c>
      <c r="GX15" s="53" t="e">
        <f t="shared" ca="1" si="107"/>
        <v>#N/A</v>
      </c>
      <c r="GY15" s="53" t="e">
        <f t="shared" ca="1" si="107"/>
        <v>#N/A</v>
      </c>
      <c r="GZ15" s="53" t="e">
        <f t="shared" ca="1" si="107"/>
        <v>#N/A</v>
      </c>
      <c r="HA15" s="53" t="e">
        <f t="shared" ca="1" si="107"/>
        <v>#N/A</v>
      </c>
      <c r="HB15" s="53" t="e">
        <f t="shared" ca="1" si="107"/>
        <v>#N/A</v>
      </c>
      <c r="HC15" s="53" t="e">
        <f t="shared" ca="1" si="107"/>
        <v>#N/A</v>
      </c>
      <c r="HD15" s="53" t="e">
        <f t="shared" ca="1" si="107"/>
        <v>#N/A</v>
      </c>
      <c r="HE15" s="53" t="e">
        <f t="shared" ca="1" si="107"/>
        <v>#N/A</v>
      </c>
      <c r="HF15" s="53" t="e">
        <f t="shared" ca="1" si="107"/>
        <v>#N/A</v>
      </c>
      <c r="HG15" s="53" t="e">
        <f t="shared" ca="1" si="107"/>
        <v>#N/A</v>
      </c>
      <c r="HH15" s="53" t="e">
        <f t="shared" ca="1" si="107"/>
        <v>#N/A</v>
      </c>
      <c r="HI15" s="53" t="e">
        <f t="shared" ca="1" si="107"/>
        <v>#N/A</v>
      </c>
      <c r="HJ15" s="53" t="e">
        <f t="shared" ca="1" si="107"/>
        <v>#N/A</v>
      </c>
      <c r="HK15" s="53" t="e">
        <f t="shared" ca="1" si="107"/>
        <v>#N/A</v>
      </c>
      <c r="HL15" s="53" t="e">
        <f t="shared" ca="1" si="107"/>
        <v>#N/A</v>
      </c>
      <c r="HM15" s="53" t="e">
        <f t="shared" ca="1" si="107"/>
        <v>#N/A</v>
      </c>
      <c r="HN15" s="53" t="e">
        <f t="shared" ca="1" si="107"/>
        <v>#N/A</v>
      </c>
      <c r="HO15" s="53" t="e">
        <f t="shared" ca="1" si="107"/>
        <v>#N/A</v>
      </c>
      <c r="HP15" s="53" t="e">
        <f t="shared" ca="1" si="107"/>
        <v>#N/A</v>
      </c>
      <c r="HQ15" s="53" t="e">
        <f t="shared" ca="1" si="107"/>
        <v>#N/A</v>
      </c>
      <c r="HR15" s="53" t="e">
        <f t="shared" ca="1" si="107"/>
        <v>#N/A</v>
      </c>
      <c r="HS15" s="53" t="e">
        <f t="shared" ca="1" si="107"/>
        <v>#N/A</v>
      </c>
      <c r="HT15" s="53" t="e">
        <f t="shared" ca="1" si="107"/>
        <v>#N/A</v>
      </c>
      <c r="HU15" s="53" t="e">
        <f t="shared" ca="1" si="107"/>
        <v>#N/A</v>
      </c>
      <c r="HV15" s="53" t="e">
        <f t="shared" ca="1" si="107"/>
        <v>#N/A</v>
      </c>
      <c r="HW15" s="53" t="e">
        <f t="shared" ca="1" si="107"/>
        <v>#N/A</v>
      </c>
      <c r="HX15" s="53" t="e">
        <f t="shared" ca="1" si="107"/>
        <v>#N/A</v>
      </c>
      <c r="HY15" s="53" t="e">
        <f t="shared" ca="1" si="107"/>
        <v>#N/A</v>
      </c>
      <c r="HZ15" s="53" t="e">
        <f t="shared" ca="1" si="107"/>
        <v>#N/A</v>
      </c>
      <c r="IA15" s="53" t="e">
        <f t="shared" ca="1" si="107"/>
        <v>#N/A</v>
      </c>
      <c r="IB15" s="53" t="e">
        <f t="shared" ca="1" si="107"/>
        <v>#N/A</v>
      </c>
      <c r="IC15" s="53" t="e">
        <f t="shared" ca="1" si="107"/>
        <v>#N/A</v>
      </c>
      <c r="ID15" s="53" t="e">
        <f t="shared" ca="1" si="107"/>
        <v>#N/A</v>
      </c>
      <c r="IE15" s="53" t="e">
        <f t="shared" ca="1" si="107"/>
        <v>#N/A</v>
      </c>
      <c r="IF15" s="53" t="e">
        <f t="shared" ca="1" si="107"/>
        <v>#N/A</v>
      </c>
      <c r="IG15" s="53" t="e">
        <f t="shared" ca="1" si="107"/>
        <v>#N/A</v>
      </c>
      <c r="IH15" s="53" t="e">
        <f t="shared" ca="1" si="107"/>
        <v>#N/A</v>
      </c>
      <c r="II15" s="53" t="e">
        <f t="shared" ca="1" si="107"/>
        <v>#N/A</v>
      </c>
      <c r="IJ15" s="53" t="e">
        <f t="shared" ca="1" si="107"/>
        <v>#N/A</v>
      </c>
      <c r="IK15" s="53" t="e">
        <f t="shared" ca="1" si="107"/>
        <v>#N/A</v>
      </c>
      <c r="IL15" s="53" t="e">
        <f t="shared" ca="1" si="107"/>
        <v>#N/A</v>
      </c>
      <c r="IM15" s="53" t="e">
        <f t="shared" ca="1" si="107"/>
        <v>#N/A</v>
      </c>
      <c r="IN15" s="53" t="e">
        <f t="shared" ca="1" si="107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9232.781653</v>
      </c>
      <c r="E16" s="93" t="s">
        <v>585</v>
      </c>
      <c r="F16" s="19" t="s">
        <v>569</v>
      </c>
      <c r="G16" s="94">
        <f ca="1">IFERROR(AVERAGE(E14:G14),NA())</f>
        <v>9.5238095238095344E-2</v>
      </c>
      <c r="H16" s="94">
        <f t="shared" ref="H16:O16" ca="1" si="108">IFERROR(AVERAGE(F14:H14),NA())</f>
        <v>9.5238095238095344E-2</v>
      </c>
      <c r="I16" s="94">
        <f t="shared" ca="1" si="108"/>
        <v>9.3855213885384162E-2</v>
      </c>
      <c r="J16" s="94">
        <f t="shared" ca="1" si="108"/>
        <v>9.1235973140316437E-2</v>
      </c>
      <c r="K16" s="94">
        <f t="shared" ca="1" si="108"/>
        <v>8.7502749098723534E-2</v>
      </c>
      <c r="L16" s="94">
        <f t="shared" ca="1" si="108"/>
        <v>8.9993113140775557E-2</v>
      </c>
      <c r="M16" s="94">
        <f ca="1">IFERROR(AVERAGE(K14:M14),NA())</f>
        <v>9.8565262867934392E-2</v>
      </c>
      <c r="N16" s="94">
        <f t="shared" ca="1" si="108"/>
        <v>0.10804724522285143</v>
      </c>
      <c r="O16" s="94">
        <f t="shared" ca="1" si="108"/>
        <v>0.11198787537690065</v>
      </c>
      <c r="P16" s="94">
        <f ca="1">IFERROR(AVERAGE(N14:P14),NA())</f>
        <v>0.11095557128452545</v>
      </c>
      <c r="Q16" s="94">
        <f t="shared" ref="Q16:AC16" ca="1" si="109">IFERROR(AVERAGE(O14:Q14),NA())</f>
        <v>0.10485872963075719</v>
      </c>
      <c r="R16" s="94">
        <f t="shared" ca="1" si="109"/>
        <v>9.3407748616697914E-2</v>
      </c>
      <c r="S16" s="94">
        <f t="shared" ca="1" si="109"/>
        <v>4.9892656452014017E-2</v>
      </c>
      <c r="T16" s="94">
        <f t="shared" ca="1" si="109"/>
        <v>5.9145606695459874E-3</v>
      </c>
      <c r="U16" s="94">
        <f t="shared" ca="1" si="109"/>
        <v>-1.8164914697727741E-2</v>
      </c>
      <c r="V16" s="94">
        <f t="shared" ca="1" si="109"/>
        <v>-7.2426843405669255E-3</v>
      </c>
      <c r="W16" s="94">
        <f t="shared" ca="1" si="109"/>
        <v>7.781579399646521E-3</v>
      </c>
      <c r="X16" s="94">
        <f t="shared" ca="1" si="109"/>
        <v>3.0566233158508E-2</v>
      </c>
      <c r="Y16" s="94">
        <f t="shared" ca="1" si="109"/>
        <v>6.8207350567768943E-2</v>
      </c>
      <c r="Z16" s="94">
        <f t="shared" ca="1" si="109"/>
        <v>9.5170023250855287E-2</v>
      </c>
      <c r="AA16" s="94">
        <f t="shared" ca="1" si="109"/>
        <v>8.8692779654723955E-2</v>
      </c>
      <c r="AB16" s="94">
        <f t="shared" ca="1" si="109"/>
        <v>6.8148666412584616E-2</v>
      </c>
      <c r="AC16" s="94">
        <f t="shared" ca="1" si="109"/>
        <v>7.3888808797194352E-2</v>
      </c>
      <c r="AD16" s="94">
        <f ca="1">IFERROR(AVERAGE(AB14:AD14),NA())</f>
        <v>7.6991419117641582E-2</v>
      </c>
      <c r="AE16" s="94">
        <f ca="1">IFERROR(AVERAGE(AC14:AE14),NA())</f>
        <v>6.4639718261056675E-2</v>
      </c>
      <c r="AF16" s="94">
        <f t="shared" ref="AF16:CP16" ca="1" si="110">IFERROR(AVERAGE(AD14:AF14),NA())</f>
        <v>3.2566336602623723E-2</v>
      </c>
      <c r="AG16" s="94">
        <f t="shared" ca="1" si="110"/>
        <v>6.3799473551674479E-3</v>
      </c>
      <c r="AH16" s="94">
        <f t="shared" ca="1" si="110"/>
        <v>-1.6492849043775421E-2</v>
      </c>
      <c r="AI16" s="94">
        <f t="shared" ca="1" si="110"/>
        <v>-2.529097077423163E-2</v>
      </c>
      <c r="AJ16" s="94">
        <f t="shared" ca="1" si="110"/>
        <v>-3.7213704699752492E-2</v>
      </c>
      <c r="AK16" s="94">
        <f t="shared" ca="1" si="110"/>
        <v>-2.2459332155314593E-2</v>
      </c>
      <c r="AL16" s="94">
        <f t="shared" ca="1" si="110"/>
        <v>-9.1750561984460521E-4</v>
      </c>
      <c r="AM16" s="94">
        <f t="shared" ca="1" si="110"/>
        <v>2.4756127323387094E-2</v>
      </c>
      <c r="AN16" s="94">
        <f t="shared" ca="1" si="110"/>
        <v>2.7476587927756979E-2</v>
      </c>
      <c r="AO16" s="94">
        <f t="shared" ca="1" si="110"/>
        <v>3.387248260932544E-2</v>
      </c>
      <c r="AP16" s="94">
        <f t="shared" ca="1" si="110"/>
        <v>5.8392118474046052E-2</v>
      </c>
      <c r="AQ16" s="94">
        <f t="shared" ca="1" si="110"/>
        <v>8.9059147958698917E-2</v>
      </c>
      <c r="AR16" s="94">
        <f t="shared" ca="1" si="110"/>
        <v>0.12729117267065782</v>
      </c>
      <c r="AS16" s="94">
        <f t="shared" ca="1" si="110"/>
        <v>0.14392602199887206</v>
      </c>
      <c r="AT16" s="94">
        <f t="shared" ca="1" si="110"/>
        <v>0.16090039201672482</v>
      </c>
      <c r="AU16" s="94" t="e">
        <f t="shared" ca="1" si="110"/>
        <v>#N/A</v>
      </c>
      <c r="AV16" s="94" t="e">
        <f t="shared" ca="1" si="110"/>
        <v>#N/A</v>
      </c>
      <c r="AW16" s="94" t="e">
        <f t="shared" ca="1" si="110"/>
        <v>#N/A</v>
      </c>
      <c r="AX16" s="94" t="e">
        <f t="shared" ca="1" si="110"/>
        <v>#N/A</v>
      </c>
      <c r="AY16" s="94" t="e">
        <f t="shared" ca="1" si="110"/>
        <v>#N/A</v>
      </c>
      <c r="AZ16" s="94" t="e">
        <f t="shared" ca="1" si="110"/>
        <v>#N/A</v>
      </c>
      <c r="BA16" s="94" t="e">
        <f t="shared" ca="1" si="110"/>
        <v>#N/A</v>
      </c>
      <c r="BB16" s="94" t="e">
        <f t="shared" ca="1" si="110"/>
        <v>#N/A</v>
      </c>
      <c r="BC16" s="94" t="e">
        <f t="shared" ca="1" si="110"/>
        <v>#N/A</v>
      </c>
      <c r="BD16" s="94" t="e">
        <f t="shared" ca="1" si="110"/>
        <v>#N/A</v>
      </c>
      <c r="BE16" s="94" t="e">
        <f t="shared" ca="1" si="110"/>
        <v>#N/A</v>
      </c>
      <c r="BF16" s="94" t="e">
        <f t="shared" ca="1" si="110"/>
        <v>#N/A</v>
      </c>
      <c r="BG16" s="94" t="e">
        <f t="shared" ca="1" si="110"/>
        <v>#N/A</v>
      </c>
      <c r="BH16" s="94" t="e">
        <f t="shared" ca="1" si="110"/>
        <v>#N/A</v>
      </c>
      <c r="BI16" s="94" t="e">
        <f t="shared" ca="1" si="110"/>
        <v>#N/A</v>
      </c>
      <c r="BJ16" s="94" t="e">
        <f t="shared" ca="1" si="110"/>
        <v>#N/A</v>
      </c>
      <c r="BK16" s="94" t="e">
        <f t="shared" ca="1" si="110"/>
        <v>#N/A</v>
      </c>
      <c r="BL16" s="94" t="e">
        <f t="shared" ca="1" si="110"/>
        <v>#N/A</v>
      </c>
      <c r="BM16" s="94" t="e">
        <f t="shared" ca="1" si="110"/>
        <v>#N/A</v>
      </c>
      <c r="BN16" s="94" t="e">
        <f t="shared" ca="1" si="110"/>
        <v>#N/A</v>
      </c>
      <c r="BO16" s="94" t="e">
        <f t="shared" ca="1" si="110"/>
        <v>#N/A</v>
      </c>
      <c r="BP16" s="94" t="e">
        <f t="shared" ca="1" si="110"/>
        <v>#N/A</v>
      </c>
      <c r="BQ16" s="94" t="e">
        <f t="shared" ca="1" si="110"/>
        <v>#N/A</v>
      </c>
      <c r="BR16" s="94" t="e">
        <f t="shared" ca="1" si="110"/>
        <v>#N/A</v>
      </c>
      <c r="BS16" s="94" t="e">
        <f t="shared" ca="1" si="110"/>
        <v>#N/A</v>
      </c>
      <c r="BT16" s="94" t="e">
        <f t="shared" ca="1" si="110"/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ref="CQ16:FB16" ca="1" si="111">IFERROR(AVERAGE(CO14:CQ14),NA())</f>
        <v>#N/A</v>
      </c>
      <c r="CR16" s="94" t="e">
        <f t="shared" ca="1" si="111"/>
        <v>#N/A</v>
      </c>
      <c r="CS16" s="94" t="e">
        <f t="shared" ca="1" si="111"/>
        <v>#N/A</v>
      </c>
      <c r="CT16" s="94" t="e">
        <f t="shared" ca="1" si="111"/>
        <v>#N/A</v>
      </c>
      <c r="CU16" s="94" t="e">
        <f t="shared" ca="1" si="111"/>
        <v>#N/A</v>
      </c>
      <c r="CV16" s="94" t="e">
        <f t="shared" ca="1" si="111"/>
        <v>#N/A</v>
      </c>
      <c r="CW16" s="94" t="e">
        <f t="shared" ca="1" si="111"/>
        <v>#N/A</v>
      </c>
      <c r="CX16" s="94" t="e">
        <f t="shared" ca="1" si="111"/>
        <v>#N/A</v>
      </c>
      <c r="CY16" s="94" t="e">
        <f t="shared" ca="1" si="111"/>
        <v>#N/A</v>
      </c>
      <c r="CZ16" s="94" t="e">
        <f t="shared" ca="1" si="111"/>
        <v>#N/A</v>
      </c>
      <c r="DA16" s="94" t="e">
        <f t="shared" ca="1" si="111"/>
        <v>#N/A</v>
      </c>
      <c r="DB16" s="94" t="e">
        <f t="shared" ca="1" si="111"/>
        <v>#N/A</v>
      </c>
      <c r="DC16" s="94" t="e">
        <f t="shared" ca="1" si="111"/>
        <v>#N/A</v>
      </c>
      <c r="DD16" s="94" t="e">
        <f t="shared" ca="1" si="111"/>
        <v>#N/A</v>
      </c>
      <c r="DE16" s="94" t="e">
        <f t="shared" ca="1" si="111"/>
        <v>#N/A</v>
      </c>
      <c r="DF16" s="94" t="e">
        <f t="shared" ca="1" si="111"/>
        <v>#N/A</v>
      </c>
      <c r="DG16" s="94" t="e">
        <f t="shared" ca="1" si="111"/>
        <v>#N/A</v>
      </c>
      <c r="DH16" s="94" t="e">
        <f t="shared" ca="1" si="111"/>
        <v>#N/A</v>
      </c>
      <c r="DI16" s="94" t="e">
        <f t="shared" ca="1" si="111"/>
        <v>#N/A</v>
      </c>
      <c r="DJ16" s="94" t="e">
        <f t="shared" ca="1" si="111"/>
        <v>#N/A</v>
      </c>
      <c r="DK16" s="94" t="e">
        <f t="shared" ca="1" si="111"/>
        <v>#N/A</v>
      </c>
      <c r="DL16" s="94" t="e">
        <f t="shared" ca="1" si="111"/>
        <v>#N/A</v>
      </c>
      <c r="DM16" s="94" t="e">
        <f t="shared" ca="1" si="111"/>
        <v>#N/A</v>
      </c>
      <c r="DN16" s="94" t="e">
        <f t="shared" ca="1" si="111"/>
        <v>#N/A</v>
      </c>
      <c r="DO16" s="94" t="e">
        <f t="shared" ca="1" si="111"/>
        <v>#N/A</v>
      </c>
      <c r="DP16" s="94" t="e">
        <f t="shared" ca="1" si="111"/>
        <v>#N/A</v>
      </c>
      <c r="DQ16" s="94" t="e">
        <f t="shared" ca="1" si="111"/>
        <v>#N/A</v>
      </c>
      <c r="DR16" s="94" t="e">
        <f t="shared" ca="1" si="111"/>
        <v>#N/A</v>
      </c>
      <c r="DS16" s="94" t="e">
        <f t="shared" ca="1" si="111"/>
        <v>#N/A</v>
      </c>
      <c r="DT16" s="94" t="e">
        <f t="shared" ca="1" si="111"/>
        <v>#N/A</v>
      </c>
      <c r="DU16" s="94" t="e">
        <f t="shared" ca="1" si="111"/>
        <v>#N/A</v>
      </c>
      <c r="DV16" s="94" t="e">
        <f t="shared" ca="1" si="111"/>
        <v>#N/A</v>
      </c>
      <c r="DW16" s="94" t="e">
        <f t="shared" ca="1" si="111"/>
        <v>#N/A</v>
      </c>
      <c r="DX16" s="94" t="e">
        <f t="shared" ca="1" si="111"/>
        <v>#N/A</v>
      </c>
      <c r="DY16" s="94" t="e">
        <f t="shared" ca="1" si="111"/>
        <v>#N/A</v>
      </c>
      <c r="DZ16" s="94" t="e">
        <f t="shared" ca="1" si="111"/>
        <v>#N/A</v>
      </c>
      <c r="EA16" s="94" t="e">
        <f t="shared" ca="1" si="111"/>
        <v>#N/A</v>
      </c>
      <c r="EB16" s="94" t="e">
        <f t="shared" ca="1" si="111"/>
        <v>#N/A</v>
      </c>
      <c r="EC16" s="94" t="e">
        <f t="shared" ca="1" si="111"/>
        <v>#N/A</v>
      </c>
      <c r="ED16" s="94" t="e">
        <f t="shared" ca="1" si="111"/>
        <v>#N/A</v>
      </c>
      <c r="EE16" s="94" t="e">
        <f t="shared" ca="1" si="111"/>
        <v>#N/A</v>
      </c>
      <c r="EF16" s="94" t="e">
        <f t="shared" ca="1" si="111"/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ref="FC16:HN16" ca="1" si="112">IFERROR(AVERAGE(FA14:FC14),NA())</f>
        <v>#N/A</v>
      </c>
      <c r="FD16" s="94" t="e">
        <f t="shared" ca="1" si="112"/>
        <v>#N/A</v>
      </c>
      <c r="FE16" s="94" t="e">
        <f t="shared" ca="1" si="112"/>
        <v>#N/A</v>
      </c>
      <c r="FF16" s="94" t="e">
        <f t="shared" ca="1" si="112"/>
        <v>#N/A</v>
      </c>
      <c r="FG16" s="94" t="e">
        <f t="shared" ca="1" si="112"/>
        <v>#N/A</v>
      </c>
      <c r="FH16" s="94" t="e">
        <f t="shared" ca="1" si="112"/>
        <v>#N/A</v>
      </c>
      <c r="FI16" s="94" t="e">
        <f t="shared" ca="1" si="112"/>
        <v>#N/A</v>
      </c>
      <c r="FJ16" s="94" t="e">
        <f t="shared" ca="1" si="112"/>
        <v>#N/A</v>
      </c>
      <c r="FK16" s="94" t="e">
        <f t="shared" ca="1" si="112"/>
        <v>#N/A</v>
      </c>
      <c r="FL16" s="94" t="e">
        <f t="shared" ca="1" si="112"/>
        <v>#N/A</v>
      </c>
      <c r="FM16" s="94" t="e">
        <f t="shared" ca="1" si="112"/>
        <v>#N/A</v>
      </c>
      <c r="FN16" s="94" t="e">
        <f t="shared" ca="1" si="112"/>
        <v>#N/A</v>
      </c>
      <c r="FO16" s="94" t="e">
        <f t="shared" ca="1" si="112"/>
        <v>#N/A</v>
      </c>
      <c r="FP16" s="94" t="e">
        <f t="shared" ca="1" si="112"/>
        <v>#N/A</v>
      </c>
      <c r="FQ16" s="94" t="e">
        <f t="shared" ca="1" si="112"/>
        <v>#N/A</v>
      </c>
      <c r="FR16" s="94" t="e">
        <f t="shared" ca="1" si="112"/>
        <v>#N/A</v>
      </c>
      <c r="FS16" s="94" t="e">
        <f t="shared" ca="1" si="112"/>
        <v>#N/A</v>
      </c>
      <c r="FT16" s="94" t="e">
        <f t="shared" ca="1" si="112"/>
        <v>#N/A</v>
      </c>
      <c r="FU16" s="94" t="e">
        <f t="shared" ca="1" si="112"/>
        <v>#N/A</v>
      </c>
      <c r="FV16" s="94" t="e">
        <f t="shared" ca="1" si="112"/>
        <v>#N/A</v>
      </c>
      <c r="FW16" s="94" t="e">
        <f t="shared" ca="1" si="112"/>
        <v>#N/A</v>
      </c>
      <c r="FX16" s="94" t="e">
        <f t="shared" ca="1" si="112"/>
        <v>#N/A</v>
      </c>
      <c r="FY16" s="94" t="e">
        <f t="shared" ca="1" si="112"/>
        <v>#N/A</v>
      </c>
      <c r="FZ16" s="94" t="e">
        <f t="shared" ca="1" si="112"/>
        <v>#N/A</v>
      </c>
      <c r="GA16" s="94" t="e">
        <f t="shared" ca="1" si="112"/>
        <v>#N/A</v>
      </c>
      <c r="GB16" s="94" t="e">
        <f t="shared" ca="1" si="112"/>
        <v>#N/A</v>
      </c>
      <c r="GC16" s="94" t="e">
        <f t="shared" ca="1" si="112"/>
        <v>#N/A</v>
      </c>
      <c r="GD16" s="94" t="e">
        <f t="shared" ca="1" si="112"/>
        <v>#N/A</v>
      </c>
      <c r="GE16" s="94" t="e">
        <f t="shared" ca="1" si="112"/>
        <v>#N/A</v>
      </c>
      <c r="GF16" s="94" t="e">
        <f t="shared" ca="1" si="112"/>
        <v>#N/A</v>
      </c>
      <c r="GG16" s="94" t="e">
        <f t="shared" ca="1" si="112"/>
        <v>#N/A</v>
      </c>
      <c r="GH16" s="94" t="e">
        <f t="shared" ca="1" si="112"/>
        <v>#N/A</v>
      </c>
      <c r="GI16" s="94" t="e">
        <f t="shared" ca="1" si="112"/>
        <v>#N/A</v>
      </c>
      <c r="GJ16" s="94" t="e">
        <f t="shared" ca="1" si="112"/>
        <v>#N/A</v>
      </c>
      <c r="GK16" s="94" t="e">
        <f t="shared" ca="1" si="112"/>
        <v>#N/A</v>
      </c>
      <c r="GL16" s="94" t="e">
        <f t="shared" ca="1" si="112"/>
        <v>#N/A</v>
      </c>
      <c r="GM16" s="94" t="e">
        <f t="shared" ca="1" si="112"/>
        <v>#N/A</v>
      </c>
      <c r="GN16" s="94" t="e">
        <f t="shared" ca="1" si="112"/>
        <v>#N/A</v>
      </c>
      <c r="GO16" s="94" t="e">
        <f t="shared" ca="1" si="112"/>
        <v>#N/A</v>
      </c>
      <c r="GP16" s="94" t="e">
        <f t="shared" ca="1" si="112"/>
        <v>#N/A</v>
      </c>
      <c r="GQ16" s="94" t="e">
        <f t="shared" ca="1" si="112"/>
        <v>#N/A</v>
      </c>
      <c r="GR16" s="94" t="e">
        <f t="shared" ca="1" si="112"/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ref="HO16:IN16" ca="1" si="113">IFERROR(AVERAGE(HM14:HO14),NA())</f>
        <v>#N/A</v>
      </c>
      <c r="HP16" s="94" t="e">
        <f t="shared" ca="1" si="113"/>
        <v>#N/A</v>
      </c>
      <c r="HQ16" s="94" t="e">
        <f t="shared" ca="1" si="113"/>
        <v>#N/A</v>
      </c>
      <c r="HR16" s="94" t="e">
        <f t="shared" ca="1" si="113"/>
        <v>#N/A</v>
      </c>
      <c r="HS16" s="94" t="e">
        <f t="shared" ca="1" si="113"/>
        <v>#N/A</v>
      </c>
      <c r="HT16" s="94" t="e">
        <f t="shared" ca="1" si="113"/>
        <v>#N/A</v>
      </c>
      <c r="HU16" s="94" t="e">
        <f t="shared" ca="1" si="113"/>
        <v>#N/A</v>
      </c>
      <c r="HV16" s="94" t="e">
        <f t="shared" ca="1" si="113"/>
        <v>#N/A</v>
      </c>
      <c r="HW16" s="94" t="e">
        <f t="shared" ca="1" si="113"/>
        <v>#N/A</v>
      </c>
      <c r="HX16" s="94" t="e">
        <f t="shared" ca="1" si="113"/>
        <v>#N/A</v>
      </c>
      <c r="HY16" s="94" t="e">
        <f t="shared" ca="1" si="113"/>
        <v>#N/A</v>
      </c>
      <c r="HZ16" s="94" t="e">
        <f t="shared" ca="1" si="113"/>
        <v>#N/A</v>
      </c>
      <c r="IA16" s="94" t="e">
        <f t="shared" ca="1" si="113"/>
        <v>#N/A</v>
      </c>
      <c r="IB16" s="94" t="e">
        <f t="shared" ca="1" si="113"/>
        <v>#N/A</v>
      </c>
      <c r="IC16" s="94" t="e">
        <f t="shared" ca="1" si="113"/>
        <v>#N/A</v>
      </c>
      <c r="ID16" s="94" t="e">
        <f t="shared" ca="1" si="113"/>
        <v>#N/A</v>
      </c>
      <c r="IE16" s="94" t="e">
        <f t="shared" ca="1" si="113"/>
        <v>#N/A</v>
      </c>
      <c r="IF16" s="94" t="e">
        <f t="shared" ca="1" si="113"/>
        <v>#N/A</v>
      </c>
      <c r="IG16" s="94" t="e">
        <f t="shared" ca="1" si="113"/>
        <v>#N/A</v>
      </c>
      <c r="IH16" s="94" t="e">
        <f t="shared" ca="1" si="113"/>
        <v>#N/A</v>
      </c>
      <c r="II16" s="94" t="e">
        <f t="shared" ca="1" si="113"/>
        <v>#N/A</v>
      </c>
      <c r="IJ16" s="94" t="e">
        <f t="shared" ca="1" si="113"/>
        <v>#N/A</v>
      </c>
      <c r="IK16" s="94" t="e">
        <f t="shared" ca="1" si="113"/>
        <v>#N/A</v>
      </c>
      <c r="IL16" s="94" t="e">
        <f t="shared" ca="1" si="113"/>
        <v>#N/A</v>
      </c>
      <c r="IM16" s="94" t="e">
        <f t="shared" ca="1" si="113"/>
        <v>#N/A</v>
      </c>
      <c r="IN16" s="94" t="e">
        <f t="shared" ca="1" si="113"/>
        <v>#N/A</v>
      </c>
    </row>
    <row r="17" spans="2:248" x14ac:dyDescent="0.3">
      <c r="B17" s="19" t="s">
        <v>496</v>
      </c>
      <c r="C17" s="23">
        <v>2.5000000000000001E-2</v>
      </c>
      <c r="E17" s="93" t="s">
        <v>585</v>
      </c>
      <c r="F17" s="19" t="s">
        <v>568</v>
      </c>
      <c r="G17" s="94" t="e">
        <f t="shared" ref="G17:AC17" ca="1" si="114">IFERROR(AVERAGE(E15:G15),NA())</f>
        <v>#N/A</v>
      </c>
      <c r="H17" s="94" t="e">
        <f t="shared" ca="1" si="114"/>
        <v>#N/A</v>
      </c>
      <c r="I17" s="94" t="e">
        <f t="shared" ca="1" si="114"/>
        <v>#N/A</v>
      </c>
      <c r="J17" s="94" t="e">
        <f t="shared" ca="1" si="114"/>
        <v>#N/A</v>
      </c>
      <c r="K17" s="94" t="e">
        <f t="shared" ca="1" si="114"/>
        <v>#N/A</v>
      </c>
      <c r="L17" s="94" t="e">
        <f t="shared" ca="1" si="114"/>
        <v>#N/A</v>
      </c>
      <c r="M17" s="94" t="e">
        <f t="shared" ca="1" si="114"/>
        <v>#N/A</v>
      </c>
      <c r="N17" s="94" t="e">
        <f t="shared" ca="1" si="114"/>
        <v>#N/A</v>
      </c>
      <c r="O17" s="94" t="e">
        <f t="shared" ca="1" si="114"/>
        <v>#N/A</v>
      </c>
      <c r="P17" s="94" t="e">
        <f t="shared" ca="1" si="114"/>
        <v>#N/A</v>
      </c>
      <c r="Q17" s="94" t="e">
        <f t="shared" ca="1" si="114"/>
        <v>#N/A</v>
      </c>
      <c r="R17" s="94" t="e">
        <f t="shared" ca="1" si="114"/>
        <v>#N/A</v>
      </c>
      <c r="S17" s="94" t="e">
        <f t="shared" ca="1" si="114"/>
        <v>#N/A</v>
      </c>
      <c r="T17" s="94" t="e">
        <f t="shared" ca="1" si="114"/>
        <v>#N/A</v>
      </c>
      <c r="U17" s="94" t="e">
        <f t="shared" ca="1" si="114"/>
        <v>#N/A</v>
      </c>
      <c r="V17" s="94" t="e">
        <f t="shared" ca="1" si="114"/>
        <v>#N/A</v>
      </c>
      <c r="W17" s="94" t="e">
        <f t="shared" ca="1" si="114"/>
        <v>#N/A</v>
      </c>
      <c r="X17" s="94" t="e">
        <f t="shared" ca="1" si="114"/>
        <v>#N/A</v>
      </c>
      <c r="Y17" s="94" t="e">
        <f t="shared" ca="1" si="114"/>
        <v>#N/A</v>
      </c>
      <c r="Z17" s="94" t="e">
        <f t="shared" ca="1" si="114"/>
        <v>#N/A</v>
      </c>
      <c r="AA17" s="94">
        <f t="shared" ca="1" si="114"/>
        <v>0.13145065555891181</v>
      </c>
      <c r="AB17" s="94">
        <f t="shared" ca="1" si="114"/>
        <v>0.18946895087358465</v>
      </c>
      <c r="AC17" s="94">
        <f t="shared" ca="1" si="114"/>
        <v>0.17148896473135244</v>
      </c>
      <c r="AD17" s="94">
        <f ca="1">IFERROR(AVERAGE(AB15:AD15),NA())</f>
        <v>0.1718882372912677</v>
      </c>
      <c r="AE17" s="94">
        <f t="shared" ref="AE17:CP17" ca="1" si="115">IFERROR(AVERAGE(AC15:AE15),NA())</f>
        <v>0.15545197969062649</v>
      </c>
      <c r="AF17" s="94">
        <f t="shared" ca="1" si="115"/>
        <v>0.14061832177438327</v>
      </c>
      <c r="AG17" s="94">
        <f t="shared" ca="1" si="115"/>
        <v>0.11310018747870039</v>
      </c>
      <c r="AH17" s="94">
        <f t="shared" ca="1" si="115"/>
        <v>9.0453315276804558E-2</v>
      </c>
      <c r="AI17" s="94">
        <f t="shared" ca="1" si="115"/>
        <v>7.6509259270649846E-2</v>
      </c>
      <c r="AJ17" s="94">
        <f t="shared" ca="1" si="115"/>
        <v>6.4850012105732116E-2</v>
      </c>
      <c r="AK17" s="94">
        <f t="shared" ca="1" si="115"/>
        <v>6.9818088360324035E-2</v>
      </c>
      <c r="AL17" s="94">
        <f t="shared" ca="1" si="115"/>
        <v>6.7289933981643221E-2</v>
      </c>
      <c r="AM17" s="94">
        <f t="shared" ca="1" si="115"/>
        <v>7.6854741355738929E-2</v>
      </c>
      <c r="AN17" s="94">
        <f t="shared" ca="1" si="115"/>
        <v>7.428327052737245E-2</v>
      </c>
      <c r="AO17" s="94">
        <f t="shared" ca="1" si="115"/>
        <v>6.8898405519664863E-2</v>
      </c>
      <c r="AP17" s="94">
        <f t="shared" ca="1" si="115"/>
        <v>5.3673579909939484E-2</v>
      </c>
      <c r="AQ17" s="94">
        <f t="shared" ca="1" si="115"/>
        <v>4.6888551355056908E-2</v>
      </c>
      <c r="AR17" s="94">
        <f t="shared" ca="1" si="115"/>
        <v>4.2181125651868566E-2</v>
      </c>
      <c r="AS17" s="94">
        <f t="shared" ca="1" si="115"/>
        <v>4.2462650805350798E-2</v>
      </c>
      <c r="AT17" s="94">
        <f t="shared" ca="1" si="115"/>
        <v>3.9803235550439187E-2</v>
      </c>
      <c r="AU17" s="94" t="e">
        <f t="shared" ca="1" si="115"/>
        <v>#N/A</v>
      </c>
      <c r="AV17" s="94" t="e">
        <f t="shared" ca="1" si="115"/>
        <v>#N/A</v>
      </c>
      <c r="AW17" s="94" t="e">
        <f t="shared" ca="1" si="115"/>
        <v>#N/A</v>
      </c>
      <c r="AX17" s="94" t="e">
        <f t="shared" ca="1" si="115"/>
        <v>#N/A</v>
      </c>
      <c r="AY17" s="94" t="e">
        <f t="shared" ca="1" si="115"/>
        <v>#N/A</v>
      </c>
      <c r="AZ17" s="94" t="e">
        <f t="shared" ca="1" si="115"/>
        <v>#N/A</v>
      </c>
      <c r="BA17" s="94" t="e">
        <f t="shared" ca="1" si="115"/>
        <v>#N/A</v>
      </c>
      <c r="BB17" s="94" t="e">
        <f t="shared" ca="1" si="115"/>
        <v>#N/A</v>
      </c>
      <c r="BC17" s="94" t="e">
        <f t="shared" ca="1" si="115"/>
        <v>#N/A</v>
      </c>
      <c r="BD17" s="94" t="e">
        <f t="shared" ca="1" si="115"/>
        <v>#N/A</v>
      </c>
      <c r="BE17" s="94" t="e">
        <f t="shared" ca="1" si="115"/>
        <v>#N/A</v>
      </c>
      <c r="BF17" s="94" t="e">
        <f t="shared" ca="1" si="115"/>
        <v>#N/A</v>
      </c>
      <c r="BG17" s="94" t="e">
        <f t="shared" ca="1" si="115"/>
        <v>#N/A</v>
      </c>
      <c r="BH17" s="94" t="e">
        <f t="shared" ca="1" si="115"/>
        <v>#N/A</v>
      </c>
      <c r="BI17" s="94" t="e">
        <f t="shared" ca="1" si="115"/>
        <v>#N/A</v>
      </c>
      <c r="BJ17" s="94" t="e">
        <f t="shared" ca="1" si="115"/>
        <v>#N/A</v>
      </c>
      <c r="BK17" s="94" t="e">
        <f t="shared" ca="1" si="115"/>
        <v>#N/A</v>
      </c>
      <c r="BL17" s="94" t="e">
        <f t="shared" ca="1" si="115"/>
        <v>#N/A</v>
      </c>
      <c r="BM17" s="94" t="e">
        <f t="shared" ca="1" si="115"/>
        <v>#N/A</v>
      </c>
      <c r="BN17" s="94" t="e">
        <f t="shared" ca="1" si="115"/>
        <v>#N/A</v>
      </c>
      <c r="BO17" s="94" t="e">
        <f t="shared" ca="1" si="115"/>
        <v>#N/A</v>
      </c>
      <c r="BP17" s="94" t="e">
        <f t="shared" ca="1" si="115"/>
        <v>#N/A</v>
      </c>
      <c r="BQ17" s="94" t="e">
        <f t="shared" ca="1" si="115"/>
        <v>#N/A</v>
      </c>
      <c r="BR17" s="94" t="e">
        <f t="shared" ca="1" si="115"/>
        <v>#N/A</v>
      </c>
      <c r="BS17" s="94" t="e">
        <f t="shared" ca="1" si="115"/>
        <v>#N/A</v>
      </c>
      <c r="BT17" s="94" t="e">
        <f t="shared" ca="1" si="115"/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ref="CQ17:FB17" ca="1" si="116">IFERROR(AVERAGE(CO15:CQ15),NA())</f>
        <v>#N/A</v>
      </c>
      <c r="CR17" s="94" t="e">
        <f t="shared" ca="1" si="116"/>
        <v>#N/A</v>
      </c>
      <c r="CS17" s="94" t="e">
        <f t="shared" ca="1" si="116"/>
        <v>#N/A</v>
      </c>
      <c r="CT17" s="94" t="e">
        <f t="shared" ca="1" si="116"/>
        <v>#N/A</v>
      </c>
      <c r="CU17" s="94" t="e">
        <f t="shared" ca="1" si="116"/>
        <v>#N/A</v>
      </c>
      <c r="CV17" s="94" t="e">
        <f t="shared" ca="1" si="116"/>
        <v>#N/A</v>
      </c>
      <c r="CW17" s="94" t="e">
        <f t="shared" ca="1" si="116"/>
        <v>#N/A</v>
      </c>
      <c r="CX17" s="94" t="e">
        <f t="shared" ca="1" si="116"/>
        <v>#N/A</v>
      </c>
      <c r="CY17" s="94" t="e">
        <f t="shared" ca="1" si="116"/>
        <v>#N/A</v>
      </c>
      <c r="CZ17" s="94" t="e">
        <f t="shared" ca="1" si="116"/>
        <v>#N/A</v>
      </c>
      <c r="DA17" s="94" t="e">
        <f t="shared" ca="1" si="116"/>
        <v>#N/A</v>
      </c>
      <c r="DB17" s="94" t="e">
        <f t="shared" ca="1" si="116"/>
        <v>#N/A</v>
      </c>
      <c r="DC17" s="94" t="e">
        <f t="shared" ca="1" si="116"/>
        <v>#N/A</v>
      </c>
      <c r="DD17" s="94" t="e">
        <f t="shared" ca="1" si="116"/>
        <v>#N/A</v>
      </c>
      <c r="DE17" s="94" t="e">
        <f t="shared" ca="1" si="116"/>
        <v>#N/A</v>
      </c>
      <c r="DF17" s="94" t="e">
        <f t="shared" ca="1" si="116"/>
        <v>#N/A</v>
      </c>
      <c r="DG17" s="94" t="e">
        <f t="shared" ca="1" si="116"/>
        <v>#N/A</v>
      </c>
      <c r="DH17" s="94" t="e">
        <f t="shared" ca="1" si="116"/>
        <v>#N/A</v>
      </c>
      <c r="DI17" s="94" t="e">
        <f t="shared" ca="1" si="116"/>
        <v>#N/A</v>
      </c>
      <c r="DJ17" s="94" t="e">
        <f t="shared" ca="1" si="116"/>
        <v>#N/A</v>
      </c>
      <c r="DK17" s="94" t="e">
        <f t="shared" ca="1" si="116"/>
        <v>#N/A</v>
      </c>
      <c r="DL17" s="94" t="e">
        <f t="shared" ca="1" si="116"/>
        <v>#N/A</v>
      </c>
      <c r="DM17" s="94" t="e">
        <f t="shared" ca="1" si="116"/>
        <v>#N/A</v>
      </c>
      <c r="DN17" s="94" t="e">
        <f t="shared" ca="1" si="116"/>
        <v>#N/A</v>
      </c>
      <c r="DO17" s="94" t="e">
        <f t="shared" ca="1" si="116"/>
        <v>#N/A</v>
      </c>
      <c r="DP17" s="94" t="e">
        <f t="shared" ca="1" si="116"/>
        <v>#N/A</v>
      </c>
      <c r="DQ17" s="94" t="e">
        <f t="shared" ca="1" si="116"/>
        <v>#N/A</v>
      </c>
      <c r="DR17" s="94" t="e">
        <f t="shared" ca="1" si="116"/>
        <v>#N/A</v>
      </c>
      <c r="DS17" s="94" t="e">
        <f t="shared" ca="1" si="116"/>
        <v>#N/A</v>
      </c>
      <c r="DT17" s="94" t="e">
        <f t="shared" ca="1" si="116"/>
        <v>#N/A</v>
      </c>
      <c r="DU17" s="94" t="e">
        <f t="shared" ca="1" si="116"/>
        <v>#N/A</v>
      </c>
      <c r="DV17" s="94" t="e">
        <f t="shared" ca="1" si="116"/>
        <v>#N/A</v>
      </c>
      <c r="DW17" s="94" t="e">
        <f t="shared" ca="1" si="116"/>
        <v>#N/A</v>
      </c>
      <c r="DX17" s="94" t="e">
        <f t="shared" ca="1" si="116"/>
        <v>#N/A</v>
      </c>
      <c r="DY17" s="94" t="e">
        <f t="shared" ca="1" si="116"/>
        <v>#N/A</v>
      </c>
      <c r="DZ17" s="94" t="e">
        <f t="shared" ca="1" si="116"/>
        <v>#N/A</v>
      </c>
      <c r="EA17" s="94" t="e">
        <f t="shared" ca="1" si="116"/>
        <v>#N/A</v>
      </c>
      <c r="EB17" s="94" t="e">
        <f t="shared" ca="1" si="116"/>
        <v>#N/A</v>
      </c>
      <c r="EC17" s="94" t="e">
        <f t="shared" ca="1" si="116"/>
        <v>#N/A</v>
      </c>
      <c r="ED17" s="94" t="e">
        <f t="shared" ca="1" si="116"/>
        <v>#N/A</v>
      </c>
      <c r="EE17" s="94" t="e">
        <f t="shared" ca="1" si="116"/>
        <v>#N/A</v>
      </c>
      <c r="EF17" s="94" t="e">
        <f t="shared" ca="1" si="116"/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ref="FC17:HN17" ca="1" si="117">IFERROR(AVERAGE(FA15:FC15),NA())</f>
        <v>#N/A</v>
      </c>
      <c r="FD17" s="94" t="e">
        <f t="shared" ca="1" si="117"/>
        <v>#N/A</v>
      </c>
      <c r="FE17" s="94" t="e">
        <f t="shared" ca="1" si="117"/>
        <v>#N/A</v>
      </c>
      <c r="FF17" s="94" t="e">
        <f t="shared" ca="1" si="117"/>
        <v>#N/A</v>
      </c>
      <c r="FG17" s="94" t="e">
        <f t="shared" ca="1" si="117"/>
        <v>#N/A</v>
      </c>
      <c r="FH17" s="94" t="e">
        <f t="shared" ca="1" si="117"/>
        <v>#N/A</v>
      </c>
      <c r="FI17" s="94" t="e">
        <f t="shared" ca="1" si="117"/>
        <v>#N/A</v>
      </c>
      <c r="FJ17" s="94" t="e">
        <f t="shared" ca="1" si="117"/>
        <v>#N/A</v>
      </c>
      <c r="FK17" s="94" t="e">
        <f t="shared" ca="1" si="117"/>
        <v>#N/A</v>
      </c>
      <c r="FL17" s="94" t="e">
        <f t="shared" ca="1" si="117"/>
        <v>#N/A</v>
      </c>
      <c r="FM17" s="94" t="e">
        <f t="shared" ca="1" si="117"/>
        <v>#N/A</v>
      </c>
      <c r="FN17" s="94" t="e">
        <f t="shared" ca="1" si="117"/>
        <v>#N/A</v>
      </c>
      <c r="FO17" s="94" t="e">
        <f t="shared" ca="1" si="117"/>
        <v>#N/A</v>
      </c>
      <c r="FP17" s="94" t="e">
        <f t="shared" ca="1" si="117"/>
        <v>#N/A</v>
      </c>
      <c r="FQ17" s="94" t="e">
        <f t="shared" ca="1" si="117"/>
        <v>#N/A</v>
      </c>
      <c r="FR17" s="94" t="e">
        <f t="shared" ca="1" si="117"/>
        <v>#N/A</v>
      </c>
      <c r="FS17" s="94" t="e">
        <f t="shared" ca="1" si="117"/>
        <v>#N/A</v>
      </c>
      <c r="FT17" s="94" t="e">
        <f t="shared" ca="1" si="117"/>
        <v>#N/A</v>
      </c>
      <c r="FU17" s="94" t="e">
        <f t="shared" ca="1" si="117"/>
        <v>#N/A</v>
      </c>
      <c r="FV17" s="94" t="e">
        <f t="shared" ca="1" si="117"/>
        <v>#N/A</v>
      </c>
      <c r="FW17" s="94" t="e">
        <f t="shared" ca="1" si="117"/>
        <v>#N/A</v>
      </c>
      <c r="FX17" s="94" t="e">
        <f t="shared" ca="1" si="117"/>
        <v>#N/A</v>
      </c>
      <c r="FY17" s="94" t="e">
        <f t="shared" ca="1" si="117"/>
        <v>#N/A</v>
      </c>
      <c r="FZ17" s="94" t="e">
        <f t="shared" ca="1" si="117"/>
        <v>#N/A</v>
      </c>
      <c r="GA17" s="94" t="e">
        <f t="shared" ca="1" si="117"/>
        <v>#N/A</v>
      </c>
      <c r="GB17" s="94" t="e">
        <f t="shared" ca="1" si="117"/>
        <v>#N/A</v>
      </c>
      <c r="GC17" s="94" t="e">
        <f t="shared" ca="1" si="117"/>
        <v>#N/A</v>
      </c>
      <c r="GD17" s="94" t="e">
        <f t="shared" ca="1" si="117"/>
        <v>#N/A</v>
      </c>
      <c r="GE17" s="94" t="e">
        <f t="shared" ca="1" si="117"/>
        <v>#N/A</v>
      </c>
      <c r="GF17" s="94" t="e">
        <f t="shared" ca="1" si="117"/>
        <v>#N/A</v>
      </c>
      <c r="GG17" s="94" t="e">
        <f t="shared" ca="1" si="117"/>
        <v>#N/A</v>
      </c>
      <c r="GH17" s="94" t="e">
        <f t="shared" ca="1" si="117"/>
        <v>#N/A</v>
      </c>
      <c r="GI17" s="94" t="e">
        <f t="shared" ca="1" si="117"/>
        <v>#N/A</v>
      </c>
      <c r="GJ17" s="94" t="e">
        <f t="shared" ca="1" si="117"/>
        <v>#N/A</v>
      </c>
      <c r="GK17" s="94" t="e">
        <f t="shared" ca="1" si="117"/>
        <v>#N/A</v>
      </c>
      <c r="GL17" s="94" t="e">
        <f t="shared" ca="1" si="117"/>
        <v>#N/A</v>
      </c>
      <c r="GM17" s="94" t="e">
        <f t="shared" ca="1" si="117"/>
        <v>#N/A</v>
      </c>
      <c r="GN17" s="94" t="e">
        <f t="shared" ca="1" si="117"/>
        <v>#N/A</v>
      </c>
      <c r="GO17" s="94" t="e">
        <f t="shared" ca="1" si="117"/>
        <v>#N/A</v>
      </c>
      <c r="GP17" s="94" t="e">
        <f t="shared" ca="1" si="117"/>
        <v>#N/A</v>
      </c>
      <c r="GQ17" s="94" t="e">
        <f t="shared" ca="1" si="117"/>
        <v>#N/A</v>
      </c>
      <c r="GR17" s="94" t="e">
        <f t="shared" ca="1" si="117"/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ref="HO17:IN17" ca="1" si="118">IFERROR(AVERAGE(HM15:HO15),NA())</f>
        <v>#N/A</v>
      </c>
      <c r="HP17" s="94" t="e">
        <f t="shared" ca="1" si="118"/>
        <v>#N/A</v>
      </c>
      <c r="HQ17" s="94" t="e">
        <f t="shared" ca="1" si="118"/>
        <v>#N/A</v>
      </c>
      <c r="HR17" s="94" t="e">
        <f t="shared" ca="1" si="118"/>
        <v>#N/A</v>
      </c>
      <c r="HS17" s="94" t="e">
        <f t="shared" ca="1" si="118"/>
        <v>#N/A</v>
      </c>
      <c r="HT17" s="94" t="e">
        <f t="shared" ca="1" si="118"/>
        <v>#N/A</v>
      </c>
      <c r="HU17" s="94" t="e">
        <f t="shared" ca="1" si="118"/>
        <v>#N/A</v>
      </c>
      <c r="HV17" s="94" t="e">
        <f t="shared" ca="1" si="118"/>
        <v>#N/A</v>
      </c>
      <c r="HW17" s="94" t="e">
        <f t="shared" ca="1" si="118"/>
        <v>#N/A</v>
      </c>
      <c r="HX17" s="94" t="e">
        <f t="shared" ca="1" si="118"/>
        <v>#N/A</v>
      </c>
      <c r="HY17" s="94" t="e">
        <f t="shared" ca="1" si="118"/>
        <v>#N/A</v>
      </c>
      <c r="HZ17" s="94" t="e">
        <f t="shared" ca="1" si="118"/>
        <v>#N/A</v>
      </c>
      <c r="IA17" s="94" t="e">
        <f t="shared" ca="1" si="118"/>
        <v>#N/A</v>
      </c>
      <c r="IB17" s="94" t="e">
        <f t="shared" ca="1" si="118"/>
        <v>#N/A</v>
      </c>
      <c r="IC17" s="94" t="e">
        <f t="shared" ca="1" si="118"/>
        <v>#N/A</v>
      </c>
      <c r="ID17" s="94" t="e">
        <f t="shared" ca="1" si="118"/>
        <v>#N/A</v>
      </c>
      <c r="IE17" s="94" t="e">
        <f t="shared" ca="1" si="118"/>
        <v>#N/A</v>
      </c>
      <c r="IF17" s="94" t="e">
        <f t="shared" ca="1" si="118"/>
        <v>#N/A</v>
      </c>
      <c r="IG17" s="94" t="e">
        <f t="shared" ca="1" si="118"/>
        <v>#N/A</v>
      </c>
      <c r="IH17" s="94" t="e">
        <f t="shared" ca="1" si="118"/>
        <v>#N/A</v>
      </c>
      <c r="II17" s="94" t="e">
        <f t="shared" ca="1" si="118"/>
        <v>#N/A</v>
      </c>
      <c r="IJ17" s="94" t="e">
        <f t="shared" ca="1" si="118"/>
        <v>#N/A</v>
      </c>
      <c r="IK17" s="94" t="e">
        <f t="shared" ca="1" si="118"/>
        <v>#N/A</v>
      </c>
      <c r="IL17" s="94" t="e">
        <f t="shared" ca="1" si="118"/>
        <v>#N/A</v>
      </c>
      <c r="IM17" s="94" t="e">
        <f t="shared" ca="1" si="118"/>
        <v>#N/A</v>
      </c>
      <c r="IN17" s="94" t="e">
        <f t="shared" ca="1" si="118"/>
        <v>#N/A</v>
      </c>
    </row>
    <row r="19" spans="2:248" x14ac:dyDescent="0.3">
      <c r="B19" s="19" t="s">
        <v>477</v>
      </c>
      <c r="C19" s="40">
        <f>VLOOKUP(B2,Country_Data!B:J,9,FALSE)</f>
        <v>126476461</v>
      </c>
      <c r="F19" s="19" t="s">
        <v>464</v>
      </c>
      <c r="G19" s="40">
        <f>$C$16</f>
        <v>9232.781653</v>
      </c>
      <c r="H19" s="40">
        <f t="shared" ref="H19:BS19" si="119">$C$16</f>
        <v>9232.781653</v>
      </c>
      <c r="I19" s="40">
        <f t="shared" si="119"/>
        <v>9232.781653</v>
      </c>
      <c r="J19" s="40">
        <f t="shared" si="119"/>
        <v>9232.781653</v>
      </c>
      <c r="K19" s="40">
        <f t="shared" si="119"/>
        <v>9232.781653</v>
      </c>
      <c r="L19" s="40">
        <f t="shared" si="119"/>
        <v>9232.781653</v>
      </c>
      <c r="M19" s="40">
        <f t="shared" si="119"/>
        <v>9232.781653</v>
      </c>
      <c r="N19" s="40">
        <f t="shared" si="119"/>
        <v>9232.781653</v>
      </c>
      <c r="O19" s="40">
        <f t="shared" si="119"/>
        <v>9232.781653</v>
      </c>
      <c r="P19" s="40">
        <f t="shared" si="119"/>
        <v>9232.781653</v>
      </c>
      <c r="Q19" s="40">
        <f t="shared" si="119"/>
        <v>9232.781653</v>
      </c>
      <c r="R19" s="40">
        <f t="shared" si="119"/>
        <v>9232.781653</v>
      </c>
      <c r="S19" s="40">
        <f t="shared" si="119"/>
        <v>9232.781653</v>
      </c>
      <c r="T19" s="40">
        <f t="shared" si="119"/>
        <v>9232.781653</v>
      </c>
      <c r="U19" s="40">
        <f t="shared" si="119"/>
        <v>9232.781653</v>
      </c>
      <c r="V19" s="40">
        <f t="shared" si="119"/>
        <v>9232.781653</v>
      </c>
      <c r="W19" s="40">
        <f t="shared" si="119"/>
        <v>9232.781653</v>
      </c>
      <c r="X19" s="40">
        <f t="shared" si="119"/>
        <v>9232.781653</v>
      </c>
      <c r="Y19" s="40">
        <f t="shared" si="119"/>
        <v>9232.781653</v>
      </c>
      <c r="Z19" s="40">
        <f t="shared" si="119"/>
        <v>9232.781653</v>
      </c>
      <c r="AA19" s="40">
        <f t="shared" si="119"/>
        <v>9232.781653</v>
      </c>
      <c r="AB19" s="40">
        <f t="shared" si="119"/>
        <v>9232.781653</v>
      </c>
      <c r="AC19" s="40">
        <f t="shared" si="119"/>
        <v>9232.781653</v>
      </c>
      <c r="AD19" s="40">
        <f t="shared" si="119"/>
        <v>9232.781653</v>
      </c>
      <c r="AE19" s="40">
        <f t="shared" si="119"/>
        <v>9232.781653</v>
      </c>
      <c r="AF19" s="40">
        <f t="shared" si="119"/>
        <v>9232.781653</v>
      </c>
      <c r="AG19" s="40">
        <f t="shared" si="119"/>
        <v>9232.781653</v>
      </c>
      <c r="AH19" s="40">
        <f t="shared" si="119"/>
        <v>9232.781653</v>
      </c>
      <c r="AI19" s="40">
        <f t="shared" si="119"/>
        <v>9232.781653</v>
      </c>
      <c r="AJ19" s="40">
        <f t="shared" si="119"/>
        <v>9232.781653</v>
      </c>
      <c r="AK19" s="40">
        <f t="shared" si="119"/>
        <v>9232.781653</v>
      </c>
      <c r="AL19" s="40">
        <f t="shared" si="119"/>
        <v>9232.781653</v>
      </c>
      <c r="AM19" s="40">
        <f t="shared" si="119"/>
        <v>9232.781653</v>
      </c>
      <c r="AN19" s="40">
        <f t="shared" si="119"/>
        <v>9232.781653</v>
      </c>
      <c r="AO19" s="40">
        <f t="shared" si="119"/>
        <v>9232.781653</v>
      </c>
      <c r="AP19" s="40">
        <f t="shared" si="119"/>
        <v>9232.781653</v>
      </c>
      <c r="AQ19" s="40">
        <f t="shared" si="119"/>
        <v>9232.781653</v>
      </c>
      <c r="AR19" s="40">
        <f t="shared" si="119"/>
        <v>9232.781653</v>
      </c>
      <c r="AS19" s="40">
        <f t="shared" si="119"/>
        <v>9232.781653</v>
      </c>
      <c r="AT19" s="40">
        <f t="shared" si="119"/>
        <v>9232.781653</v>
      </c>
      <c r="AU19" s="40">
        <f t="shared" si="119"/>
        <v>9232.781653</v>
      </c>
      <c r="AV19" s="40">
        <f t="shared" si="119"/>
        <v>9232.781653</v>
      </c>
      <c r="AW19" s="40">
        <f t="shared" si="119"/>
        <v>9232.781653</v>
      </c>
      <c r="AX19" s="40">
        <f t="shared" si="119"/>
        <v>9232.781653</v>
      </c>
      <c r="AY19" s="40">
        <f t="shared" si="119"/>
        <v>9232.781653</v>
      </c>
      <c r="AZ19" s="40">
        <f t="shared" si="119"/>
        <v>9232.781653</v>
      </c>
      <c r="BA19" s="40">
        <f t="shared" si="119"/>
        <v>9232.781653</v>
      </c>
      <c r="BB19" s="40">
        <f t="shared" si="119"/>
        <v>9232.781653</v>
      </c>
      <c r="BC19" s="40">
        <f t="shared" si="119"/>
        <v>9232.781653</v>
      </c>
      <c r="BD19" s="40">
        <f t="shared" si="119"/>
        <v>9232.781653</v>
      </c>
      <c r="BE19" s="40">
        <f t="shared" si="119"/>
        <v>9232.781653</v>
      </c>
      <c r="BF19" s="40">
        <f t="shared" si="119"/>
        <v>9232.781653</v>
      </c>
      <c r="BG19" s="40">
        <f t="shared" si="119"/>
        <v>9232.781653</v>
      </c>
      <c r="BH19" s="40">
        <f t="shared" si="119"/>
        <v>9232.781653</v>
      </c>
      <c r="BI19" s="40">
        <f t="shared" si="119"/>
        <v>9232.781653</v>
      </c>
      <c r="BJ19" s="40">
        <f t="shared" si="119"/>
        <v>9232.781653</v>
      </c>
      <c r="BK19" s="40">
        <f t="shared" si="119"/>
        <v>9232.781653</v>
      </c>
      <c r="BL19" s="40">
        <f t="shared" si="119"/>
        <v>9232.781653</v>
      </c>
      <c r="BM19" s="40">
        <f t="shared" si="119"/>
        <v>9232.781653</v>
      </c>
      <c r="BN19" s="40">
        <f t="shared" si="119"/>
        <v>9232.781653</v>
      </c>
      <c r="BO19" s="40">
        <f t="shared" si="119"/>
        <v>9232.781653</v>
      </c>
      <c r="BP19" s="40">
        <f t="shared" si="119"/>
        <v>9232.781653</v>
      </c>
      <c r="BQ19" s="40">
        <f t="shared" si="119"/>
        <v>9232.781653</v>
      </c>
      <c r="BR19" s="40">
        <f t="shared" si="119"/>
        <v>9232.781653</v>
      </c>
      <c r="BS19" s="40">
        <f t="shared" si="119"/>
        <v>9232.781653</v>
      </c>
      <c r="BT19" s="40">
        <f t="shared" ref="BT19:EE19" si="120">$C$16</f>
        <v>9232.781653</v>
      </c>
      <c r="BU19" s="40">
        <f t="shared" si="120"/>
        <v>9232.781653</v>
      </c>
      <c r="BV19" s="40">
        <f t="shared" si="120"/>
        <v>9232.781653</v>
      </c>
      <c r="BW19" s="40">
        <f t="shared" si="120"/>
        <v>9232.781653</v>
      </c>
      <c r="BX19" s="40">
        <f t="shared" si="120"/>
        <v>9232.781653</v>
      </c>
      <c r="BY19" s="40">
        <f t="shared" si="120"/>
        <v>9232.781653</v>
      </c>
      <c r="BZ19" s="40">
        <f t="shared" si="120"/>
        <v>9232.781653</v>
      </c>
      <c r="CA19" s="40">
        <f t="shared" si="120"/>
        <v>9232.781653</v>
      </c>
      <c r="CB19" s="40">
        <f t="shared" si="120"/>
        <v>9232.781653</v>
      </c>
      <c r="CC19" s="40">
        <f t="shared" si="120"/>
        <v>9232.781653</v>
      </c>
      <c r="CD19" s="40">
        <f t="shared" si="120"/>
        <v>9232.781653</v>
      </c>
      <c r="CE19" s="40">
        <f t="shared" si="120"/>
        <v>9232.781653</v>
      </c>
      <c r="CF19" s="40">
        <f t="shared" si="120"/>
        <v>9232.781653</v>
      </c>
      <c r="CG19" s="40">
        <f t="shared" si="120"/>
        <v>9232.781653</v>
      </c>
      <c r="CH19" s="40">
        <f t="shared" si="120"/>
        <v>9232.781653</v>
      </c>
      <c r="CI19" s="40">
        <f t="shared" si="120"/>
        <v>9232.781653</v>
      </c>
      <c r="CJ19" s="40">
        <f t="shared" si="120"/>
        <v>9232.781653</v>
      </c>
      <c r="CK19" s="40">
        <f t="shared" si="120"/>
        <v>9232.781653</v>
      </c>
      <c r="CL19" s="40">
        <f t="shared" si="120"/>
        <v>9232.781653</v>
      </c>
      <c r="CM19" s="40">
        <f t="shared" si="120"/>
        <v>9232.781653</v>
      </c>
      <c r="CN19" s="40">
        <f t="shared" si="120"/>
        <v>9232.781653</v>
      </c>
      <c r="CO19" s="40">
        <f t="shared" si="120"/>
        <v>9232.781653</v>
      </c>
      <c r="CP19" s="40">
        <f t="shared" si="120"/>
        <v>9232.781653</v>
      </c>
      <c r="CQ19" s="40">
        <f t="shared" si="120"/>
        <v>9232.781653</v>
      </c>
      <c r="CR19" s="40">
        <f t="shared" si="120"/>
        <v>9232.781653</v>
      </c>
      <c r="CS19" s="40">
        <f t="shared" si="120"/>
        <v>9232.781653</v>
      </c>
      <c r="CT19" s="40">
        <f t="shared" si="120"/>
        <v>9232.781653</v>
      </c>
      <c r="CU19" s="40">
        <f t="shared" si="120"/>
        <v>9232.781653</v>
      </c>
      <c r="CV19" s="40">
        <f t="shared" si="120"/>
        <v>9232.781653</v>
      </c>
      <c r="CW19" s="40">
        <f t="shared" si="120"/>
        <v>9232.781653</v>
      </c>
      <c r="CX19" s="40">
        <f t="shared" si="120"/>
        <v>9232.781653</v>
      </c>
      <c r="CY19" s="40">
        <f t="shared" si="120"/>
        <v>9232.781653</v>
      </c>
      <c r="CZ19" s="40">
        <f t="shared" si="120"/>
        <v>9232.781653</v>
      </c>
      <c r="DA19" s="40">
        <f t="shared" si="120"/>
        <v>9232.781653</v>
      </c>
      <c r="DB19" s="40">
        <f t="shared" si="120"/>
        <v>9232.781653</v>
      </c>
      <c r="DC19" s="40">
        <f t="shared" si="120"/>
        <v>9232.781653</v>
      </c>
      <c r="DD19" s="40">
        <f t="shared" si="120"/>
        <v>9232.781653</v>
      </c>
      <c r="DE19" s="40">
        <f t="shared" si="120"/>
        <v>9232.781653</v>
      </c>
      <c r="DF19" s="40">
        <f t="shared" si="120"/>
        <v>9232.781653</v>
      </c>
      <c r="DG19" s="40">
        <f t="shared" si="120"/>
        <v>9232.781653</v>
      </c>
      <c r="DH19" s="40">
        <f t="shared" si="120"/>
        <v>9232.781653</v>
      </c>
      <c r="DI19" s="40">
        <f t="shared" si="120"/>
        <v>9232.781653</v>
      </c>
      <c r="DJ19" s="40">
        <f t="shared" si="120"/>
        <v>9232.781653</v>
      </c>
      <c r="DK19" s="40">
        <f t="shared" si="120"/>
        <v>9232.781653</v>
      </c>
      <c r="DL19" s="40">
        <f t="shared" si="120"/>
        <v>9232.781653</v>
      </c>
      <c r="DM19" s="40">
        <f t="shared" si="120"/>
        <v>9232.781653</v>
      </c>
      <c r="DN19" s="40">
        <f t="shared" si="120"/>
        <v>9232.781653</v>
      </c>
      <c r="DO19" s="40">
        <f t="shared" si="120"/>
        <v>9232.781653</v>
      </c>
      <c r="DP19" s="40">
        <f t="shared" si="120"/>
        <v>9232.781653</v>
      </c>
      <c r="DQ19" s="40">
        <f t="shared" si="120"/>
        <v>9232.781653</v>
      </c>
      <c r="DR19" s="40">
        <f t="shared" si="120"/>
        <v>9232.781653</v>
      </c>
      <c r="DS19" s="40">
        <f t="shared" si="120"/>
        <v>9232.781653</v>
      </c>
      <c r="DT19" s="40">
        <f t="shared" si="120"/>
        <v>9232.781653</v>
      </c>
      <c r="DU19" s="40">
        <f t="shared" si="120"/>
        <v>9232.781653</v>
      </c>
      <c r="DV19" s="40">
        <f t="shared" si="120"/>
        <v>9232.781653</v>
      </c>
      <c r="DW19" s="40">
        <f t="shared" si="120"/>
        <v>9232.781653</v>
      </c>
      <c r="DX19" s="40">
        <f t="shared" si="120"/>
        <v>9232.781653</v>
      </c>
      <c r="DY19" s="40">
        <f t="shared" si="120"/>
        <v>9232.781653</v>
      </c>
      <c r="DZ19" s="40">
        <f t="shared" si="120"/>
        <v>9232.781653</v>
      </c>
      <c r="EA19" s="40">
        <f t="shared" si="120"/>
        <v>9232.781653</v>
      </c>
      <c r="EB19" s="40">
        <f t="shared" si="120"/>
        <v>9232.781653</v>
      </c>
      <c r="EC19" s="40">
        <f t="shared" si="120"/>
        <v>9232.781653</v>
      </c>
      <c r="ED19" s="40">
        <f t="shared" si="120"/>
        <v>9232.781653</v>
      </c>
      <c r="EE19" s="40">
        <f t="shared" si="120"/>
        <v>9232.781653</v>
      </c>
      <c r="EF19" s="40">
        <f t="shared" ref="EF19:GQ19" si="121">$C$16</f>
        <v>9232.781653</v>
      </c>
      <c r="EG19" s="40">
        <f t="shared" si="121"/>
        <v>9232.781653</v>
      </c>
      <c r="EH19" s="40">
        <f t="shared" si="121"/>
        <v>9232.781653</v>
      </c>
      <c r="EI19" s="40">
        <f t="shared" si="121"/>
        <v>9232.781653</v>
      </c>
      <c r="EJ19" s="40">
        <f t="shared" si="121"/>
        <v>9232.781653</v>
      </c>
      <c r="EK19" s="40">
        <f t="shared" si="121"/>
        <v>9232.781653</v>
      </c>
      <c r="EL19" s="40">
        <f t="shared" si="121"/>
        <v>9232.781653</v>
      </c>
      <c r="EM19" s="40">
        <f t="shared" si="121"/>
        <v>9232.781653</v>
      </c>
      <c r="EN19" s="40">
        <f t="shared" si="121"/>
        <v>9232.781653</v>
      </c>
      <c r="EO19" s="40">
        <f t="shared" si="121"/>
        <v>9232.781653</v>
      </c>
      <c r="EP19" s="40">
        <f t="shared" si="121"/>
        <v>9232.781653</v>
      </c>
      <c r="EQ19" s="40">
        <f t="shared" si="121"/>
        <v>9232.781653</v>
      </c>
      <c r="ER19" s="40">
        <f t="shared" si="121"/>
        <v>9232.781653</v>
      </c>
      <c r="ES19" s="40">
        <f t="shared" si="121"/>
        <v>9232.781653</v>
      </c>
      <c r="ET19" s="40">
        <f t="shared" si="121"/>
        <v>9232.781653</v>
      </c>
      <c r="EU19" s="40">
        <f t="shared" si="121"/>
        <v>9232.781653</v>
      </c>
      <c r="EV19" s="40">
        <f t="shared" si="121"/>
        <v>9232.781653</v>
      </c>
      <c r="EW19" s="40">
        <f t="shared" si="121"/>
        <v>9232.781653</v>
      </c>
      <c r="EX19" s="40">
        <f t="shared" si="121"/>
        <v>9232.781653</v>
      </c>
      <c r="EY19" s="40">
        <f t="shared" si="121"/>
        <v>9232.781653</v>
      </c>
      <c r="EZ19" s="40">
        <f t="shared" si="121"/>
        <v>9232.781653</v>
      </c>
      <c r="FA19" s="40">
        <f t="shared" si="121"/>
        <v>9232.781653</v>
      </c>
      <c r="FB19" s="40">
        <f t="shared" si="121"/>
        <v>9232.781653</v>
      </c>
      <c r="FC19" s="40">
        <f t="shared" si="121"/>
        <v>9232.781653</v>
      </c>
      <c r="FD19" s="40">
        <f t="shared" si="121"/>
        <v>9232.781653</v>
      </c>
      <c r="FE19" s="40">
        <f t="shared" si="121"/>
        <v>9232.781653</v>
      </c>
      <c r="FF19" s="40">
        <f t="shared" si="121"/>
        <v>9232.781653</v>
      </c>
      <c r="FG19" s="40">
        <f t="shared" si="121"/>
        <v>9232.781653</v>
      </c>
      <c r="FH19" s="40">
        <f t="shared" si="121"/>
        <v>9232.781653</v>
      </c>
      <c r="FI19" s="40">
        <f t="shared" si="121"/>
        <v>9232.781653</v>
      </c>
      <c r="FJ19" s="40">
        <f t="shared" si="121"/>
        <v>9232.781653</v>
      </c>
      <c r="FK19" s="40">
        <f t="shared" si="121"/>
        <v>9232.781653</v>
      </c>
      <c r="FL19" s="40">
        <f t="shared" si="121"/>
        <v>9232.781653</v>
      </c>
      <c r="FM19" s="40">
        <f t="shared" si="121"/>
        <v>9232.781653</v>
      </c>
      <c r="FN19" s="40">
        <f t="shared" si="121"/>
        <v>9232.781653</v>
      </c>
      <c r="FO19" s="40">
        <f t="shared" si="121"/>
        <v>9232.781653</v>
      </c>
      <c r="FP19" s="40">
        <f t="shared" si="121"/>
        <v>9232.781653</v>
      </c>
      <c r="FQ19" s="40">
        <f t="shared" si="121"/>
        <v>9232.781653</v>
      </c>
      <c r="FR19" s="40">
        <f t="shared" si="121"/>
        <v>9232.781653</v>
      </c>
      <c r="FS19" s="40">
        <f t="shared" si="121"/>
        <v>9232.781653</v>
      </c>
      <c r="FT19" s="40">
        <f t="shared" si="121"/>
        <v>9232.781653</v>
      </c>
      <c r="FU19" s="40">
        <f t="shared" si="121"/>
        <v>9232.781653</v>
      </c>
      <c r="FV19" s="40">
        <f t="shared" si="121"/>
        <v>9232.781653</v>
      </c>
      <c r="FW19" s="40">
        <f t="shared" si="121"/>
        <v>9232.781653</v>
      </c>
      <c r="FX19" s="40">
        <f t="shared" si="121"/>
        <v>9232.781653</v>
      </c>
      <c r="FY19" s="40">
        <f t="shared" si="121"/>
        <v>9232.781653</v>
      </c>
      <c r="FZ19" s="40">
        <f t="shared" si="121"/>
        <v>9232.781653</v>
      </c>
      <c r="GA19" s="40">
        <f t="shared" si="121"/>
        <v>9232.781653</v>
      </c>
      <c r="GB19" s="40">
        <f t="shared" si="121"/>
        <v>9232.781653</v>
      </c>
      <c r="GC19" s="40">
        <f t="shared" si="121"/>
        <v>9232.781653</v>
      </c>
      <c r="GD19" s="40">
        <f t="shared" si="121"/>
        <v>9232.781653</v>
      </c>
      <c r="GE19" s="40">
        <f t="shared" si="121"/>
        <v>9232.781653</v>
      </c>
      <c r="GF19" s="40">
        <f t="shared" si="121"/>
        <v>9232.781653</v>
      </c>
      <c r="GG19" s="40">
        <f t="shared" si="121"/>
        <v>9232.781653</v>
      </c>
      <c r="GH19" s="40">
        <f t="shared" si="121"/>
        <v>9232.781653</v>
      </c>
      <c r="GI19" s="40">
        <f t="shared" si="121"/>
        <v>9232.781653</v>
      </c>
      <c r="GJ19" s="40">
        <f t="shared" si="121"/>
        <v>9232.781653</v>
      </c>
      <c r="GK19" s="40">
        <f t="shared" si="121"/>
        <v>9232.781653</v>
      </c>
      <c r="GL19" s="40">
        <f t="shared" si="121"/>
        <v>9232.781653</v>
      </c>
      <c r="GM19" s="40">
        <f t="shared" si="121"/>
        <v>9232.781653</v>
      </c>
      <c r="GN19" s="40">
        <f t="shared" si="121"/>
        <v>9232.781653</v>
      </c>
      <c r="GO19" s="40">
        <f t="shared" si="121"/>
        <v>9232.781653</v>
      </c>
      <c r="GP19" s="40">
        <f t="shared" si="121"/>
        <v>9232.781653</v>
      </c>
      <c r="GQ19" s="40">
        <f t="shared" si="121"/>
        <v>9232.781653</v>
      </c>
      <c r="GR19" s="40">
        <f t="shared" ref="GR19:IN19" si="122">$C$16</f>
        <v>9232.781653</v>
      </c>
      <c r="GS19" s="40">
        <f t="shared" si="122"/>
        <v>9232.781653</v>
      </c>
      <c r="GT19" s="40">
        <f t="shared" si="122"/>
        <v>9232.781653</v>
      </c>
      <c r="GU19" s="40">
        <f t="shared" si="122"/>
        <v>9232.781653</v>
      </c>
      <c r="GV19" s="40">
        <f t="shared" si="122"/>
        <v>9232.781653</v>
      </c>
      <c r="GW19" s="40">
        <f t="shared" si="122"/>
        <v>9232.781653</v>
      </c>
      <c r="GX19" s="40">
        <f t="shared" si="122"/>
        <v>9232.781653</v>
      </c>
      <c r="GY19" s="40">
        <f t="shared" si="122"/>
        <v>9232.781653</v>
      </c>
      <c r="GZ19" s="40">
        <f t="shared" si="122"/>
        <v>9232.781653</v>
      </c>
      <c r="HA19" s="40">
        <f t="shared" si="122"/>
        <v>9232.781653</v>
      </c>
      <c r="HB19" s="40">
        <f t="shared" si="122"/>
        <v>9232.781653</v>
      </c>
      <c r="HC19" s="40">
        <f t="shared" si="122"/>
        <v>9232.781653</v>
      </c>
      <c r="HD19" s="40">
        <f t="shared" si="122"/>
        <v>9232.781653</v>
      </c>
      <c r="HE19" s="40">
        <f t="shared" si="122"/>
        <v>9232.781653</v>
      </c>
      <c r="HF19" s="40">
        <f t="shared" si="122"/>
        <v>9232.781653</v>
      </c>
      <c r="HG19" s="40">
        <f t="shared" si="122"/>
        <v>9232.781653</v>
      </c>
      <c r="HH19" s="40">
        <f t="shared" si="122"/>
        <v>9232.781653</v>
      </c>
      <c r="HI19" s="40">
        <f t="shared" si="122"/>
        <v>9232.781653</v>
      </c>
      <c r="HJ19" s="40">
        <f t="shared" si="122"/>
        <v>9232.781653</v>
      </c>
      <c r="HK19" s="40">
        <f t="shared" si="122"/>
        <v>9232.781653</v>
      </c>
      <c r="HL19" s="40">
        <f t="shared" si="122"/>
        <v>9232.781653</v>
      </c>
      <c r="HM19" s="40">
        <f t="shared" si="122"/>
        <v>9232.781653</v>
      </c>
      <c r="HN19" s="40">
        <f t="shared" si="122"/>
        <v>9232.781653</v>
      </c>
      <c r="HO19" s="40">
        <f t="shared" si="122"/>
        <v>9232.781653</v>
      </c>
      <c r="HP19" s="40">
        <f t="shared" si="122"/>
        <v>9232.781653</v>
      </c>
      <c r="HQ19" s="40">
        <f t="shared" si="122"/>
        <v>9232.781653</v>
      </c>
      <c r="HR19" s="40">
        <f t="shared" si="122"/>
        <v>9232.781653</v>
      </c>
      <c r="HS19" s="40">
        <f t="shared" si="122"/>
        <v>9232.781653</v>
      </c>
      <c r="HT19" s="40">
        <f t="shared" si="122"/>
        <v>9232.781653</v>
      </c>
      <c r="HU19" s="40">
        <f t="shared" si="122"/>
        <v>9232.781653</v>
      </c>
      <c r="HV19" s="40">
        <f t="shared" si="122"/>
        <v>9232.781653</v>
      </c>
      <c r="HW19" s="40">
        <f t="shared" si="122"/>
        <v>9232.781653</v>
      </c>
      <c r="HX19" s="40">
        <f t="shared" si="122"/>
        <v>9232.781653</v>
      </c>
      <c r="HY19" s="40">
        <f t="shared" si="122"/>
        <v>9232.781653</v>
      </c>
      <c r="HZ19" s="40">
        <f t="shared" si="122"/>
        <v>9232.781653</v>
      </c>
      <c r="IA19" s="40">
        <f t="shared" si="122"/>
        <v>9232.781653</v>
      </c>
      <c r="IB19" s="40">
        <f t="shared" si="122"/>
        <v>9232.781653</v>
      </c>
      <c r="IC19" s="40">
        <f t="shared" si="122"/>
        <v>9232.781653</v>
      </c>
      <c r="ID19" s="40">
        <f t="shared" si="122"/>
        <v>9232.781653</v>
      </c>
      <c r="IE19" s="40">
        <f t="shared" si="122"/>
        <v>9232.781653</v>
      </c>
      <c r="IF19" s="40">
        <f t="shared" si="122"/>
        <v>9232.781653</v>
      </c>
      <c r="IG19" s="40">
        <f t="shared" si="122"/>
        <v>9232.781653</v>
      </c>
      <c r="IH19" s="40">
        <f t="shared" si="122"/>
        <v>9232.781653</v>
      </c>
      <c r="II19" s="40">
        <f t="shared" si="122"/>
        <v>9232.781653</v>
      </c>
      <c r="IJ19" s="40">
        <f t="shared" si="122"/>
        <v>9232.781653</v>
      </c>
      <c r="IK19" s="40">
        <f t="shared" si="122"/>
        <v>9232.781653</v>
      </c>
      <c r="IL19" s="40">
        <f t="shared" si="122"/>
        <v>9232.781653</v>
      </c>
      <c r="IM19" s="40">
        <f t="shared" si="122"/>
        <v>9232.781653</v>
      </c>
      <c r="IN19" s="40">
        <f t="shared" si="122"/>
        <v>9232.781653</v>
      </c>
    </row>
    <row r="20" spans="2:248" x14ac:dyDescent="0.3">
      <c r="B20" s="19" t="s">
        <v>489</v>
      </c>
      <c r="C20" s="42">
        <v>0.4</v>
      </c>
      <c r="F20" s="19" t="s">
        <v>551</v>
      </c>
      <c r="G20" s="40">
        <f>G9*$C$15</f>
        <v>7.5268817204301071</v>
      </c>
      <c r="H20" s="40">
        <f t="shared" ref="H20:BS20" ca="1" si="123">H9*$C$15</f>
        <v>8.2437275985663074</v>
      </c>
      <c r="I20" s="40">
        <f t="shared" ca="1" si="123"/>
        <v>8.9605734767025087</v>
      </c>
      <c r="J20" s="40">
        <f t="shared" ca="1" si="123"/>
        <v>9.67741935483871</v>
      </c>
      <c r="K20" s="40">
        <f t="shared" ca="1" si="123"/>
        <v>10.394265232974909</v>
      </c>
      <c r="L20" s="40">
        <f t="shared" ca="1" si="123"/>
        <v>12.043010752688172</v>
      </c>
      <c r="M20" s="40">
        <f t="shared" ca="1" si="123"/>
        <v>14.086021505376344</v>
      </c>
      <c r="N20" s="40">
        <f t="shared" ca="1" si="123"/>
        <v>15.268817204301074</v>
      </c>
      <c r="O20" s="40">
        <f t="shared" ca="1" si="123"/>
        <v>16.335125448028673</v>
      </c>
      <c r="P20" s="40">
        <f t="shared" ca="1" si="123"/>
        <v>17.514934289127837</v>
      </c>
      <c r="Q20" s="40">
        <f t="shared" ca="1" si="123"/>
        <v>18.888888888888889</v>
      </c>
      <c r="R20" s="40">
        <f t="shared" ca="1" si="123"/>
        <v>20.319322254806124</v>
      </c>
      <c r="S20" s="40">
        <f t="shared" ca="1" si="123"/>
        <v>13.763440860215052</v>
      </c>
      <c r="T20" s="40">
        <f t="shared" ca="1" si="123"/>
        <v>13.476702508960573</v>
      </c>
      <c r="U20" s="40">
        <f t="shared" ca="1" si="123"/>
        <v>17.849462365591396</v>
      </c>
      <c r="V20" s="40">
        <f t="shared" ca="1" si="123"/>
        <v>20.071684587813618</v>
      </c>
      <c r="W20" s="40">
        <f t="shared" ca="1" si="123"/>
        <v>21.0752688172043</v>
      </c>
      <c r="X20" s="40">
        <f t="shared" ca="1" si="123"/>
        <v>19.498207885304659</v>
      </c>
      <c r="Y20" s="40">
        <f t="shared" ca="1" si="123"/>
        <v>24.301075268817204</v>
      </c>
      <c r="Z20" s="40">
        <f t="shared" ca="1" si="123"/>
        <v>27.240143369175627</v>
      </c>
      <c r="AA20" s="40">
        <f t="shared" ca="1" si="123"/>
        <v>25.949820788530463</v>
      </c>
      <c r="AB20" s="40">
        <f t="shared" ca="1" si="123"/>
        <v>28.673835125448026</v>
      </c>
      <c r="AC20" s="40">
        <f t="shared" ca="1" si="123"/>
        <v>32.186379928315411</v>
      </c>
      <c r="AD20" s="40">
        <f t="shared" ca="1" si="123"/>
        <v>32.831541218637994</v>
      </c>
      <c r="AE20" s="40">
        <f t="shared" ca="1" si="123"/>
        <v>31.03942652329749</v>
      </c>
      <c r="AF20" s="40">
        <f t="shared" ca="1" si="123"/>
        <v>27.168458781362006</v>
      </c>
      <c r="AG20" s="40">
        <f t="shared" ca="1" si="123"/>
        <v>26.379928315412187</v>
      </c>
      <c r="AH20" s="40">
        <f t="shared" ca="1" si="123"/>
        <v>25.949820788530463</v>
      </c>
      <c r="AI20" s="40">
        <f t="shared" ca="1" si="123"/>
        <v>30.107526881720428</v>
      </c>
      <c r="AJ20" s="40">
        <f t="shared" ca="1" si="123"/>
        <v>23.727598566308242</v>
      </c>
      <c r="AK20" s="40">
        <f t="shared" ca="1" si="123"/>
        <v>27.455197132616487</v>
      </c>
      <c r="AL20" s="40">
        <f t="shared" ca="1" si="123"/>
        <v>33.261648745519715</v>
      </c>
      <c r="AM20" s="40">
        <f t="shared" ca="1" si="123"/>
        <v>29.318996415770609</v>
      </c>
      <c r="AN20" s="40">
        <f t="shared" ca="1" si="123"/>
        <v>31.68458781362007</v>
      </c>
      <c r="AO20" s="40">
        <f t="shared" ca="1" si="123"/>
        <v>32.759856630824373</v>
      </c>
      <c r="AP20" s="40">
        <f t="shared" ca="1" si="123"/>
        <v>43.87096774193548</v>
      </c>
      <c r="AQ20" s="40">
        <f t="shared" ca="1" si="123"/>
        <v>54.121863799283155</v>
      </c>
      <c r="AR20" s="40">
        <f t="shared" ca="1" si="123"/>
        <v>67.45519713261649</v>
      </c>
      <c r="AS20" s="40">
        <f t="shared" ca="1" si="123"/>
        <v>63.225806451612897</v>
      </c>
      <c r="AT20" s="40">
        <f t="shared" ca="1" si="123"/>
        <v>66.8100358422939</v>
      </c>
      <c r="AU20" s="40">
        <f t="shared" ca="1" si="123"/>
        <v>77.559796799970428</v>
      </c>
      <c r="AV20" s="40">
        <f t="shared" ca="1" si="123"/>
        <v>90.039198509823208</v>
      </c>
      <c r="AW20" s="40">
        <f t="shared" ca="1" si="123"/>
        <v>104.52654084692547</v>
      </c>
      <c r="AX20" s="40">
        <f t="shared" ca="1" si="123"/>
        <v>121.34490224534798</v>
      </c>
      <c r="AY20" s="40">
        <f t="shared" ca="1" si="123"/>
        <v>140.86934458585566</v>
      </c>
      <c r="AZ20" s="40">
        <f t="shared" ca="1" si="123"/>
        <v>163.53527735285891</v>
      </c>
      <c r="BA20" s="40">
        <f t="shared" ca="1" si="123"/>
        <v>189.84816758749776</v>
      </c>
      <c r="BB20" s="40">
        <f t="shared" ca="1" si="123"/>
        <v>220.39481217598302</v>
      </c>
      <c r="BC20" s="40">
        <f t="shared" ca="1" si="123"/>
        <v>255.85642385355115</v>
      </c>
      <c r="BD20" s="40">
        <f t="shared" ca="1" si="123"/>
        <v>297.02382275158482</v>
      </c>
      <c r="BE20" s="40">
        <f t="shared" ca="1" si="123"/>
        <v>344.8150722706211</v>
      </c>
      <c r="BF20" s="40">
        <f t="shared" ca="1" si="123"/>
        <v>400.29595257223934</v>
      </c>
      <c r="BG20" s="40">
        <f t="shared" ca="1" si="123"/>
        <v>464.70372826382101</v>
      </c>
      <c r="BH20" s="40">
        <f t="shared" ca="1" si="123"/>
        <v>539.47474031310333</v>
      </c>
      <c r="BI20" s="40">
        <f t="shared" ca="1" si="123"/>
        <v>626.27643751260257</v>
      </c>
      <c r="BJ20" s="40">
        <f t="shared" ca="1" si="123"/>
        <v>727.04456181921819</v>
      </c>
      <c r="BK20" s="40">
        <f t="shared" ca="1" si="123"/>
        <v>844.02631682955848</v>
      </c>
      <c r="BL20" s="40">
        <f t="shared" ca="1" si="123"/>
        <v>979.83048207986678</v>
      </c>
      <c r="BM20" s="40">
        <f t="shared" ca="1" si="123"/>
        <v>1137.4855907564538</v>
      </c>
      <c r="BN20" s="40">
        <f t="shared" ca="1" si="123"/>
        <v>1320.5074682225431</v>
      </c>
      <c r="BO20" s="40">
        <f t="shared" ca="1" si="123"/>
        <v>1532.9776375205631</v>
      </c>
      <c r="BP20" s="40">
        <f t="shared" ca="1" si="123"/>
        <v>1779.6343403504945</v>
      </c>
      <c r="BQ20" s="40">
        <f t="shared" ca="1" si="123"/>
        <v>2065.9782033593146</v>
      </c>
      <c r="BR20" s="40">
        <f t="shared" ca="1" si="123"/>
        <v>2398.3949061778376</v>
      </c>
      <c r="BS20" s="40">
        <f t="shared" ca="1" si="123"/>
        <v>2784.297586792768</v>
      </c>
      <c r="BT20" s="40">
        <f t="shared" ref="BT20:EE20" ca="1" si="124">BT9*$C$15</f>
        <v>3232.2921599989454</v>
      </c>
      <c r="BU20" s="40">
        <f t="shared" ca="1" si="124"/>
        <v>3752.3692356553624</v>
      </c>
      <c r="BV20" s="40">
        <f t="shared" ca="1" si="124"/>
        <v>4356.1269166638085</v>
      </c>
      <c r="BW20" s="40">
        <f t="shared" ca="1" si="124"/>
        <v>5057.0294452296221</v>
      </c>
      <c r="BX20" s="40">
        <f t="shared" ca="1" si="124"/>
        <v>5870.7074654071894</v>
      </c>
      <c r="BY20" s="40">
        <f t="shared" ca="1" si="124"/>
        <v>6815.3065980067195</v>
      </c>
      <c r="BZ20" s="40">
        <f t="shared" ca="1" si="124"/>
        <v>7911.8921013401723</v>
      </c>
      <c r="CA20" s="40">
        <f t="shared" ca="1" si="124"/>
        <v>9184.9186420398364</v>
      </c>
      <c r="CB20" s="40">
        <f t="shared" ca="1" si="124"/>
        <v>10662.77565218577</v>
      </c>
      <c r="CC20" s="40">
        <f t="shared" ca="1" si="124"/>
        <v>12378.42043460885</v>
      </c>
      <c r="CD20" s="40">
        <f t="shared" ca="1" si="124"/>
        <v>14370.113135085252</v>
      </c>
      <c r="CE20" s="40">
        <f t="shared" ca="1" si="124"/>
        <v>16682.269971845159</v>
      </c>
      <c r="CF20" s="40">
        <f t="shared" ca="1" si="124"/>
        <v>19366.453750043882</v>
      </c>
      <c r="CG20" s="40">
        <f t="shared" ca="1" si="124"/>
        <v>22482.523750399716</v>
      </c>
      <c r="CH20" s="40">
        <f t="shared" ca="1" si="124"/>
        <v>26099.97063536436</v>
      </c>
      <c r="CI20" s="40">
        <f t="shared" ca="1" si="124"/>
        <v>30299.466142219491</v>
      </c>
      <c r="CJ20" s="40">
        <f t="shared" ca="1" si="124"/>
        <v>35174.662122400092</v>
      </c>
      <c r="CK20" s="40">
        <f t="shared" ca="1" si="124"/>
        <v>40834.279046950112</v>
      </c>
      <c r="CL20" s="40">
        <f t="shared" ca="1" si="124"/>
        <v>47404.530553324723</v>
      </c>
      <c r="CM20" s="40">
        <f t="shared" ca="1" si="124"/>
        <v>55031.938102723485</v>
      </c>
      <c r="CN20" s="40">
        <f t="shared" ca="1" si="124"/>
        <v>63886.598516891834</v>
      </c>
      <c r="CO20" s="40">
        <f t="shared" ca="1" si="124"/>
        <v>74165.977262874847</v>
      </c>
      <c r="CP20" s="40">
        <f t="shared" ca="1" si="124"/>
        <v>86099.312078774921</v>
      </c>
      <c r="CQ20" s="40">
        <f t="shared" ca="1" si="124"/>
        <v>99952.725144620126</v>
      </c>
      <c r="CR20" s="40">
        <f t="shared" ca="1" si="124"/>
        <v>116035.15780352947</v>
      </c>
      <c r="CS20" s="40">
        <f t="shared" ca="1" si="124"/>
        <v>134705.2601818399</v>
      </c>
      <c r="CT20" s="40">
        <f t="shared" ca="1" si="124"/>
        <v>156379.38935181286</v>
      </c>
      <c r="CU20" s="40">
        <f t="shared" ca="1" si="124"/>
        <v>181540.89440185559</v>
      </c>
      <c r="CV20" s="40">
        <f t="shared" ca="1" si="124"/>
        <v>210750.89547818102</v>
      </c>
      <c r="CW20" s="40">
        <f t="shared" ca="1" si="124"/>
        <v>244660.79717849617</v>
      </c>
      <c r="CX20" s="40">
        <f t="shared" ca="1" si="124"/>
        <v>284026.8153556406</v>
      </c>
      <c r="CY20" s="40">
        <f t="shared" ca="1" si="124"/>
        <v>329726.84128962515</v>
      </c>
      <c r="CZ20" s="40">
        <f t="shared" ca="1" si="124"/>
        <v>382780.0193115623</v>
      </c>
      <c r="DA20" s="40">
        <f t="shared" ca="1" si="124"/>
        <v>444369.47447496216</v>
      </c>
      <c r="DB20" s="40">
        <f t="shared" ca="1" si="124"/>
        <v>515868.69711824961</v>
      </c>
      <c r="DC20" s="40">
        <f t="shared" ca="1" si="124"/>
        <v>598872.17271373305</v>
      </c>
      <c r="DD20" s="40">
        <f t="shared" ca="1" si="124"/>
        <v>695230.94007128046</v>
      </c>
      <c r="DE20" s="40">
        <f t="shared" ca="1" si="124"/>
        <v>807093.8708709057</v>
      </c>
      <c r="DF20" s="40">
        <f t="shared" ca="1" si="124"/>
        <v>936955.59108833037</v>
      </c>
      <c r="DG20" s="40">
        <f t="shared" ca="1" si="124"/>
        <v>1087712.1129967051</v>
      </c>
      <c r="DH20" s="40">
        <f t="shared" ca="1" si="124"/>
        <v>1262725.4183792151</v>
      </c>
      <c r="DI20" s="40">
        <f t="shared" ca="1" si="124"/>
        <v>1465898.433205914</v>
      </c>
      <c r="DJ20" s="40">
        <f t="shared" ca="1" si="124"/>
        <v>1701762.0657654481</v>
      </c>
      <c r="DK20" s="40">
        <f t="shared" ca="1" si="124"/>
        <v>1975576.2492663004</v>
      </c>
      <c r="DL20" s="40">
        <f t="shared" ca="1" si="124"/>
        <v>2293447.2422321793</v>
      </c>
      <c r="DM20" s="40">
        <f t="shared" ca="1" si="124"/>
        <v>2662463.8025770136</v>
      </c>
      <c r="DN20" s="40">
        <f t="shared" ca="1" si="124"/>
        <v>3090855.2721419949</v>
      </c>
      <c r="DO20" s="40">
        <f t="shared" ca="1" si="124"/>
        <v>3588175.0970966029</v>
      </c>
      <c r="DP20" s="40">
        <f t="shared" ca="1" si="124"/>
        <v>3626565.189964158</v>
      </c>
      <c r="DQ20" s="40">
        <f t="shared" ca="1" si="124"/>
        <v>3626565.189964158</v>
      </c>
      <c r="DR20" s="40">
        <f t="shared" ca="1" si="124"/>
        <v>3626565.189964158</v>
      </c>
      <c r="DS20" s="40">
        <f t="shared" ca="1" si="124"/>
        <v>3626565.189964158</v>
      </c>
      <c r="DT20" s="40">
        <f t="shared" ca="1" si="124"/>
        <v>3626565.189964158</v>
      </c>
      <c r="DU20" s="40">
        <f t="shared" ca="1" si="124"/>
        <v>3626565.189964158</v>
      </c>
      <c r="DV20" s="40">
        <f t="shared" ca="1" si="124"/>
        <v>3626565.189964158</v>
      </c>
      <c r="DW20" s="40">
        <f t="shared" ca="1" si="124"/>
        <v>3626565.189964158</v>
      </c>
      <c r="DX20" s="40">
        <f t="shared" ca="1" si="124"/>
        <v>3626565.189964158</v>
      </c>
      <c r="DY20" s="40">
        <f t="shared" ca="1" si="124"/>
        <v>3626565.189964158</v>
      </c>
      <c r="DZ20" s="40">
        <f t="shared" ca="1" si="124"/>
        <v>3626565.189964158</v>
      </c>
      <c r="EA20" s="40">
        <f t="shared" ca="1" si="124"/>
        <v>3626565.189964158</v>
      </c>
      <c r="EB20" s="40">
        <f t="shared" ca="1" si="124"/>
        <v>3626565.189964158</v>
      </c>
      <c r="EC20" s="40">
        <f t="shared" ca="1" si="124"/>
        <v>3626565.189964158</v>
      </c>
      <c r="ED20" s="40">
        <f t="shared" ca="1" si="124"/>
        <v>3626565.189964158</v>
      </c>
      <c r="EE20" s="40">
        <f t="shared" ca="1" si="124"/>
        <v>3626565.189964158</v>
      </c>
      <c r="EF20" s="40">
        <f t="shared" ref="EF20:GQ20" ca="1" si="125">EF9*$C$15</f>
        <v>3626565.189964158</v>
      </c>
      <c r="EG20" s="40">
        <f t="shared" ca="1" si="125"/>
        <v>3626565.189964158</v>
      </c>
      <c r="EH20" s="40">
        <f t="shared" ca="1" si="125"/>
        <v>3626565.189964158</v>
      </c>
      <c r="EI20" s="40">
        <f t="shared" ca="1" si="125"/>
        <v>3626565.189964158</v>
      </c>
      <c r="EJ20" s="40">
        <f t="shared" ca="1" si="125"/>
        <v>3626565.189964158</v>
      </c>
      <c r="EK20" s="40">
        <f t="shared" ca="1" si="125"/>
        <v>3626565.189964158</v>
      </c>
      <c r="EL20" s="40">
        <f t="shared" ca="1" si="125"/>
        <v>3626565.189964158</v>
      </c>
      <c r="EM20" s="40">
        <f t="shared" ca="1" si="125"/>
        <v>3626565.189964158</v>
      </c>
      <c r="EN20" s="40">
        <f t="shared" ca="1" si="125"/>
        <v>3626565.189964158</v>
      </c>
      <c r="EO20" s="40">
        <f t="shared" ca="1" si="125"/>
        <v>3626565.189964158</v>
      </c>
      <c r="EP20" s="40">
        <f t="shared" ca="1" si="125"/>
        <v>3626565.189964158</v>
      </c>
      <c r="EQ20" s="40">
        <f t="shared" ca="1" si="125"/>
        <v>3626565.189964158</v>
      </c>
      <c r="ER20" s="40">
        <f t="shared" ca="1" si="125"/>
        <v>3626565.189964158</v>
      </c>
      <c r="ES20" s="40">
        <f t="shared" ca="1" si="125"/>
        <v>3626565.189964158</v>
      </c>
      <c r="ET20" s="40">
        <f t="shared" ca="1" si="125"/>
        <v>3626565.189964158</v>
      </c>
      <c r="EU20" s="40">
        <f t="shared" ca="1" si="125"/>
        <v>3626565.189964158</v>
      </c>
      <c r="EV20" s="40">
        <f t="shared" ca="1" si="125"/>
        <v>3626565.189964158</v>
      </c>
      <c r="EW20" s="40">
        <f t="shared" ca="1" si="125"/>
        <v>3626565.189964158</v>
      </c>
      <c r="EX20" s="40">
        <f t="shared" ca="1" si="125"/>
        <v>3626565.189964158</v>
      </c>
      <c r="EY20" s="40">
        <f t="shared" ca="1" si="125"/>
        <v>3626565.189964158</v>
      </c>
      <c r="EZ20" s="40">
        <f t="shared" ca="1" si="125"/>
        <v>3626565.189964158</v>
      </c>
      <c r="FA20" s="40">
        <f t="shared" ca="1" si="125"/>
        <v>3626565.189964158</v>
      </c>
      <c r="FB20" s="40">
        <f t="shared" ca="1" si="125"/>
        <v>3626565.189964158</v>
      </c>
      <c r="FC20" s="40">
        <f t="shared" ca="1" si="125"/>
        <v>3626565.189964158</v>
      </c>
      <c r="FD20" s="40">
        <f t="shared" ca="1" si="125"/>
        <v>3626565.189964158</v>
      </c>
      <c r="FE20" s="40">
        <f t="shared" ca="1" si="125"/>
        <v>3626565.189964158</v>
      </c>
      <c r="FF20" s="40">
        <f t="shared" ca="1" si="125"/>
        <v>3626565.189964158</v>
      </c>
      <c r="FG20" s="40">
        <f t="shared" ca="1" si="125"/>
        <v>3626565.189964158</v>
      </c>
      <c r="FH20" s="40">
        <f t="shared" ca="1" si="125"/>
        <v>3626565.189964158</v>
      </c>
      <c r="FI20" s="40">
        <f t="shared" ca="1" si="125"/>
        <v>3626565.189964158</v>
      </c>
      <c r="FJ20" s="40">
        <f t="shared" ca="1" si="125"/>
        <v>3626565.189964158</v>
      </c>
      <c r="FK20" s="40">
        <f t="shared" ca="1" si="125"/>
        <v>3626565.189964158</v>
      </c>
      <c r="FL20" s="40">
        <f t="shared" ca="1" si="125"/>
        <v>3626565.189964158</v>
      </c>
      <c r="FM20" s="40">
        <f t="shared" ca="1" si="125"/>
        <v>3626565.189964158</v>
      </c>
      <c r="FN20" s="40">
        <f t="shared" ca="1" si="125"/>
        <v>3626565.189964158</v>
      </c>
      <c r="FO20" s="40">
        <f t="shared" ca="1" si="125"/>
        <v>3626565.189964158</v>
      </c>
      <c r="FP20" s="40">
        <f t="shared" ca="1" si="125"/>
        <v>3626565.189964158</v>
      </c>
      <c r="FQ20" s="40">
        <f t="shared" ca="1" si="125"/>
        <v>3626565.189964158</v>
      </c>
      <c r="FR20" s="40">
        <f t="shared" ca="1" si="125"/>
        <v>3626565.189964158</v>
      </c>
      <c r="FS20" s="40">
        <f t="shared" ca="1" si="125"/>
        <v>3626565.189964158</v>
      </c>
      <c r="FT20" s="40">
        <f t="shared" ca="1" si="125"/>
        <v>3626565.189964158</v>
      </c>
      <c r="FU20" s="40">
        <f t="shared" ca="1" si="125"/>
        <v>3626565.189964158</v>
      </c>
      <c r="FV20" s="40">
        <f t="shared" ca="1" si="125"/>
        <v>3626565.189964158</v>
      </c>
      <c r="FW20" s="40">
        <f t="shared" ca="1" si="125"/>
        <v>3626565.189964158</v>
      </c>
      <c r="FX20" s="40">
        <f t="shared" ca="1" si="125"/>
        <v>3626565.189964158</v>
      </c>
      <c r="FY20" s="40">
        <f t="shared" ca="1" si="125"/>
        <v>3626565.189964158</v>
      </c>
      <c r="FZ20" s="40">
        <f t="shared" ca="1" si="125"/>
        <v>3626565.189964158</v>
      </c>
      <c r="GA20" s="40">
        <f t="shared" ca="1" si="125"/>
        <v>3626565.189964158</v>
      </c>
      <c r="GB20" s="40">
        <f t="shared" ca="1" si="125"/>
        <v>3626565.189964158</v>
      </c>
      <c r="GC20" s="40">
        <f t="shared" ca="1" si="125"/>
        <v>3626565.189964158</v>
      </c>
      <c r="GD20" s="40">
        <f t="shared" ca="1" si="125"/>
        <v>3626565.189964158</v>
      </c>
      <c r="GE20" s="40">
        <f t="shared" ca="1" si="125"/>
        <v>3626565.189964158</v>
      </c>
      <c r="GF20" s="40">
        <f t="shared" ca="1" si="125"/>
        <v>3626565.189964158</v>
      </c>
      <c r="GG20" s="40">
        <f t="shared" ca="1" si="125"/>
        <v>3626565.189964158</v>
      </c>
      <c r="GH20" s="40">
        <f t="shared" ca="1" si="125"/>
        <v>3626565.189964158</v>
      </c>
      <c r="GI20" s="40">
        <f t="shared" ca="1" si="125"/>
        <v>3626565.189964158</v>
      </c>
      <c r="GJ20" s="40">
        <f t="shared" ca="1" si="125"/>
        <v>3626565.189964158</v>
      </c>
      <c r="GK20" s="40">
        <f t="shared" ca="1" si="125"/>
        <v>3626565.189964158</v>
      </c>
      <c r="GL20" s="40">
        <f t="shared" ca="1" si="125"/>
        <v>3626565.189964158</v>
      </c>
      <c r="GM20" s="40">
        <f t="shared" ca="1" si="125"/>
        <v>3626565.189964158</v>
      </c>
      <c r="GN20" s="40">
        <f t="shared" ca="1" si="125"/>
        <v>3626565.189964158</v>
      </c>
      <c r="GO20" s="40">
        <f t="shared" ca="1" si="125"/>
        <v>3626565.189964158</v>
      </c>
      <c r="GP20" s="40">
        <f t="shared" ca="1" si="125"/>
        <v>3626565.189964158</v>
      </c>
      <c r="GQ20" s="40">
        <f t="shared" ca="1" si="125"/>
        <v>3626565.189964158</v>
      </c>
      <c r="GR20" s="40">
        <f t="shared" ref="GR20:IN20" ca="1" si="126">GR9*$C$15</f>
        <v>3626565.189964158</v>
      </c>
      <c r="GS20" s="40">
        <f t="shared" ca="1" si="126"/>
        <v>3626565.189964158</v>
      </c>
      <c r="GT20" s="40">
        <f t="shared" ca="1" si="126"/>
        <v>3626565.189964158</v>
      </c>
      <c r="GU20" s="40">
        <f t="shared" ca="1" si="126"/>
        <v>3626565.189964158</v>
      </c>
      <c r="GV20" s="40">
        <f t="shared" ca="1" si="126"/>
        <v>3626565.189964158</v>
      </c>
      <c r="GW20" s="40">
        <f t="shared" ca="1" si="126"/>
        <v>3626565.189964158</v>
      </c>
      <c r="GX20" s="40">
        <f t="shared" ca="1" si="126"/>
        <v>3626565.189964158</v>
      </c>
      <c r="GY20" s="40">
        <f t="shared" ca="1" si="126"/>
        <v>3626565.189964158</v>
      </c>
      <c r="GZ20" s="40">
        <f t="shared" ca="1" si="126"/>
        <v>3626565.189964158</v>
      </c>
      <c r="HA20" s="40">
        <f t="shared" ca="1" si="126"/>
        <v>3626565.189964158</v>
      </c>
      <c r="HB20" s="40">
        <f t="shared" ca="1" si="126"/>
        <v>3626565.189964158</v>
      </c>
      <c r="HC20" s="40">
        <f t="shared" ca="1" si="126"/>
        <v>3626565.189964158</v>
      </c>
      <c r="HD20" s="40">
        <f t="shared" ca="1" si="126"/>
        <v>3626565.189964158</v>
      </c>
      <c r="HE20" s="40">
        <f t="shared" ca="1" si="126"/>
        <v>3626565.189964158</v>
      </c>
      <c r="HF20" s="40">
        <f t="shared" ca="1" si="126"/>
        <v>3626565.189964158</v>
      </c>
      <c r="HG20" s="40">
        <f t="shared" ca="1" si="126"/>
        <v>3626565.189964158</v>
      </c>
      <c r="HH20" s="40">
        <f t="shared" ca="1" si="126"/>
        <v>3626565.189964158</v>
      </c>
      <c r="HI20" s="40">
        <f t="shared" ca="1" si="126"/>
        <v>3626565.189964158</v>
      </c>
      <c r="HJ20" s="40">
        <f t="shared" ca="1" si="126"/>
        <v>3626565.189964158</v>
      </c>
      <c r="HK20" s="40">
        <f t="shared" ca="1" si="126"/>
        <v>3626565.189964158</v>
      </c>
      <c r="HL20" s="40">
        <f t="shared" ca="1" si="126"/>
        <v>3626565.189964158</v>
      </c>
      <c r="HM20" s="40">
        <f t="shared" ca="1" si="126"/>
        <v>3626565.189964158</v>
      </c>
      <c r="HN20" s="40">
        <f t="shared" ca="1" si="126"/>
        <v>3626565.189964158</v>
      </c>
      <c r="HO20" s="40">
        <f t="shared" ca="1" si="126"/>
        <v>3626565.189964158</v>
      </c>
      <c r="HP20" s="40">
        <f t="shared" ca="1" si="126"/>
        <v>3626565.189964158</v>
      </c>
      <c r="HQ20" s="40">
        <f t="shared" ca="1" si="126"/>
        <v>3626565.189964158</v>
      </c>
      <c r="HR20" s="40">
        <f t="shared" ca="1" si="126"/>
        <v>3626565.189964158</v>
      </c>
      <c r="HS20" s="40">
        <f t="shared" ca="1" si="126"/>
        <v>3626565.189964158</v>
      </c>
      <c r="HT20" s="40">
        <f t="shared" ca="1" si="126"/>
        <v>3626565.189964158</v>
      </c>
      <c r="HU20" s="40">
        <f t="shared" ca="1" si="126"/>
        <v>3626565.189964158</v>
      </c>
      <c r="HV20" s="40">
        <f t="shared" ca="1" si="126"/>
        <v>3626565.189964158</v>
      </c>
      <c r="HW20" s="40">
        <f t="shared" ca="1" si="126"/>
        <v>3626565.189964158</v>
      </c>
      <c r="HX20" s="40">
        <f t="shared" ca="1" si="126"/>
        <v>3626565.189964158</v>
      </c>
      <c r="HY20" s="40">
        <f t="shared" ca="1" si="126"/>
        <v>3626565.189964158</v>
      </c>
      <c r="HZ20" s="40">
        <f t="shared" ca="1" si="126"/>
        <v>3626565.189964158</v>
      </c>
      <c r="IA20" s="40">
        <f t="shared" ca="1" si="126"/>
        <v>3626565.189964158</v>
      </c>
      <c r="IB20" s="40">
        <f t="shared" ca="1" si="126"/>
        <v>3626565.189964158</v>
      </c>
      <c r="IC20" s="40">
        <f t="shared" ca="1" si="126"/>
        <v>3626565.189964158</v>
      </c>
      <c r="ID20" s="40">
        <f t="shared" ca="1" si="126"/>
        <v>3626565.189964158</v>
      </c>
      <c r="IE20" s="40">
        <f t="shared" ca="1" si="126"/>
        <v>3626565.189964158</v>
      </c>
      <c r="IF20" s="40">
        <f t="shared" ca="1" si="126"/>
        <v>3626565.189964158</v>
      </c>
      <c r="IG20" s="40">
        <f t="shared" ca="1" si="126"/>
        <v>3626565.189964158</v>
      </c>
      <c r="IH20" s="40">
        <f t="shared" ca="1" si="126"/>
        <v>3626565.189964158</v>
      </c>
      <c r="II20" s="40">
        <f t="shared" ca="1" si="126"/>
        <v>3626565.189964158</v>
      </c>
      <c r="IJ20" s="40">
        <f t="shared" ca="1" si="126"/>
        <v>3626565.189964158</v>
      </c>
      <c r="IK20" s="40">
        <f t="shared" ca="1" si="126"/>
        <v>3626565.189964158</v>
      </c>
      <c r="IL20" s="40">
        <f t="shared" ca="1" si="126"/>
        <v>3626565.189964158</v>
      </c>
      <c r="IM20" s="40">
        <f t="shared" ca="1" si="126"/>
        <v>3626565.189964158</v>
      </c>
      <c r="IN20" s="40">
        <f t="shared" ca="1" si="126"/>
        <v>3626565.189964158</v>
      </c>
    </row>
    <row r="21" spans="2:248" x14ac:dyDescent="0.3">
      <c r="B21" s="19" t="s">
        <v>490</v>
      </c>
      <c r="C21" s="40">
        <f>C20*C19</f>
        <v>50590584.400000006</v>
      </c>
      <c r="F21" s="19" t="s">
        <v>492</v>
      </c>
      <c r="G21" s="40">
        <f>G10*$C$15</f>
        <v>7.5268817204301071</v>
      </c>
      <c r="H21" s="40">
        <f t="shared" ref="H21:BS22" ca="1" si="127">H10*$C$15</f>
        <v>8.2437275985663074</v>
      </c>
      <c r="I21" s="40">
        <f t="shared" ca="1" si="127"/>
        <v>8.9605734767025087</v>
      </c>
      <c r="J21" s="40">
        <f t="shared" ca="1" si="127"/>
        <v>9.67741935483871</v>
      </c>
      <c r="K21" s="40">
        <f t="shared" ca="1" si="127"/>
        <v>10.394265232974909</v>
      </c>
      <c r="L21" s="40">
        <f t="shared" ca="1" si="127"/>
        <v>12.043010752688172</v>
      </c>
      <c r="M21" s="40">
        <f t="shared" ca="1" si="127"/>
        <v>14.086021505376344</v>
      </c>
      <c r="N21" s="40">
        <f t="shared" ca="1" si="127"/>
        <v>15.268817204301074</v>
      </c>
      <c r="O21" s="40">
        <f t="shared" ca="1" si="127"/>
        <v>16.335125448028673</v>
      </c>
      <c r="P21" s="40">
        <f t="shared" ca="1" si="127"/>
        <v>17.514934289127837</v>
      </c>
      <c r="Q21" s="40">
        <f t="shared" ca="1" si="127"/>
        <v>18.888888888888889</v>
      </c>
      <c r="R21" s="40">
        <f t="shared" ca="1" si="127"/>
        <v>20.319322254806124</v>
      </c>
      <c r="S21" s="40">
        <f t="shared" ca="1" si="127"/>
        <v>13.763440860215052</v>
      </c>
      <c r="T21" s="40">
        <f t="shared" ca="1" si="127"/>
        <v>13.476702508960573</v>
      </c>
      <c r="U21" s="40">
        <f t="shared" ca="1" si="127"/>
        <v>17.849462365591396</v>
      </c>
      <c r="V21" s="40">
        <f t="shared" ca="1" si="127"/>
        <v>20.071684587813618</v>
      </c>
      <c r="W21" s="40">
        <f t="shared" ca="1" si="127"/>
        <v>21.0752688172043</v>
      </c>
      <c r="X21" s="40">
        <f t="shared" ca="1" si="127"/>
        <v>19.498207885304659</v>
      </c>
      <c r="Y21" s="40">
        <f t="shared" ca="1" si="127"/>
        <v>24.301075268817204</v>
      </c>
      <c r="Z21" s="40">
        <f t="shared" ca="1" si="127"/>
        <v>27.240143369175627</v>
      </c>
      <c r="AA21" s="40">
        <f t="shared" ca="1" si="127"/>
        <v>25.949820788530463</v>
      </c>
      <c r="AB21" s="40">
        <f t="shared" ca="1" si="127"/>
        <v>28.673835125448026</v>
      </c>
      <c r="AC21" s="40">
        <f t="shared" ca="1" si="127"/>
        <v>32.186379928315411</v>
      </c>
      <c r="AD21" s="40">
        <f t="shared" ca="1" si="127"/>
        <v>32.831541218637994</v>
      </c>
      <c r="AE21" s="40">
        <f t="shared" ca="1" si="127"/>
        <v>31.03942652329749</v>
      </c>
      <c r="AF21" s="40">
        <f t="shared" ca="1" si="127"/>
        <v>27.168458781362006</v>
      </c>
      <c r="AG21" s="40">
        <f t="shared" ca="1" si="127"/>
        <v>26.379928315412187</v>
      </c>
      <c r="AH21" s="40">
        <f t="shared" ca="1" si="127"/>
        <v>25.949820788530463</v>
      </c>
      <c r="AI21" s="40">
        <f t="shared" ca="1" si="127"/>
        <v>30.107526881720428</v>
      </c>
      <c r="AJ21" s="40">
        <f t="shared" ca="1" si="127"/>
        <v>23.727598566308242</v>
      </c>
      <c r="AK21" s="40">
        <f t="shared" ca="1" si="127"/>
        <v>27.455197132616487</v>
      </c>
      <c r="AL21" s="40">
        <f t="shared" ca="1" si="127"/>
        <v>33.261648745519715</v>
      </c>
      <c r="AM21" s="40">
        <f t="shared" ca="1" si="127"/>
        <v>29.318996415770609</v>
      </c>
      <c r="AN21" s="40">
        <f t="shared" ca="1" si="127"/>
        <v>31.68458781362007</v>
      </c>
      <c r="AO21" s="40">
        <f t="shared" ca="1" si="127"/>
        <v>32.759856630824373</v>
      </c>
      <c r="AP21" s="40">
        <f t="shared" ca="1" si="127"/>
        <v>43.87096774193548</v>
      </c>
      <c r="AQ21" s="40">
        <f t="shared" ca="1" si="127"/>
        <v>54.121863799283155</v>
      </c>
      <c r="AR21" s="40">
        <f t="shared" ca="1" si="127"/>
        <v>67.45519713261649</v>
      </c>
      <c r="AS21" s="40">
        <f t="shared" ca="1" si="127"/>
        <v>63.225806451612897</v>
      </c>
      <c r="AT21" s="40">
        <f t="shared" ca="1" si="127"/>
        <v>66.8100358422939</v>
      </c>
      <c r="AU21" s="40">
        <f t="shared" ca="1" si="127"/>
        <v>73.491039426523301</v>
      </c>
      <c r="AV21" s="40">
        <f t="shared" ca="1" si="127"/>
        <v>80.840143369175635</v>
      </c>
      <c r="AW21" s="40">
        <f t="shared" ca="1" si="127"/>
        <v>88.924157706093212</v>
      </c>
      <c r="AX21" s="40">
        <f t="shared" ca="1" si="127"/>
        <v>97.816573476702544</v>
      </c>
      <c r="AY21" s="40">
        <f t="shared" ca="1" si="127"/>
        <v>107.59823082437281</v>
      </c>
      <c r="AZ21" s="40">
        <f t="shared" ca="1" si="127"/>
        <v>118.35805390681008</v>
      </c>
      <c r="BA21" s="40">
        <f t="shared" ca="1" si="127"/>
        <v>130.19385929749112</v>
      </c>
      <c r="BB21" s="40">
        <f t="shared" ca="1" si="127"/>
        <v>143.21324522724024</v>
      </c>
      <c r="BC21" s="40">
        <f t="shared" ca="1" si="127"/>
        <v>157.53456974996428</v>
      </c>
      <c r="BD21" s="40">
        <f t="shared" ca="1" si="127"/>
        <v>173.28802672496073</v>
      </c>
      <c r="BE21" s="40">
        <f t="shared" ca="1" si="127"/>
        <v>190.61682939745683</v>
      </c>
      <c r="BF21" s="40">
        <f t="shared" ca="1" si="127"/>
        <v>209.67851233720253</v>
      </c>
      <c r="BG21" s="40">
        <f t="shared" ca="1" si="127"/>
        <v>230.64636357092283</v>
      </c>
      <c r="BH21" s="40">
        <f t="shared" ca="1" si="127"/>
        <v>253.71099992801513</v>
      </c>
      <c r="BI21" s="40">
        <f t="shared" ca="1" si="127"/>
        <v>279.08209992081663</v>
      </c>
      <c r="BJ21" s="40">
        <f t="shared" ca="1" si="127"/>
        <v>306.99030991289828</v>
      </c>
      <c r="BK21" s="40">
        <f t="shared" ca="1" si="127"/>
        <v>337.68934090418816</v>
      </c>
      <c r="BL21" s="40">
        <f t="shared" ca="1" si="127"/>
        <v>371.45827499460705</v>
      </c>
      <c r="BM21" s="40">
        <f t="shared" ca="1" si="127"/>
        <v>408.60410249406777</v>
      </c>
      <c r="BN21" s="40">
        <f t="shared" ca="1" si="127"/>
        <v>449.46451274347459</v>
      </c>
      <c r="BO21" s="40">
        <f t="shared" ca="1" si="127"/>
        <v>494.41096401782204</v>
      </c>
      <c r="BP21" s="40">
        <f t="shared" ca="1" si="127"/>
        <v>543.8520604196043</v>
      </c>
      <c r="BQ21" s="40">
        <f t="shared" ca="1" si="127"/>
        <v>598.23726646156479</v>
      </c>
      <c r="BR21" s="40">
        <f t="shared" ca="1" si="127"/>
        <v>658.0609931077214</v>
      </c>
      <c r="BS21" s="40">
        <f t="shared" ca="1" si="127"/>
        <v>723.86709241849348</v>
      </c>
      <c r="BT21" s="40">
        <f t="shared" ref="BT21:EE23" ca="1" si="128">BT10*$C$15</f>
        <v>796.2538016603429</v>
      </c>
      <c r="BU21" s="40">
        <f t="shared" ca="1" si="128"/>
        <v>875.87918182637736</v>
      </c>
      <c r="BV21" s="40">
        <f t="shared" ca="1" si="128"/>
        <v>963.4671000090151</v>
      </c>
      <c r="BW21" s="40">
        <f t="shared" ca="1" si="128"/>
        <v>1059.8138100099168</v>
      </c>
      <c r="BX21" s="40">
        <f t="shared" ca="1" si="128"/>
        <v>1165.7951910109086</v>
      </c>
      <c r="BY21" s="40">
        <f t="shared" ca="1" si="128"/>
        <v>1282.3747101119995</v>
      </c>
      <c r="BZ21" s="40">
        <f t="shared" ca="1" si="128"/>
        <v>1410.6121811231997</v>
      </c>
      <c r="CA21" s="40">
        <f t="shared" ca="1" si="128"/>
        <v>1551.6733992355196</v>
      </c>
      <c r="CB21" s="40">
        <f t="shared" ca="1" si="128"/>
        <v>1706.840739159072</v>
      </c>
      <c r="CC21" s="40">
        <f t="shared" ca="1" si="128"/>
        <v>1877.5248130749792</v>
      </c>
      <c r="CD21" s="40">
        <f t="shared" ca="1" si="128"/>
        <v>2065.2772943824771</v>
      </c>
      <c r="CE21" s="40">
        <f t="shared" ca="1" si="128"/>
        <v>2271.8050238207247</v>
      </c>
      <c r="CF21" s="40">
        <f t="shared" ca="1" si="128"/>
        <v>2498.9855262027977</v>
      </c>
      <c r="CG21" s="40">
        <f t="shared" ca="1" si="128"/>
        <v>2748.8840788230773</v>
      </c>
      <c r="CH21" s="40">
        <f t="shared" ca="1" si="128"/>
        <v>3023.7724867053853</v>
      </c>
      <c r="CI21" s="40">
        <f t="shared" ca="1" si="128"/>
        <v>3326.1497353759241</v>
      </c>
      <c r="CJ21" s="40">
        <f t="shared" ca="1" si="128"/>
        <v>3658.7647089135171</v>
      </c>
      <c r="CK21" s="40">
        <f t="shared" ca="1" si="128"/>
        <v>4024.6411798048694</v>
      </c>
      <c r="CL21" s="40">
        <f t="shared" ca="1" si="128"/>
        <v>4427.105297785356</v>
      </c>
      <c r="CM21" s="40">
        <f t="shared" ca="1" si="128"/>
        <v>4869.8158275638925</v>
      </c>
      <c r="CN21" s="40">
        <f t="shared" ca="1" si="128"/>
        <v>5356.7974103202823</v>
      </c>
      <c r="CO21" s="40">
        <f t="shared" ca="1" si="128"/>
        <v>5892.4771513523101</v>
      </c>
      <c r="CP21" s="40">
        <f t="shared" ca="1" si="128"/>
        <v>6481.7248664875424</v>
      </c>
      <c r="CQ21" s="40">
        <f t="shared" ca="1" si="128"/>
        <v>7129.8973531362972</v>
      </c>
      <c r="CR21" s="40">
        <f t="shared" ca="1" si="128"/>
        <v>7842.8870884499274</v>
      </c>
      <c r="CS21" s="40">
        <f t="shared" ca="1" si="128"/>
        <v>8627.1757972949217</v>
      </c>
      <c r="CT21" s="40">
        <f t="shared" ca="1" si="128"/>
        <v>9489.893377024413</v>
      </c>
      <c r="CU21" s="40">
        <f t="shared" ca="1" si="128"/>
        <v>10438.882714726855</v>
      </c>
      <c r="CV21" s="40">
        <f t="shared" ca="1" si="128"/>
        <v>11482.770986199541</v>
      </c>
      <c r="CW21" s="40">
        <f t="shared" ca="1" si="128"/>
        <v>12631.048084819497</v>
      </c>
      <c r="CX21" s="40">
        <f t="shared" ca="1" si="128"/>
        <v>13894.152893301447</v>
      </c>
      <c r="CY21" s="40">
        <f t="shared" ca="1" si="128"/>
        <v>15283.568182631594</v>
      </c>
      <c r="CZ21" s="40">
        <f t="shared" ca="1" si="128"/>
        <v>16811.925000894753</v>
      </c>
      <c r="DA21" s="40">
        <f t="shared" ca="1" si="128"/>
        <v>18493.11750098423</v>
      </c>
      <c r="DB21" s="40">
        <f t="shared" ca="1" si="128"/>
        <v>20342.429251082656</v>
      </c>
      <c r="DC21" s="40">
        <f t="shared" ca="1" si="128"/>
        <v>22376.672176190925</v>
      </c>
      <c r="DD21" s="40">
        <f t="shared" ca="1" si="128"/>
        <v>24614.339393810016</v>
      </c>
      <c r="DE21" s="40">
        <f t="shared" ca="1" si="128"/>
        <v>27075.77333319102</v>
      </c>
      <c r="DF21" s="40">
        <f t="shared" ca="1" si="128"/>
        <v>29783.350666510127</v>
      </c>
      <c r="DG21" s="40">
        <f t="shared" ca="1" si="128"/>
        <v>32761.685733161143</v>
      </c>
      <c r="DH21" s="40">
        <f t="shared" ca="1" si="128"/>
        <v>36037.85430647726</v>
      </c>
      <c r="DI21" s="40">
        <f t="shared" ca="1" si="128"/>
        <v>39641.639737124991</v>
      </c>
      <c r="DJ21" s="40">
        <f t="shared" ca="1" si="128"/>
        <v>43605.803710837492</v>
      </c>
      <c r="DK21" s="40">
        <f t="shared" ca="1" si="128"/>
        <v>47966.384081921242</v>
      </c>
      <c r="DL21" s="40">
        <f t="shared" ca="1" si="128"/>
        <v>52763.02249011337</v>
      </c>
      <c r="DM21" s="40">
        <f t="shared" ca="1" si="128"/>
        <v>58039.324739124713</v>
      </c>
      <c r="DN21" s="40">
        <f t="shared" ca="1" si="128"/>
        <v>63843.257213037185</v>
      </c>
      <c r="DO21" s="40">
        <f t="shared" ca="1" si="128"/>
        <v>70227.582934340913</v>
      </c>
      <c r="DP21" s="40">
        <f t="shared" ca="1" si="128"/>
        <v>77250.341227775003</v>
      </c>
      <c r="DQ21" s="40">
        <f t="shared" ca="1" si="128"/>
        <v>84975.375350552509</v>
      </c>
      <c r="DR21" s="40">
        <f t="shared" ca="1" si="128"/>
        <v>93472.912885607773</v>
      </c>
      <c r="DS21" s="40">
        <f t="shared" ca="1" si="128"/>
        <v>102820.20417416855</v>
      </c>
      <c r="DT21" s="40">
        <f t="shared" ca="1" si="128"/>
        <v>113102.22459158541</v>
      </c>
      <c r="DU21" s="40">
        <f t="shared" ca="1" si="128"/>
        <v>124412.44705074395</v>
      </c>
      <c r="DV21" s="40">
        <f t="shared" ca="1" si="128"/>
        <v>136853.69175581838</v>
      </c>
      <c r="DW21" s="40">
        <f t="shared" ca="1" si="128"/>
        <v>150539.06093140022</v>
      </c>
      <c r="DX21" s="40">
        <f t="shared" ca="1" si="128"/>
        <v>165592.96702454027</v>
      </c>
      <c r="DY21" s="40">
        <f t="shared" ca="1" si="128"/>
        <v>182152.26372699428</v>
      </c>
      <c r="DZ21" s="40">
        <f t="shared" ca="1" si="128"/>
        <v>200367.49009969374</v>
      </c>
      <c r="EA21" s="40">
        <f t="shared" ca="1" si="128"/>
        <v>220404.23910966312</v>
      </c>
      <c r="EB21" s="40">
        <f t="shared" ca="1" si="128"/>
        <v>242444.66302062944</v>
      </c>
      <c r="EC21" s="40">
        <f t="shared" ca="1" si="128"/>
        <v>266689.1293226924</v>
      </c>
      <c r="ED21" s="40">
        <f t="shared" ca="1" si="128"/>
        <v>293358.04225496168</v>
      </c>
      <c r="EE21" s="40">
        <f t="shared" ca="1" si="128"/>
        <v>322693.84648045793</v>
      </c>
      <c r="EF21" s="40">
        <f t="shared" ref="EF21:GQ23" ca="1" si="129">EF10*$C$15</f>
        <v>354963.23112850374</v>
      </c>
      <c r="EG21" s="40">
        <f t="shared" ca="1" si="129"/>
        <v>390459.55424135417</v>
      </c>
      <c r="EH21" s="40">
        <f t="shared" ca="1" si="129"/>
        <v>429505.5096654896</v>
      </c>
      <c r="EI21" s="40">
        <f t="shared" ca="1" si="129"/>
        <v>472456.06063203863</v>
      </c>
      <c r="EJ21" s="40">
        <f t="shared" ca="1" si="129"/>
        <v>519701.66669524257</v>
      </c>
      <c r="EK21" s="40">
        <f t="shared" ca="1" si="129"/>
        <v>571671.83336476679</v>
      </c>
      <c r="EL21" s="40">
        <f t="shared" ca="1" si="129"/>
        <v>628839.01670124347</v>
      </c>
      <c r="EM21" s="40">
        <f t="shared" ca="1" si="129"/>
        <v>691722.91837136785</v>
      </c>
      <c r="EN21" s="40">
        <f t="shared" ca="1" si="129"/>
        <v>760895.21020850481</v>
      </c>
      <c r="EO21" s="40">
        <f t="shared" ca="1" si="129"/>
        <v>836984.73122935533</v>
      </c>
      <c r="EP21" s="40">
        <f t="shared" ca="1" si="129"/>
        <v>920683.20435229095</v>
      </c>
      <c r="EQ21" s="40">
        <f t="shared" ca="1" si="129"/>
        <v>1012751.5247875202</v>
      </c>
      <c r="ER21" s="40">
        <f t="shared" ca="1" si="129"/>
        <v>1114026.6772662723</v>
      </c>
      <c r="ES21" s="40">
        <f t="shared" ca="1" si="129"/>
        <v>1225429.3449928998</v>
      </c>
      <c r="ET21" s="40">
        <f t="shared" ca="1" si="129"/>
        <v>1347972.2794921899</v>
      </c>
      <c r="EU21" s="40">
        <f t="shared" ca="1" si="129"/>
        <v>1482769.5074414089</v>
      </c>
      <c r="EV21" s="40">
        <f t="shared" ca="1" si="129"/>
        <v>1631046.4581855501</v>
      </c>
      <c r="EW21" s="40">
        <f t="shared" ca="1" si="129"/>
        <v>1794151.1040041053</v>
      </c>
      <c r="EX21" s="40">
        <f t="shared" ca="1" si="129"/>
        <v>1973566.2144045159</v>
      </c>
      <c r="EY21" s="40">
        <f t="shared" ca="1" si="129"/>
        <v>2170922.8358449675</v>
      </c>
      <c r="EZ21" s="40">
        <f t="shared" ca="1" si="129"/>
        <v>2388015.1194294645</v>
      </c>
      <c r="FA21" s="40">
        <f t="shared" ca="1" si="129"/>
        <v>2626816.6313724113</v>
      </c>
      <c r="FB21" s="40">
        <f t="shared" ca="1" si="129"/>
        <v>2889498.2945096525</v>
      </c>
      <c r="FC21" s="40">
        <f t="shared" ca="1" si="129"/>
        <v>3178448.1239606175</v>
      </c>
      <c r="FD21" s="40">
        <f t="shared" ca="1" si="129"/>
        <v>3496292.9363566795</v>
      </c>
      <c r="FE21" s="40">
        <f t="shared" ca="1" si="129"/>
        <v>3626565.189964158</v>
      </c>
      <c r="FF21" s="40">
        <f t="shared" ca="1" si="129"/>
        <v>3626565.189964158</v>
      </c>
      <c r="FG21" s="40">
        <f t="shared" ca="1" si="129"/>
        <v>3626565.189964158</v>
      </c>
      <c r="FH21" s="40">
        <f t="shared" ca="1" si="129"/>
        <v>3626565.189964158</v>
      </c>
      <c r="FI21" s="40">
        <f t="shared" ca="1" si="129"/>
        <v>3626565.189964158</v>
      </c>
      <c r="FJ21" s="40">
        <f t="shared" ca="1" si="129"/>
        <v>3626565.189964158</v>
      </c>
      <c r="FK21" s="40">
        <f t="shared" ca="1" si="129"/>
        <v>3626565.189964158</v>
      </c>
      <c r="FL21" s="40">
        <f t="shared" ca="1" si="129"/>
        <v>3626565.189964158</v>
      </c>
      <c r="FM21" s="40">
        <f t="shared" ca="1" si="129"/>
        <v>3626565.189964158</v>
      </c>
      <c r="FN21" s="40">
        <f t="shared" ca="1" si="129"/>
        <v>3626565.189964158</v>
      </c>
      <c r="FO21" s="40">
        <f t="shared" ca="1" si="129"/>
        <v>3626565.189964158</v>
      </c>
      <c r="FP21" s="40">
        <f t="shared" ca="1" si="129"/>
        <v>3626565.189964158</v>
      </c>
      <c r="FQ21" s="40">
        <f t="shared" ca="1" si="129"/>
        <v>3626565.189964158</v>
      </c>
      <c r="FR21" s="40">
        <f t="shared" ca="1" si="129"/>
        <v>3626565.189964158</v>
      </c>
      <c r="FS21" s="40">
        <f t="shared" ca="1" si="129"/>
        <v>3626565.189964158</v>
      </c>
      <c r="FT21" s="40">
        <f t="shared" ca="1" si="129"/>
        <v>3626565.189964158</v>
      </c>
      <c r="FU21" s="40">
        <f t="shared" ca="1" si="129"/>
        <v>3626565.189964158</v>
      </c>
      <c r="FV21" s="40">
        <f t="shared" ca="1" si="129"/>
        <v>3626565.189964158</v>
      </c>
      <c r="FW21" s="40">
        <f t="shared" ca="1" si="129"/>
        <v>3626565.189964158</v>
      </c>
      <c r="FX21" s="40">
        <f t="shared" ca="1" si="129"/>
        <v>3626565.189964158</v>
      </c>
      <c r="FY21" s="40">
        <f t="shared" ca="1" si="129"/>
        <v>3626565.189964158</v>
      </c>
      <c r="FZ21" s="40">
        <f t="shared" ca="1" si="129"/>
        <v>3626565.189964158</v>
      </c>
      <c r="GA21" s="40">
        <f t="shared" ca="1" si="129"/>
        <v>3626565.189964158</v>
      </c>
      <c r="GB21" s="40">
        <f t="shared" ca="1" si="129"/>
        <v>3626565.189964158</v>
      </c>
      <c r="GC21" s="40">
        <f t="shared" ca="1" si="129"/>
        <v>3626565.189964158</v>
      </c>
      <c r="GD21" s="40">
        <f t="shared" ca="1" si="129"/>
        <v>3626565.189964158</v>
      </c>
      <c r="GE21" s="40">
        <f t="shared" ca="1" si="129"/>
        <v>3626565.189964158</v>
      </c>
      <c r="GF21" s="40">
        <f t="shared" ca="1" si="129"/>
        <v>3626565.189964158</v>
      </c>
      <c r="GG21" s="40">
        <f t="shared" ca="1" si="129"/>
        <v>3626565.189964158</v>
      </c>
      <c r="GH21" s="40">
        <f t="shared" ca="1" si="129"/>
        <v>3626565.189964158</v>
      </c>
      <c r="GI21" s="40">
        <f t="shared" ca="1" si="129"/>
        <v>3626565.189964158</v>
      </c>
      <c r="GJ21" s="40">
        <f t="shared" ca="1" si="129"/>
        <v>3626565.189964158</v>
      </c>
      <c r="GK21" s="40">
        <f t="shared" ca="1" si="129"/>
        <v>3626565.189964158</v>
      </c>
      <c r="GL21" s="40">
        <f t="shared" ca="1" si="129"/>
        <v>3626565.189964158</v>
      </c>
      <c r="GM21" s="40">
        <f t="shared" ca="1" si="129"/>
        <v>3626565.189964158</v>
      </c>
      <c r="GN21" s="40">
        <f t="shared" ca="1" si="129"/>
        <v>3626565.189964158</v>
      </c>
      <c r="GO21" s="40">
        <f t="shared" ca="1" si="129"/>
        <v>3626565.189964158</v>
      </c>
      <c r="GP21" s="40">
        <f t="shared" ca="1" si="129"/>
        <v>3626565.189964158</v>
      </c>
      <c r="GQ21" s="40">
        <f t="shared" ca="1" si="129"/>
        <v>3626565.189964158</v>
      </c>
      <c r="GR21" s="40">
        <f t="shared" ref="GR21:IN23" ca="1" si="130">GR10*$C$15</f>
        <v>3626565.189964158</v>
      </c>
      <c r="GS21" s="40">
        <f t="shared" ca="1" si="130"/>
        <v>3626565.189964158</v>
      </c>
      <c r="GT21" s="40">
        <f t="shared" ca="1" si="130"/>
        <v>3626565.189964158</v>
      </c>
      <c r="GU21" s="40">
        <f t="shared" ca="1" si="130"/>
        <v>3626565.189964158</v>
      </c>
      <c r="GV21" s="40">
        <f t="shared" ca="1" si="130"/>
        <v>3626565.189964158</v>
      </c>
      <c r="GW21" s="40">
        <f t="shared" ca="1" si="130"/>
        <v>3626565.189964158</v>
      </c>
      <c r="GX21" s="40">
        <f t="shared" ca="1" si="130"/>
        <v>3626565.189964158</v>
      </c>
      <c r="GY21" s="40">
        <f t="shared" ca="1" si="130"/>
        <v>3626565.189964158</v>
      </c>
      <c r="GZ21" s="40">
        <f t="shared" ca="1" si="130"/>
        <v>3626565.189964158</v>
      </c>
      <c r="HA21" s="40">
        <f t="shared" ca="1" si="130"/>
        <v>3626565.189964158</v>
      </c>
      <c r="HB21" s="40">
        <f t="shared" ca="1" si="130"/>
        <v>3626565.189964158</v>
      </c>
      <c r="HC21" s="40">
        <f t="shared" ca="1" si="130"/>
        <v>3626565.189964158</v>
      </c>
      <c r="HD21" s="40">
        <f t="shared" ca="1" si="130"/>
        <v>3626565.189964158</v>
      </c>
      <c r="HE21" s="40">
        <f t="shared" ca="1" si="130"/>
        <v>3626565.189964158</v>
      </c>
      <c r="HF21" s="40">
        <f t="shared" ca="1" si="130"/>
        <v>3626565.189964158</v>
      </c>
      <c r="HG21" s="40">
        <f t="shared" ca="1" si="130"/>
        <v>3626565.189964158</v>
      </c>
      <c r="HH21" s="40">
        <f t="shared" ca="1" si="130"/>
        <v>3626565.189964158</v>
      </c>
      <c r="HI21" s="40">
        <f t="shared" ca="1" si="130"/>
        <v>3626565.189964158</v>
      </c>
      <c r="HJ21" s="40">
        <f t="shared" ca="1" si="130"/>
        <v>3626565.189964158</v>
      </c>
      <c r="HK21" s="40">
        <f t="shared" ca="1" si="130"/>
        <v>3626565.189964158</v>
      </c>
      <c r="HL21" s="40">
        <f t="shared" ca="1" si="130"/>
        <v>3626565.189964158</v>
      </c>
      <c r="HM21" s="40">
        <f t="shared" ca="1" si="130"/>
        <v>3626565.189964158</v>
      </c>
      <c r="HN21" s="40">
        <f t="shared" ca="1" si="130"/>
        <v>3626565.189964158</v>
      </c>
      <c r="HO21" s="40">
        <f t="shared" ca="1" si="130"/>
        <v>3626565.189964158</v>
      </c>
      <c r="HP21" s="40">
        <f t="shared" ca="1" si="130"/>
        <v>3626565.189964158</v>
      </c>
      <c r="HQ21" s="40">
        <f t="shared" ca="1" si="130"/>
        <v>3626565.189964158</v>
      </c>
      <c r="HR21" s="40">
        <f t="shared" ca="1" si="130"/>
        <v>3626565.189964158</v>
      </c>
      <c r="HS21" s="40">
        <f t="shared" ca="1" si="130"/>
        <v>3626565.189964158</v>
      </c>
      <c r="HT21" s="40">
        <f t="shared" ca="1" si="130"/>
        <v>3626565.189964158</v>
      </c>
      <c r="HU21" s="40">
        <f t="shared" ca="1" si="130"/>
        <v>3626565.189964158</v>
      </c>
      <c r="HV21" s="40">
        <f t="shared" ca="1" si="130"/>
        <v>3626565.189964158</v>
      </c>
      <c r="HW21" s="40">
        <f t="shared" ca="1" si="130"/>
        <v>3626565.189964158</v>
      </c>
      <c r="HX21" s="40">
        <f t="shared" ca="1" si="130"/>
        <v>3626565.189964158</v>
      </c>
      <c r="HY21" s="40">
        <f t="shared" ca="1" si="130"/>
        <v>3626565.189964158</v>
      </c>
      <c r="HZ21" s="40">
        <f t="shared" ca="1" si="130"/>
        <v>3626565.189964158</v>
      </c>
      <c r="IA21" s="40">
        <f t="shared" ca="1" si="130"/>
        <v>3626565.189964158</v>
      </c>
      <c r="IB21" s="40">
        <f t="shared" ca="1" si="130"/>
        <v>3626565.189964158</v>
      </c>
      <c r="IC21" s="40">
        <f t="shared" ca="1" si="130"/>
        <v>3626565.189964158</v>
      </c>
      <c r="ID21" s="40">
        <f t="shared" ca="1" si="130"/>
        <v>3626565.189964158</v>
      </c>
      <c r="IE21" s="40">
        <f t="shared" ca="1" si="130"/>
        <v>3626565.189964158</v>
      </c>
      <c r="IF21" s="40">
        <f t="shared" ca="1" si="130"/>
        <v>3626565.189964158</v>
      </c>
      <c r="IG21" s="40">
        <f t="shared" ca="1" si="130"/>
        <v>3626565.189964158</v>
      </c>
      <c r="IH21" s="40">
        <f t="shared" ca="1" si="130"/>
        <v>3626565.189964158</v>
      </c>
      <c r="II21" s="40">
        <f t="shared" ca="1" si="130"/>
        <v>3626565.189964158</v>
      </c>
      <c r="IJ21" s="40">
        <f t="shared" ca="1" si="130"/>
        <v>3626565.189964158</v>
      </c>
      <c r="IK21" s="40">
        <f t="shared" ca="1" si="130"/>
        <v>3626565.189964158</v>
      </c>
      <c r="IL21" s="40">
        <f t="shared" ca="1" si="130"/>
        <v>3626565.189964158</v>
      </c>
      <c r="IM21" s="40">
        <f t="shared" ca="1" si="130"/>
        <v>3626565.189964158</v>
      </c>
      <c r="IN21" s="40">
        <f t="shared" ca="1" si="130"/>
        <v>3626565.189964158</v>
      </c>
    </row>
    <row r="22" spans="2:248" x14ac:dyDescent="0.3">
      <c r="C22" s="40"/>
      <c r="F22" s="19" t="s">
        <v>495</v>
      </c>
      <c r="G22" s="40">
        <f t="shared" ref="G22:V23" si="131">G11*$C$15</f>
        <v>7.5268817204301071</v>
      </c>
      <c r="H22" s="40">
        <f t="shared" ca="1" si="131"/>
        <v>8.2437275985663074</v>
      </c>
      <c r="I22" s="40">
        <f t="shared" ca="1" si="131"/>
        <v>8.9605734767025087</v>
      </c>
      <c r="J22" s="40">
        <f t="shared" ca="1" si="131"/>
        <v>9.67741935483871</v>
      </c>
      <c r="K22" s="40">
        <f t="shared" ca="1" si="131"/>
        <v>10.394265232974909</v>
      </c>
      <c r="L22" s="40">
        <f t="shared" ca="1" si="131"/>
        <v>12.043010752688172</v>
      </c>
      <c r="M22" s="40">
        <f t="shared" ca="1" si="131"/>
        <v>14.086021505376344</v>
      </c>
      <c r="N22" s="40">
        <f t="shared" ca="1" si="131"/>
        <v>15.268817204301074</v>
      </c>
      <c r="O22" s="40">
        <f t="shared" ca="1" si="131"/>
        <v>16.335125448028673</v>
      </c>
      <c r="P22" s="40">
        <f t="shared" ca="1" si="131"/>
        <v>17.514934289127837</v>
      </c>
      <c r="Q22" s="40">
        <f t="shared" ca="1" si="131"/>
        <v>18.888888888888889</v>
      </c>
      <c r="R22" s="40">
        <f t="shared" ca="1" si="131"/>
        <v>20.319322254806124</v>
      </c>
      <c r="S22" s="40">
        <f t="shared" ca="1" si="131"/>
        <v>13.763440860215052</v>
      </c>
      <c r="T22" s="40">
        <f t="shared" ca="1" si="131"/>
        <v>13.476702508960573</v>
      </c>
      <c r="U22" s="40">
        <f t="shared" ca="1" si="131"/>
        <v>17.849462365591396</v>
      </c>
      <c r="V22" s="40">
        <f t="shared" ca="1" si="131"/>
        <v>20.071684587813618</v>
      </c>
      <c r="W22" s="40">
        <f t="shared" ca="1" si="127"/>
        <v>21.0752688172043</v>
      </c>
      <c r="X22" s="40">
        <f t="shared" ca="1" si="127"/>
        <v>19.498207885304659</v>
      </c>
      <c r="Y22" s="40">
        <f t="shared" ca="1" si="127"/>
        <v>24.301075268817204</v>
      </c>
      <c r="Z22" s="40">
        <f t="shared" ca="1" si="127"/>
        <v>27.240143369175627</v>
      </c>
      <c r="AA22" s="40">
        <f t="shared" ca="1" si="127"/>
        <v>25.949820788530463</v>
      </c>
      <c r="AB22" s="40">
        <f t="shared" ca="1" si="127"/>
        <v>28.673835125448026</v>
      </c>
      <c r="AC22" s="40">
        <f t="shared" ca="1" si="127"/>
        <v>32.186379928315411</v>
      </c>
      <c r="AD22" s="40">
        <f t="shared" ca="1" si="127"/>
        <v>32.831541218637994</v>
      </c>
      <c r="AE22" s="40">
        <f t="shared" ca="1" si="127"/>
        <v>31.03942652329749</v>
      </c>
      <c r="AF22" s="40">
        <f t="shared" ca="1" si="127"/>
        <v>27.168458781362006</v>
      </c>
      <c r="AG22" s="40">
        <f t="shared" ca="1" si="127"/>
        <v>26.379928315412187</v>
      </c>
      <c r="AH22" s="40">
        <f t="shared" ca="1" si="127"/>
        <v>25.949820788530463</v>
      </c>
      <c r="AI22" s="40">
        <f t="shared" ca="1" si="127"/>
        <v>30.107526881720428</v>
      </c>
      <c r="AJ22" s="40">
        <f t="shared" ca="1" si="127"/>
        <v>23.727598566308242</v>
      </c>
      <c r="AK22" s="40">
        <f t="shared" ca="1" si="127"/>
        <v>27.455197132616487</v>
      </c>
      <c r="AL22" s="40">
        <f t="shared" ca="1" si="127"/>
        <v>33.261648745519715</v>
      </c>
      <c r="AM22" s="40">
        <f t="shared" ca="1" si="127"/>
        <v>29.318996415770609</v>
      </c>
      <c r="AN22" s="40">
        <f t="shared" ca="1" si="127"/>
        <v>31.68458781362007</v>
      </c>
      <c r="AO22" s="40">
        <f t="shared" ca="1" si="127"/>
        <v>32.759856630824373</v>
      </c>
      <c r="AP22" s="40">
        <f t="shared" ca="1" si="127"/>
        <v>43.87096774193548</v>
      </c>
      <c r="AQ22" s="40">
        <f t="shared" ca="1" si="127"/>
        <v>54.121863799283155</v>
      </c>
      <c r="AR22" s="40">
        <f t="shared" ca="1" si="127"/>
        <v>67.45519713261649</v>
      </c>
      <c r="AS22" s="40">
        <f t="shared" ca="1" si="127"/>
        <v>63.225806451612897</v>
      </c>
      <c r="AT22" s="40">
        <f t="shared" ca="1" si="127"/>
        <v>66.8100358422939</v>
      </c>
      <c r="AU22" s="40">
        <f t="shared" ca="1" si="127"/>
        <v>83.512544802867382</v>
      </c>
      <c r="AV22" s="40">
        <f t="shared" ca="1" si="127"/>
        <v>104.39068100358422</v>
      </c>
      <c r="AW22" s="40">
        <f t="shared" ca="1" si="127"/>
        <v>130.48835125448028</v>
      </c>
      <c r="AX22" s="40">
        <f t="shared" ca="1" si="127"/>
        <v>163.11043906810036</v>
      </c>
      <c r="AY22" s="40">
        <f t="shared" ca="1" si="127"/>
        <v>203.88804883512543</v>
      </c>
      <c r="AZ22" s="40">
        <f t="shared" ca="1" si="127"/>
        <v>254.8600610439068</v>
      </c>
      <c r="BA22" s="40">
        <f t="shared" ca="1" si="127"/>
        <v>318.57507630488351</v>
      </c>
      <c r="BB22" s="40">
        <f t="shared" ca="1" si="127"/>
        <v>398.21884538110436</v>
      </c>
      <c r="BC22" s="40">
        <f t="shared" ca="1" si="127"/>
        <v>497.77355672638049</v>
      </c>
      <c r="BD22" s="40">
        <f t="shared" ca="1" si="127"/>
        <v>622.21694590797563</v>
      </c>
      <c r="BE22" s="40">
        <f t="shared" ca="1" si="127"/>
        <v>777.77118238496951</v>
      </c>
      <c r="BF22" s="40">
        <f t="shared" ca="1" si="127"/>
        <v>972.21397798121188</v>
      </c>
      <c r="BG22" s="40">
        <f t="shared" ca="1" si="127"/>
        <v>1215.2674724765147</v>
      </c>
      <c r="BH22" s="40">
        <f t="shared" ca="1" si="127"/>
        <v>1519.0843405956434</v>
      </c>
      <c r="BI22" s="40">
        <f t="shared" ca="1" si="127"/>
        <v>1898.8554257445544</v>
      </c>
      <c r="BJ22" s="40">
        <f t="shared" ca="1" si="127"/>
        <v>2373.5692821806929</v>
      </c>
      <c r="BK22" s="40">
        <f t="shared" ca="1" si="127"/>
        <v>2966.9616027258662</v>
      </c>
      <c r="BL22" s="40">
        <f t="shared" ca="1" si="127"/>
        <v>3708.702003407333</v>
      </c>
      <c r="BM22" s="40">
        <f t="shared" ca="1" si="127"/>
        <v>4635.877504259166</v>
      </c>
      <c r="BN22" s="40">
        <f t="shared" ca="1" si="127"/>
        <v>5794.8468803239575</v>
      </c>
      <c r="BO22" s="40">
        <f t="shared" ca="1" si="127"/>
        <v>7243.5586004049474</v>
      </c>
      <c r="BP22" s="40">
        <f t="shared" ca="1" si="127"/>
        <v>9054.4482505061842</v>
      </c>
      <c r="BQ22" s="40">
        <f t="shared" ca="1" si="127"/>
        <v>11318.060313132728</v>
      </c>
      <c r="BR22" s="40">
        <f t="shared" ca="1" si="127"/>
        <v>14147.57539141591</v>
      </c>
      <c r="BS22" s="40">
        <f t="shared" ca="1" si="127"/>
        <v>17684.469239269889</v>
      </c>
      <c r="BT22" s="40">
        <f t="shared" ca="1" si="128"/>
        <v>22105.586549087358</v>
      </c>
      <c r="BU22" s="40">
        <f t="shared" ca="1" si="128"/>
        <v>27631.983186359197</v>
      </c>
      <c r="BV22" s="40">
        <f t="shared" ca="1" si="128"/>
        <v>34539.978982948996</v>
      </c>
      <c r="BW22" s="40">
        <f t="shared" ca="1" si="128"/>
        <v>43174.973728686244</v>
      </c>
      <c r="BX22" s="40">
        <f t="shared" ca="1" si="128"/>
        <v>53968.717160857799</v>
      </c>
      <c r="BY22" s="40">
        <f t="shared" ca="1" si="128"/>
        <v>67460.896451072258</v>
      </c>
      <c r="BZ22" s="40">
        <f t="shared" ca="1" si="128"/>
        <v>84326.120563840319</v>
      </c>
      <c r="CA22" s="40">
        <f t="shared" ca="1" si="128"/>
        <v>105407.65070480038</v>
      </c>
      <c r="CB22" s="40">
        <f t="shared" ca="1" si="128"/>
        <v>131759.56338100048</v>
      </c>
      <c r="CC22" s="40">
        <f t="shared" ca="1" si="128"/>
        <v>164699.45422625061</v>
      </c>
      <c r="CD22" s="40">
        <f t="shared" ca="1" si="128"/>
        <v>205874.31778281325</v>
      </c>
      <c r="CE22" s="40">
        <f t="shared" ca="1" si="128"/>
        <v>257342.89722851658</v>
      </c>
      <c r="CF22" s="40">
        <f t="shared" ca="1" si="128"/>
        <v>321678.62153564568</v>
      </c>
      <c r="CG22" s="40">
        <f t="shared" ca="1" si="128"/>
        <v>402098.27691955713</v>
      </c>
      <c r="CH22" s="40">
        <f t="shared" ca="1" si="128"/>
        <v>502622.84614944633</v>
      </c>
      <c r="CI22" s="40">
        <f t="shared" ca="1" si="128"/>
        <v>628278.55768680794</v>
      </c>
      <c r="CJ22" s="40">
        <f t="shared" ca="1" si="128"/>
        <v>785348.19710850995</v>
      </c>
      <c r="CK22" s="40">
        <f t="shared" ca="1" si="128"/>
        <v>981685.24638563732</v>
      </c>
      <c r="CL22" s="40">
        <f t="shared" ca="1" si="128"/>
        <v>1227106.5579820466</v>
      </c>
      <c r="CM22" s="40">
        <f t="shared" ca="1" si="128"/>
        <v>1533883.1974775584</v>
      </c>
      <c r="CN22" s="40">
        <f t="shared" ca="1" si="128"/>
        <v>1917353.9968469478</v>
      </c>
      <c r="CO22" s="40">
        <f t="shared" ca="1" si="128"/>
        <v>2396692.4960586848</v>
      </c>
      <c r="CP22" s="40">
        <f t="shared" ca="1" si="128"/>
        <v>2995865.6200733562</v>
      </c>
      <c r="CQ22" s="40">
        <f t="shared" ca="1" si="128"/>
        <v>3626565.189964158</v>
      </c>
      <c r="CR22" s="40">
        <f t="shared" ca="1" si="128"/>
        <v>3626565.189964158</v>
      </c>
      <c r="CS22" s="40">
        <f t="shared" ca="1" si="128"/>
        <v>3626565.189964158</v>
      </c>
      <c r="CT22" s="40">
        <f t="shared" ca="1" si="128"/>
        <v>3626565.189964158</v>
      </c>
      <c r="CU22" s="40">
        <f t="shared" ca="1" si="128"/>
        <v>3626565.189964158</v>
      </c>
      <c r="CV22" s="40">
        <f t="shared" ca="1" si="128"/>
        <v>3626565.189964158</v>
      </c>
      <c r="CW22" s="40">
        <f t="shared" ca="1" si="128"/>
        <v>3626565.189964158</v>
      </c>
      <c r="CX22" s="40">
        <f t="shared" ca="1" si="128"/>
        <v>3626565.189964158</v>
      </c>
      <c r="CY22" s="40">
        <f t="shared" ca="1" si="128"/>
        <v>3626565.189964158</v>
      </c>
      <c r="CZ22" s="40">
        <f t="shared" ca="1" si="128"/>
        <v>3626565.189964158</v>
      </c>
      <c r="DA22" s="40">
        <f t="shared" ca="1" si="128"/>
        <v>3626565.189964158</v>
      </c>
      <c r="DB22" s="40">
        <f t="shared" ca="1" si="128"/>
        <v>3626565.189964158</v>
      </c>
      <c r="DC22" s="40">
        <f t="shared" ca="1" si="128"/>
        <v>3626565.189964158</v>
      </c>
      <c r="DD22" s="40">
        <f t="shared" ca="1" si="128"/>
        <v>3626565.189964158</v>
      </c>
      <c r="DE22" s="40">
        <f t="shared" ca="1" si="128"/>
        <v>3626565.189964158</v>
      </c>
      <c r="DF22" s="40">
        <f t="shared" ca="1" si="128"/>
        <v>3626565.189964158</v>
      </c>
      <c r="DG22" s="40">
        <f t="shared" ca="1" si="128"/>
        <v>3626565.189964158</v>
      </c>
      <c r="DH22" s="40">
        <f t="shared" ca="1" si="128"/>
        <v>3626565.189964158</v>
      </c>
      <c r="DI22" s="40">
        <f t="shared" ca="1" si="128"/>
        <v>3626565.189964158</v>
      </c>
      <c r="DJ22" s="40">
        <f t="shared" ca="1" si="128"/>
        <v>3626565.189964158</v>
      </c>
      <c r="DK22" s="40">
        <f t="shared" ca="1" si="128"/>
        <v>3626565.189964158</v>
      </c>
      <c r="DL22" s="40">
        <f t="shared" ca="1" si="128"/>
        <v>3626565.189964158</v>
      </c>
      <c r="DM22" s="40">
        <f t="shared" ca="1" si="128"/>
        <v>3626565.189964158</v>
      </c>
      <c r="DN22" s="40">
        <f t="shared" ca="1" si="128"/>
        <v>3626565.189964158</v>
      </c>
      <c r="DO22" s="40">
        <f t="shared" ca="1" si="128"/>
        <v>3626565.189964158</v>
      </c>
      <c r="DP22" s="40">
        <f t="shared" ca="1" si="128"/>
        <v>3626565.189964158</v>
      </c>
      <c r="DQ22" s="40">
        <f t="shared" ca="1" si="128"/>
        <v>3626565.189964158</v>
      </c>
      <c r="DR22" s="40">
        <f t="shared" ca="1" si="128"/>
        <v>3626565.189964158</v>
      </c>
      <c r="DS22" s="40">
        <f t="shared" ca="1" si="128"/>
        <v>3626565.189964158</v>
      </c>
      <c r="DT22" s="40">
        <f t="shared" ca="1" si="128"/>
        <v>3626565.189964158</v>
      </c>
      <c r="DU22" s="40">
        <f t="shared" ca="1" si="128"/>
        <v>3626565.189964158</v>
      </c>
      <c r="DV22" s="40">
        <f t="shared" ca="1" si="128"/>
        <v>3626565.189964158</v>
      </c>
      <c r="DW22" s="40">
        <f t="shared" ca="1" si="128"/>
        <v>3626565.189964158</v>
      </c>
      <c r="DX22" s="40">
        <f t="shared" ca="1" si="128"/>
        <v>3626565.189964158</v>
      </c>
      <c r="DY22" s="40">
        <f t="shared" ca="1" si="128"/>
        <v>3626565.189964158</v>
      </c>
      <c r="DZ22" s="40">
        <f t="shared" ca="1" si="128"/>
        <v>3626565.189964158</v>
      </c>
      <c r="EA22" s="40">
        <f t="shared" ca="1" si="128"/>
        <v>3626565.189964158</v>
      </c>
      <c r="EB22" s="40">
        <f t="shared" ca="1" si="128"/>
        <v>3626565.189964158</v>
      </c>
      <c r="EC22" s="40">
        <f t="shared" ca="1" si="128"/>
        <v>3626565.189964158</v>
      </c>
      <c r="ED22" s="40">
        <f t="shared" ca="1" si="128"/>
        <v>3626565.189964158</v>
      </c>
      <c r="EE22" s="40">
        <f t="shared" ca="1" si="128"/>
        <v>3626565.189964158</v>
      </c>
      <c r="EF22" s="40">
        <f t="shared" ca="1" si="129"/>
        <v>3626565.189964158</v>
      </c>
      <c r="EG22" s="40">
        <f t="shared" ca="1" si="129"/>
        <v>3626565.189964158</v>
      </c>
      <c r="EH22" s="40">
        <f t="shared" ca="1" si="129"/>
        <v>3626565.189964158</v>
      </c>
      <c r="EI22" s="40">
        <f t="shared" ca="1" si="129"/>
        <v>3626565.189964158</v>
      </c>
      <c r="EJ22" s="40">
        <f t="shared" ca="1" si="129"/>
        <v>3626565.189964158</v>
      </c>
      <c r="EK22" s="40">
        <f t="shared" ca="1" si="129"/>
        <v>3626565.189964158</v>
      </c>
      <c r="EL22" s="40">
        <f t="shared" ca="1" si="129"/>
        <v>3626565.189964158</v>
      </c>
      <c r="EM22" s="40">
        <f t="shared" ca="1" si="129"/>
        <v>3626565.189964158</v>
      </c>
      <c r="EN22" s="40">
        <f t="shared" ca="1" si="129"/>
        <v>3626565.189964158</v>
      </c>
      <c r="EO22" s="40">
        <f t="shared" ca="1" si="129"/>
        <v>3626565.189964158</v>
      </c>
      <c r="EP22" s="40">
        <f t="shared" ca="1" si="129"/>
        <v>3626565.189964158</v>
      </c>
      <c r="EQ22" s="40">
        <f t="shared" ca="1" si="129"/>
        <v>3626565.189964158</v>
      </c>
      <c r="ER22" s="40">
        <f t="shared" ca="1" si="129"/>
        <v>3626565.189964158</v>
      </c>
      <c r="ES22" s="40">
        <f t="shared" ca="1" si="129"/>
        <v>3626565.189964158</v>
      </c>
      <c r="ET22" s="40">
        <f t="shared" ca="1" si="129"/>
        <v>3626565.189964158</v>
      </c>
      <c r="EU22" s="40">
        <f t="shared" ca="1" si="129"/>
        <v>3626565.189964158</v>
      </c>
      <c r="EV22" s="40">
        <f t="shared" ca="1" si="129"/>
        <v>3626565.189964158</v>
      </c>
      <c r="EW22" s="40">
        <f t="shared" ca="1" si="129"/>
        <v>3626565.189964158</v>
      </c>
      <c r="EX22" s="40">
        <f t="shared" ca="1" si="129"/>
        <v>3626565.189964158</v>
      </c>
      <c r="EY22" s="40">
        <f t="shared" ca="1" si="129"/>
        <v>3626565.189964158</v>
      </c>
      <c r="EZ22" s="40">
        <f t="shared" ca="1" si="129"/>
        <v>3626565.189964158</v>
      </c>
      <c r="FA22" s="40">
        <f t="shared" ca="1" si="129"/>
        <v>3626565.189964158</v>
      </c>
      <c r="FB22" s="40">
        <f t="shared" ca="1" si="129"/>
        <v>3626565.189964158</v>
      </c>
      <c r="FC22" s="40">
        <f t="shared" ca="1" si="129"/>
        <v>3626565.189964158</v>
      </c>
      <c r="FD22" s="40">
        <f t="shared" ca="1" si="129"/>
        <v>3626565.189964158</v>
      </c>
      <c r="FE22" s="40">
        <f t="shared" ca="1" si="129"/>
        <v>3626565.189964158</v>
      </c>
      <c r="FF22" s="40">
        <f t="shared" ca="1" si="129"/>
        <v>3626565.189964158</v>
      </c>
      <c r="FG22" s="40">
        <f t="shared" ca="1" si="129"/>
        <v>3626565.189964158</v>
      </c>
      <c r="FH22" s="40">
        <f t="shared" ca="1" si="129"/>
        <v>3626565.189964158</v>
      </c>
      <c r="FI22" s="40">
        <f t="shared" ca="1" si="129"/>
        <v>3626565.189964158</v>
      </c>
      <c r="FJ22" s="40">
        <f t="shared" ca="1" si="129"/>
        <v>3626565.189964158</v>
      </c>
      <c r="FK22" s="40">
        <f t="shared" ca="1" si="129"/>
        <v>3626565.189964158</v>
      </c>
      <c r="FL22" s="40">
        <f t="shared" ca="1" si="129"/>
        <v>3626565.189964158</v>
      </c>
      <c r="FM22" s="40">
        <f t="shared" ca="1" si="129"/>
        <v>3626565.189964158</v>
      </c>
      <c r="FN22" s="40">
        <f t="shared" ca="1" si="129"/>
        <v>3626565.189964158</v>
      </c>
      <c r="FO22" s="40">
        <f t="shared" ca="1" si="129"/>
        <v>3626565.189964158</v>
      </c>
      <c r="FP22" s="40">
        <f t="shared" ca="1" si="129"/>
        <v>3626565.189964158</v>
      </c>
      <c r="FQ22" s="40">
        <f t="shared" ca="1" si="129"/>
        <v>3626565.189964158</v>
      </c>
      <c r="FR22" s="40">
        <f t="shared" ca="1" si="129"/>
        <v>3626565.189964158</v>
      </c>
      <c r="FS22" s="40">
        <f t="shared" ca="1" si="129"/>
        <v>3626565.189964158</v>
      </c>
      <c r="FT22" s="40">
        <f t="shared" ca="1" si="129"/>
        <v>3626565.189964158</v>
      </c>
      <c r="FU22" s="40">
        <f t="shared" ca="1" si="129"/>
        <v>3626565.189964158</v>
      </c>
      <c r="FV22" s="40">
        <f t="shared" ca="1" si="129"/>
        <v>3626565.189964158</v>
      </c>
      <c r="FW22" s="40">
        <f t="shared" ca="1" si="129"/>
        <v>3626565.189964158</v>
      </c>
      <c r="FX22" s="40">
        <f t="shared" ca="1" si="129"/>
        <v>3626565.189964158</v>
      </c>
      <c r="FY22" s="40">
        <f t="shared" ca="1" si="129"/>
        <v>3626565.189964158</v>
      </c>
      <c r="FZ22" s="40">
        <f t="shared" ca="1" si="129"/>
        <v>3626565.189964158</v>
      </c>
      <c r="GA22" s="40">
        <f t="shared" ca="1" si="129"/>
        <v>3626565.189964158</v>
      </c>
      <c r="GB22" s="40">
        <f t="shared" ca="1" si="129"/>
        <v>3626565.189964158</v>
      </c>
      <c r="GC22" s="40">
        <f t="shared" ca="1" si="129"/>
        <v>3626565.189964158</v>
      </c>
      <c r="GD22" s="40">
        <f t="shared" ca="1" si="129"/>
        <v>3626565.189964158</v>
      </c>
      <c r="GE22" s="40">
        <f t="shared" ca="1" si="129"/>
        <v>3626565.189964158</v>
      </c>
      <c r="GF22" s="40">
        <f t="shared" ca="1" si="129"/>
        <v>3626565.189964158</v>
      </c>
      <c r="GG22" s="40">
        <f t="shared" ca="1" si="129"/>
        <v>3626565.189964158</v>
      </c>
      <c r="GH22" s="40">
        <f t="shared" ca="1" si="129"/>
        <v>3626565.189964158</v>
      </c>
      <c r="GI22" s="40">
        <f t="shared" ca="1" si="129"/>
        <v>3626565.189964158</v>
      </c>
      <c r="GJ22" s="40">
        <f t="shared" ca="1" si="129"/>
        <v>3626565.189964158</v>
      </c>
      <c r="GK22" s="40">
        <f t="shared" ca="1" si="129"/>
        <v>3626565.189964158</v>
      </c>
      <c r="GL22" s="40">
        <f t="shared" ca="1" si="129"/>
        <v>3626565.189964158</v>
      </c>
      <c r="GM22" s="40">
        <f t="shared" ca="1" si="129"/>
        <v>3626565.189964158</v>
      </c>
      <c r="GN22" s="40">
        <f t="shared" ca="1" si="129"/>
        <v>3626565.189964158</v>
      </c>
      <c r="GO22" s="40">
        <f t="shared" ca="1" si="129"/>
        <v>3626565.189964158</v>
      </c>
      <c r="GP22" s="40">
        <f t="shared" ca="1" si="129"/>
        <v>3626565.189964158</v>
      </c>
      <c r="GQ22" s="40">
        <f t="shared" ca="1" si="129"/>
        <v>3626565.189964158</v>
      </c>
      <c r="GR22" s="40">
        <f t="shared" ca="1" si="130"/>
        <v>3626565.189964158</v>
      </c>
      <c r="GS22" s="40">
        <f t="shared" ca="1" si="130"/>
        <v>3626565.189964158</v>
      </c>
      <c r="GT22" s="40">
        <f t="shared" ca="1" si="130"/>
        <v>3626565.189964158</v>
      </c>
      <c r="GU22" s="40">
        <f t="shared" ca="1" si="130"/>
        <v>3626565.189964158</v>
      </c>
      <c r="GV22" s="40">
        <f t="shared" ca="1" si="130"/>
        <v>3626565.189964158</v>
      </c>
      <c r="GW22" s="40">
        <f t="shared" ca="1" si="130"/>
        <v>3626565.189964158</v>
      </c>
      <c r="GX22" s="40">
        <f t="shared" ca="1" si="130"/>
        <v>3626565.189964158</v>
      </c>
      <c r="GY22" s="40">
        <f t="shared" ca="1" si="130"/>
        <v>3626565.189964158</v>
      </c>
      <c r="GZ22" s="40">
        <f t="shared" ca="1" si="130"/>
        <v>3626565.189964158</v>
      </c>
      <c r="HA22" s="40">
        <f t="shared" ca="1" si="130"/>
        <v>3626565.189964158</v>
      </c>
      <c r="HB22" s="40">
        <f t="shared" ca="1" si="130"/>
        <v>3626565.189964158</v>
      </c>
      <c r="HC22" s="40">
        <f t="shared" ca="1" si="130"/>
        <v>3626565.189964158</v>
      </c>
      <c r="HD22" s="40">
        <f t="shared" ca="1" si="130"/>
        <v>3626565.189964158</v>
      </c>
      <c r="HE22" s="40">
        <f t="shared" ca="1" si="130"/>
        <v>3626565.189964158</v>
      </c>
      <c r="HF22" s="40">
        <f t="shared" ca="1" si="130"/>
        <v>3626565.189964158</v>
      </c>
      <c r="HG22" s="40">
        <f t="shared" ca="1" si="130"/>
        <v>3626565.189964158</v>
      </c>
      <c r="HH22" s="40">
        <f t="shared" ca="1" si="130"/>
        <v>3626565.189964158</v>
      </c>
      <c r="HI22" s="40">
        <f t="shared" ca="1" si="130"/>
        <v>3626565.189964158</v>
      </c>
      <c r="HJ22" s="40">
        <f t="shared" ca="1" si="130"/>
        <v>3626565.189964158</v>
      </c>
      <c r="HK22" s="40">
        <f t="shared" ca="1" si="130"/>
        <v>3626565.189964158</v>
      </c>
      <c r="HL22" s="40">
        <f t="shared" ca="1" si="130"/>
        <v>3626565.189964158</v>
      </c>
      <c r="HM22" s="40">
        <f t="shared" ca="1" si="130"/>
        <v>3626565.189964158</v>
      </c>
      <c r="HN22" s="40">
        <f t="shared" ca="1" si="130"/>
        <v>3626565.189964158</v>
      </c>
      <c r="HO22" s="40">
        <f t="shared" ca="1" si="130"/>
        <v>3626565.189964158</v>
      </c>
      <c r="HP22" s="40">
        <f t="shared" ca="1" si="130"/>
        <v>3626565.189964158</v>
      </c>
      <c r="HQ22" s="40">
        <f t="shared" ca="1" si="130"/>
        <v>3626565.189964158</v>
      </c>
      <c r="HR22" s="40">
        <f t="shared" ca="1" si="130"/>
        <v>3626565.189964158</v>
      </c>
      <c r="HS22" s="40">
        <f t="shared" ca="1" si="130"/>
        <v>3626565.189964158</v>
      </c>
      <c r="HT22" s="40">
        <f t="shared" ca="1" si="130"/>
        <v>3626565.189964158</v>
      </c>
      <c r="HU22" s="40">
        <f t="shared" ca="1" si="130"/>
        <v>3626565.189964158</v>
      </c>
      <c r="HV22" s="40">
        <f t="shared" ca="1" si="130"/>
        <v>3626565.189964158</v>
      </c>
      <c r="HW22" s="40">
        <f t="shared" ca="1" si="130"/>
        <v>3626565.189964158</v>
      </c>
      <c r="HX22" s="40">
        <f t="shared" ca="1" si="130"/>
        <v>3626565.189964158</v>
      </c>
      <c r="HY22" s="40">
        <f t="shared" ca="1" si="130"/>
        <v>3626565.189964158</v>
      </c>
      <c r="HZ22" s="40">
        <f t="shared" ca="1" si="130"/>
        <v>3626565.189964158</v>
      </c>
      <c r="IA22" s="40">
        <f t="shared" ca="1" si="130"/>
        <v>3626565.189964158</v>
      </c>
      <c r="IB22" s="40">
        <f t="shared" ca="1" si="130"/>
        <v>3626565.189964158</v>
      </c>
      <c r="IC22" s="40">
        <f t="shared" ca="1" si="130"/>
        <v>3626565.189964158</v>
      </c>
      <c r="ID22" s="40">
        <f t="shared" ca="1" si="130"/>
        <v>3626565.189964158</v>
      </c>
      <c r="IE22" s="40">
        <f t="shared" ca="1" si="130"/>
        <v>3626565.189964158</v>
      </c>
      <c r="IF22" s="40">
        <f t="shared" ca="1" si="130"/>
        <v>3626565.189964158</v>
      </c>
      <c r="IG22" s="40">
        <f t="shared" ca="1" si="130"/>
        <v>3626565.189964158</v>
      </c>
      <c r="IH22" s="40">
        <f t="shared" ca="1" si="130"/>
        <v>3626565.189964158</v>
      </c>
      <c r="II22" s="40">
        <f t="shared" ca="1" si="130"/>
        <v>3626565.189964158</v>
      </c>
      <c r="IJ22" s="40">
        <f t="shared" ca="1" si="130"/>
        <v>3626565.189964158</v>
      </c>
      <c r="IK22" s="40">
        <f t="shared" ca="1" si="130"/>
        <v>3626565.189964158</v>
      </c>
      <c r="IL22" s="40">
        <f t="shared" ca="1" si="130"/>
        <v>3626565.189964158</v>
      </c>
      <c r="IM22" s="40">
        <f t="shared" ca="1" si="130"/>
        <v>3626565.189964158</v>
      </c>
      <c r="IN22" s="40">
        <f t="shared" ca="1" si="130"/>
        <v>3626565.189964158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43888</v>
      </c>
      <c r="F23" s="19" t="s">
        <v>493</v>
      </c>
      <c r="G23" s="40">
        <f t="shared" si="131"/>
        <v>7.5268817204301071</v>
      </c>
      <c r="H23" s="40">
        <f t="shared" ref="H23:BS23" ca="1" si="132">H12*$C$15</f>
        <v>8.2437275985663074</v>
      </c>
      <c r="I23" s="40">
        <f t="shared" ca="1" si="132"/>
        <v>8.9605734767025087</v>
      </c>
      <c r="J23" s="40">
        <f t="shared" ca="1" si="132"/>
        <v>9.67741935483871</v>
      </c>
      <c r="K23" s="40">
        <f t="shared" ca="1" si="132"/>
        <v>10.394265232974909</v>
      </c>
      <c r="L23" s="40">
        <f t="shared" ca="1" si="132"/>
        <v>12.043010752688172</v>
      </c>
      <c r="M23" s="40">
        <f t="shared" ca="1" si="132"/>
        <v>14.086021505376344</v>
      </c>
      <c r="N23" s="40">
        <f t="shared" ca="1" si="132"/>
        <v>15.268817204301074</v>
      </c>
      <c r="O23" s="40">
        <f t="shared" ca="1" si="132"/>
        <v>16.335125448028673</v>
      </c>
      <c r="P23" s="40">
        <f t="shared" ca="1" si="132"/>
        <v>17.514934289127837</v>
      </c>
      <c r="Q23" s="40">
        <f t="shared" ca="1" si="132"/>
        <v>18.888888888888889</v>
      </c>
      <c r="R23" s="40">
        <f t="shared" ca="1" si="132"/>
        <v>20.319322254806124</v>
      </c>
      <c r="S23" s="40">
        <f t="shared" ca="1" si="132"/>
        <v>13.763440860215052</v>
      </c>
      <c r="T23" s="40">
        <f t="shared" ca="1" si="132"/>
        <v>13.476702508960573</v>
      </c>
      <c r="U23" s="40">
        <f t="shared" ca="1" si="132"/>
        <v>17.849462365591396</v>
      </c>
      <c r="V23" s="40">
        <f t="shared" ca="1" si="132"/>
        <v>20.071684587813618</v>
      </c>
      <c r="W23" s="40">
        <f t="shared" ca="1" si="132"/>
        <v>21.0752688172043</v>
      </c>
      <c r="X23" s="40">
        <f t="shared" ca="1" si="132"/>
        <v>19.498207885304659</v>
      </c>
      <c r="Y23" s="40">
        <f t="shared" ca="1" si="132"/>
        <v>24.301075268817204</v>
      </c>
      <c r="Z23" s="40">
        <f t="shared" ca="1" si="132"/>
        <v>27.240143369175627</v>
      </c>
      <c r="AA23" s="40">
        <f t="shared" ca="1" si="132"/>
        <v>25.949820788530463</v>
      </c>
      <c r="AB23" s="40">
        <f t="shared" ca="1" si="132"/>
        <v>28.673835125448026</v>
      </c>
      <c r="AC23" s="40">
        <f t="shared" ca="1" si="132"/>
        <v>32.186379928315411</v>
      </c>
      <c r="AD23" s="40">
        <f t="shared" ca="1" si="132"/>
        <v>32.831541218637994</v>
      </c>
      <c r="AE23" s="40">
        <f t="shared" ca="1" si="132"/>
        <v>31.03942652329749</v>
      </c>
      <c r="AF23" s="40">
        <f t="shared" ca="1" si="132"/>
        <v>27.168458781362006</v>
      </c>
      <c r="AG23" s="40">
        <f t="shared" ca="1" si="132"/>
        <v>26.379928315412187</v>
      </c>
      <c r="AH23" s="40">
        <f t="shared" ca="1" si="132"/>
        <v>25.949820788530463</v>
      </c>
      <c r="AI23" s="40">
        <f t="shared" ca="1" si="132"/>
        <v>30.107526881720428</v>
      </c>
      <c r="AJ23" s="40">
        <f t="shared" ca="1" si="132"/>
        <v>23.727598566308242</v>
      </c>
      <c r="AK23" s="40">
        <f t="shared" ca="1" si="132"/>
        <v>27.455197132616487</v>
      </c>
      <c r="AL23" s="40">
        <f t="shared" ca="1" si="132"/>
        <v>33.261648745519715</v>
      </c>
      <c r="AM23" s="40">
        <f t="shared" ca="1" si="132"/>
        <v>29.318996415770609</v>
      </c>
      <c r="AN23" s="40">
        <f t="shared" ca="1" si="132"/>
        <v>31.68458781362007</v>
      </c>
      <c r="AO23" s="40">
        <f t="shared" ca="1" si="132"/>
        <v>32.759856630824373</v>
      </c>
      <c r="AP23" s="40">
        <f t="shared" ca="1" si="132"/>
        <v>43.87096774193548</v>
      </c>
      <c r="AQ23" s="40">
        <f t="shared" ca="1" si="132"/>
        <v>54.121863799283155</v>
      </c>
      <c r="AR23" s="40">
        <f t="shared" ca="1" si="132"/>
        <v>67.45519713261649</v>
      </c>
      <c r="AS23" s="40">
        <f t="shared" ca="1" si="132"/>
        <v>63.225806451612897</v>
      </c>
      <c r="AT23" s="40">
        <f t="shared" ca="1" si="132"/>
        <v>66.8100358422939</v>
      </c>
      <c r="AU23" s="40">
        <f t="shared" ca="1" si="132"/>
        <v>93.534050179211462</v>
      </c>
      <c r="AV23" s="40">
        <f t="shared" ca="1" si="132"/>
        <v>130.94767025089604</v>
      </c>
      <c r="AW23" s="40">
        <f t="shared" ca="1" si="132"/>
        <v>183.32673835125442</v>
      </c>
      <c r="AX23" s="40">
        <f t="shared" ca="1" si="132"/>
        <v>256.65743369175618</v>
      </c>
      <c r="AY23" s="40">
        <f t="shared" ca="1" si="132"/>
        <v>359.32040716845864</v>
      </c>
      <c r="AZ23" s="40">
        <f t="shared" ca="1" si="132"/>
        <v>503.04857003584209</v>
      </c>
      <c r="BA23" s="40">
        <f t="shared" ca="1" si="132"/>
        <v>704.2679980501789</v>
      </c>
      <c r="BB23" s="40">
        <f t="shared" ca="1" si="132"/>
        <v>985.97519727025042</v>
      </c>
      <c r="BC23" s="40">
        <f t="shared" ca="1" si="132"/>
        <v>1380.3652761783505</v>
      </c>
      <c r="BD23" s="40">
        <f t="shared" ca="1" si="132"/>
        <v>1932.5113866496904</v>
      </c>
      <c r="BE23" s="40">
        <f t="shared" ca="1" si="132"/>
        <v>2705.5159413095662</v>
      </c>
      <c r="BF23" s="40">
        <f t="shared" ca="1" si="132"/>
        <v>3787.7223178333925</v>
      </c>
      <c r="BG23" s="40">
        <f t="shared" ca="1" si="132"/>
        <v>5302.8112449667497</v>
      </c>
      <c r="BH23" s="40">
        <f t="shared" ca="1" si="132"/>
        <v>7423.9357429534493</v>
      </c>
      <c r="BI23" s="40">
        <f t="shared" ca="1" si="132"/>
        <v>10393.510040134828</v>
      </c>
      <c r="BJ23" s="40">
        <f t="shared" ca="1" si="132"/>
        <v>14550.914056188758</v>
      </c>
      <c r="BK23" s="40">
        <f t="shared" ca="1" si="132"/>
        <v>20371.279678664261</v>
      </c>
      <c r="BL23" s="40">
        <f t="shared" ca="1" si="132"/>
        <v>28519.791550129969</v>
      </c>
      <c r="BM23" s="40">
        <f t="shared" ca="1" si="132"/>
        <v>39927.708170181948</v>
      </c>
      <c r="BN23" s="40">
        <f t="shared" ca="1" si="132"/>
        <v>55898.791438254724</v>
      </c>
      <c r="BO23" s="40">
        <f t="shared" ca="1" si="132"/>
        <v>78258.308013556598</v>
      </c>
      <c r="BP23" s="40">
        <f t="shared" ca="1" si="132"/>
        <v>109561.63121897924</v>
      </c>
      <c r="BQ23" s="40">
        <f t="shared" ca="1" si="132"/>
        <v>153386.28370657092</v>
      </c>
      <c r="BR23" s="40">
        <f t="shared" ca="1" si="132"/>
        <v>214740.79718919928</v>
      </c>
      <c r="BS23" s="40">
        <f t="shared" ca="1" si="132"/>
        <v>300637.116064879</v>
      </c>
      <c r="BT23" s="40">
        <f t="shared" ca="1" si="128"/>
        <v>420891.96249083057</v>
      </c>
      <c r="BU23" s="40">
        <f t="shared" ca="1" si="128"/>
        <v>589248.74748716271</v>
      </c>
      <c r="BV23" s="40">
        <f t="shared" ca="1" si="128"/>
        <v>824948.24648202781</v>
      </c>
      <c r="BW23" s="40">
        <f t="shared" ca="1" si="128"/>
        <v>1154927.5450748389</v>
      </c>
      <c r="BX23" s="40">
        <f t="shared" ca="1" si="128"/>
        <v>1616898.5631047743</v>
      </c>
      <c r="BY23" s="40">
        <f t="shared" ca="1" si="128"/>
        <v>2263657.9883466838</v>
      </c>
      <c r="BZ23" s="40">
        <f t="shared" ca="1" si="128"/>
        <v>3169121.1836853572</v>
      </c>
      <c r="CA23" s="40">
        <f t="shared" ca="1" si="128"/>
        <v>3626565.189964158</v>
      </c>
      <c r="CB23" s="40">
        <f t="shared" ca="1" si="128"/>
        <v>3626565.189964158</v>
      </c>
      <c r="CC23" s="40">
        <f t="shared" ca="1" si="128"/>
        <v>3626565.189964158</v>
      </c>
      <c r="CD23" s="40">
        <f t="shared" ca="1" si="128"/>
        <v>3626565.189964158</v>
      </c>
      <c r="CE23" s="40">
        <f t="shared" ca="1" si="128"/>
        <v>3626565.189964158</v>
      </c>
      <c r="CF23" s="40">
        <f t="shared" ca="1" si="128"/>
        <v>3626565.189964158</v>
      </c>
      <c r="CG23" s="40">
        <f t="shared" ca="1" si="128"/>
        <v>3626565.189964158</v>
      </c>
      <c r="CH23" s="40">
        <f t="shared" ca="1" si="128"/>
        <v>3626565.189964158</v>
      </c>
      <c r="CI23" s="40">
        <f t="shared" ca="1" si="128"/>
        <v>3626565.189964158</v>
      </c>
      <c r="CJ23" s="40">
        <f t="shared" ca="1" si="128"/>
        <v>3626565.189964158</v>
      </c>
      <c r="CK23" s="40">
        <f t="shared" ca="1" si="128"/>
        <v>3626565.189964158</v>
      </c>
      <c r="CL23" s="40">
        <f t="shared" ca="1" si="128"/>
        <v>3626565.189964158</v>
      </c>
      <c r="CM23" s="40">
        <f t="shared" ca="1" si="128"/>
        <v>3626565.189964158</v>
      </c>
      <c r="CN23" s="40">
        <f t="shared" ca="1" si="128"/>
        <v>3626565.189964158</v>
      </c>
      <c r="CO23" s="40">
        <f t="shared" ca="1" si="128"/>
        <v>3626565.189964158</v>
      </c>
      <c r="CP23" s="40">
        <f t="shared" ca="1" si="128"/>
        <v>3626565.189964158</v>
      </c>
      <c r="CQ23" s="40">
        <f t="shared" ca="1" si="128"/>
        <v>3626565.189964158</v>
      </c>
      <c r="CR23" s="40">
        <f t="shared" ca="1" si="128"/>
        <v>3626565.189964158</v>
      </c>
      <c r="CS23" s="40">
        <f t="shared" ca="1" si="128"/>
        <v>3626565.189964158</v>
      </c>
      <c r="CT23" s="40">
        <f t="shared" ca="1" si="128"/>
        <v>3626565.189964158</v>
      </c>
      <c r="CU23" s="40">
        <f t="shared" ca="1" si="128"/>
        <v>3626565.189964158</v>
      </c>
      <c r="CV23" s="40">
        <f t="shared" ca="1" si="128"/>
        <v>3626565.189964158</v>
      </c>
      <c r="CW23" s="40">
        <f t="shared" ca="1" si="128"/>
        <v>3626565.189964158</v>
      </c>
      <c r="CX23" s="40">
        <f t="shared" ca="1" si="128"/>
        <v>3626565.189964158</v>
      </c>
      <c r="CY23" s="40">
        <f t="shared" ca="1" si="128"/>
        <v>3626565.189964158</v>
      </c>
      <c r="CZ23" s="40">
        <f t="shared" ca="1" si="128"/>
        <v>3626565.189964158</v>
      </c>
      <c r="DA23" s="40">
        <f t="shared" ca="1" si="128"/>
        <v>3626565.189964158</v>
      </c>
      <c r="DB23" s="40">
        <f t="shared" ca="1" si="128"/>
        <v>3626565.189964158</v>
      </c>
      <c r="DC23" s="40">
        <f t="shared" ca="1" si="128"/>
        <v>3626565.189964158</v>
      </c>
      <c r="DD23" s="40">
        <f t="shared" ca="1" si="128"/>
        <v>3626565.189964158</v>
      </c>
      <c r="DE23" s="40">
        <f t="shared" ca="1" si="128"/>
        <v>3626565.189964158</v>
      </c>
      <c r="DF23" s="40">
        <f t="shared" ca="1" si="128"/>
        <v>3626565.189964158</v>
      </c>
      <c r="DG23" s="40">
        <f t="shared" ca="1" si="128"/>
        <v>3626565.189964158</v>
      </c>
      <c r="DH23" s="40">
        <f t="shared" ca="1" si="128"/>
        <v>3626565.189964158</v>
      </c>
      <c r="DI23" s="40">
        <f t="shared" ca="1" si="128"/>
        <v>3626565.189964158</v>
      </c>
      <c r="DJ23" s="40">
        <f t="shared" ca="1" si="128"/>
        <v>3626565.189964158</v>
      </c>
      <c r="DK23" s="40">
        <f t="shared" ca="1" si="128"/>
        <v>3626565.189964158</v>
      </c>
      <c r="DL23" s="40">
        <f t="shared" ca="1" si="128"/>
        <v>3626565.189964158</v>
      </c>
      <c r="DM23" s="40">
        <f t="shared" ca="1" si="128"/>
        <v>3626565.189964158</v>
      </c>
      <c r="DN23" s="40">
        <f t="shared" ca="1" si="128"/>
        <v>3626565.189964158</v>
      </c>
      <c r="DO23" s="40">
        <f t="shared" ca="1" si="128"/>
        <v>3626565.189964158</v>
      </c>
      <c r="DP23" s="40">
        <f t="shared" ca="1" si="128"/>
        <v>3626565.189964158</v>
      </c>
      <c r="DQ23" s="40">
        <f t="shared" ca="1" si="128"/>
        <v>3626565.189964158</v>
      </c>
      <c r="DR23" s="40">
        <f t="shared" ca="1" si="128"/>
        <v>3626565.189964158</v>
      </c>
      <c r="DS23" s="40">
        <f t="shared" ca="1" si="128"/>
        <v>3626565.189964158</v>
      </c>
      <c r="DT23" s="40">
        <f t="shared" ca="1" si="128"/>
        <v>3626565.189964158</v>
      </c>
      <c r="DU23" s="40">
        <f t="shared" ca="1" si="128"/>
        <v>3626565.189964158</v>
      </c>
      <c r="DV23" s="40">
        <f t="shared" ca="1" si="128"/>
        <v>3626565.189964158</v>
      </c>
      <c r="DW23" s="40">
        <f t="shared" ca="1" si="128"/>
        <v>3626565.189964158</v>
      </c>
      <c r="DX23" s="40">
        <f t="shared" ca="1" si="128"/>
        <v>3626565.189964158</v>
      </c>
      <c r="DY23" s="40">
        <f t="shared" ca="1" si="128"/>
        <v>3626565.189964158</v>
      </c>
      <c r="DZ23" s="40">
        <f t="shared" ca="1" si="128"/>
        <v>3626565.189964158</v>
      </c>
      <c r="EA23" s="40">
        <f t="shared" ca="1" si="128"/>
        <v>3626565.189964158</v>
      </c>
      <c r="EB23" s="40">
        <f t="shared" ca="1" si="128"/>
        <v>3626565.189964158</v>
      </c>
      <c r="EC23" s="40">
        <f t="shared" ca="1" si="128"/>
        <v>3626565.189964158</v>
      </c>
      <c r="ED23" s="40">
        <f t="shared" ca="1" si="128"/>
        <v>3626565.189964158</v>
      </c>
      <c r="EE23" s="40">
        <f t="shared" ca="1" si="128"/>
        <v>3626565.189964158</v>
      </c>
      <c r="EF23" s="40">
        <f t="shared" ca="1" si="129"/>
        <v>3626565.189964158</v>
      </c>
      <c r="EG23" s="40">
        <f t="shared" ca="1" si="129"/>
        <v>3626565.189964158</v>
      </c>
      <c r="EH23" s="40">
        <f t="shared" ca="1" si="129"/>
        <v>3626565.189964158</v>
      </c>
      <c r="EI23" s="40">
        <f t="shared" ca="1" si="129"/>
        <v>3626565.189964158</v>
      </c>
      <c r="EJ23" s="40">
        <f t="shared" ca="1" si="129"/>
        <v>3626565.189964158</v>
      </c>
      <c r="EK23" s="40">
        <f t="shared" ca="1" si="129"/>
        <v>3626565.189964158</v>
      </c>
      <c r="EL23" s="40">
        <f t="shared" ca="1" si="129"/>
        <v>3626565.189964158</v>
      </c>
      <c r="EM23" s="40">
        <f t="shared" ca="1" si="129"/>
        <v>3626565.189964158</v>
      </c>
      <c r="EN23" s="40">
        <f t="shared" ca="1" si="129"/>
        <v>3626565.189964158</v>
      </c>
      <c r="EO23" s="40">
        <f t="shared" ca="1" si="129"/>
        <v>3626565.189964158</v>
      </c>
      <c r="EP23" s="40">
        <f t="shared" ca="1" si="129"/>
        <v>3626565.189964158</v>
      </c>
      <c r="EQ23" s="40">
        <f t="shared" ca="1" si="129"/>
        <v>3626565.189964158</v>
      </c>
      <c r="ER23" s="40">
        <f t="shared" ca="1" si="129"/>
        <v>3626565.189964158</v>
      </c>
      <c r="ES23" s="40">
        <f t="shared" ca="1" si="129"/>
        <v>3626565.189964158</v>
      </c>
      <c r="ET23" s="40">
        <f t="shared" ca="1" si="129"/>
        <v>3626565.189964158</v>
      </c>
      <c r="EU23" s="40">
        <f t="shared" ca="1" si="129"/>
        <v>3626565.189964158</v>
      </c>
      <c r="EV23" s="40">
        <f t="shared" ca="1" si="129"/>
        <v>3626565.189964158</v>
      </c>
      <c r="EW23" s="40">
        <f t="shared" ca="1" si="129"/>
        <v>3626565.189964158</v>
      </c>
      <c r="EX23" s="40">
        <f t="shared" ca="1" si="129"/>
        <v>3626565.189964158</v>
      </c>
      <c r="EY23" s="40">
        <f t="shared" ca="1" si="129"/>
        <v>3626565.189964158</v>
      </c>
      <c r="EZ23" s="40">
        <f t="shared" ca="1" si="129"/>
        <v>3626565.189964158</v>
      </c>
      <c r="FA23" s="40">
        <f t="shared" ca="1" si="129"/>
        <v>3626565.189964158</v>
      </c>
      <c r="FB23" s="40">
        <f t="shared" ca="1" si="129"/>
        <v>3626565.189964158</v>
      </c>
      <c r="FC23" s="40">
        <f t="shared" ca="1" si="129"/>
        <v>3626565.189964158</v>
      </c>
      <c r="FD23" s="40">
        <f t="shared" ca="1" si="129"/>
        <v>3626565.189964158</v>
      </c>
      <c r="FE23" s="40">
        <f t="shared" ca="1" si="129"/>
        <v>3626565.189964158</v>
      </c>
      <c r="FF23" s="40">
        <f t="shared" ca="1" si="129"/>
        <v>3626565.189964158</v>
      </c>
      <c r="FG23" s="40">
        <f t="shared" ca="1" si="129"/>
        <v>3626565.189964158</v>
      </c>
      <c r="FH23" s="40">
        <f t="shared" ca="1" si="129"/>
        <v>3626565.189964158</v>
      </c>
      <c r="FI23" s="40">
        <f t="shared" ca="1" si="129"/>
        <v>3626565.189964158</v>
      </c>
      <c r="FJ23" s="40">
        <f t="shared" ca="1" si="129"/>
        <v>3626565.189964158</v>
      </c>
      <c r="FK23" s="40">
        <f t="shared" ca="1" si="129"/>
        <v>3626565.189964158</v>
      </c>
      <c r="FL23" s="40">
        <f t="shared" ca="1" si="129"/>
        <v>3626565.189964158</v>
      </c>
      <c r="FM23" s="40">
        <f t="shared" ca="1" si="129"/>
        <v>3626565.189964158</v>
      </c>
      <c r="FN23" s="40">
        <f t="shared" ca="1" si="129"/>
        <v>3626565.189964158</v>
      </c>
      <c r="FO23" s="40">
        <f t="shared" ca="1" si="129"/>
        <v>3626565.189964158</v>
      </c>
      <c r="FP23" s="40">
        <f t="shared" ca="1" si="129"/>
        <v>3626565.189964158</v>
      </c>
      <c r="FQ23" s="40">
        <f t="shared" ca="1" si="129"/>
        <v>3626565.189964158</v>
      </c>
      <c r="FR23" s="40">
        <f t="shared" ca="1" si="129"/>
        <v>3626565.189964158</v>
      </c>
      <c r="FS23" s="40">
        <f t="shared" ca="1" si="129"/>
        <v>3626565.189964158</v>
      </c>
      <c r="FT23" s="40">
        <f t="shared" ca="1" si="129"/>
        <v>3626565.189964158</v>
      </c>
      <c r="FU23" s="40">
        <f t="shared" ca="1" si="129"/>
        <v>3626565.189964158</v>
      </c>
      <c r="FV23" s="40">
        <f t="shared" ca="1" si="129"/>
        <v>3626565.189964158</v>
      </c>
      <c r="FW23" s="40">
        <f t="shared" ca="1" si="129"/>
        <v>3626565.189964158</v>
      </c>
      <c r="FX23" s="40">
        <f t="shared" ca="1" si="129"/>
        <v>3626565.189964158</v>
      </c>
      <c r="FY23" s="40">
        <f t="shared" ca="1" si="129"/>
        <v>3626565.189964158</v>
      </c>
      <c r="FZ23" s="40">
        <f t="shared" ca="1" si="129"/>
        <v>3626565.189964158</v>
      </c>
      <c r="GA23" s="40">
        <f t="shared" ca="1" si="129"/>
        <v>3626565.189964158</v>
      </c>
      <c r="GB23" s="40">
        <f t="shared" ca="1" si="129"/>
        <v>3626565.189964158</v>
      </c>
      <c r="GC23" s="40">
        <f t="shared" ca="1" si="129"/>
        <v>3626565.189964158</v>
      </c>
      <c r="GD23" s="40">
        <f t="shared" ca="1" si="129"/>
        <v>3626565.189964158</v>
      </c>
      <c r="GE23" s="40">
        <f t="shared" ca="1" si="129"/>
        <v>3626565.189964158</v>
      </c>
      <c r="GF23" s="40">
        <f t="shared" ca="1" si="129"/>
        <v>3626565.189964158</v>
      </c>
      <c r="GG23" s="40">
        <f t="shared" ca="1" si="129"/>
        <v>3626565.189964158</v>
      </c>
      <c r="GH23" s="40">
        <f t="shared" ca="1" si="129"/>
        <v>3626565.189964158</v>
      </c>
      <c r="GI23" s="40">
        <f t="shared" ca="1" si="129"/>
        <v>3626565.189964158</v>
      </c>
      <c r="GJ23" s="40">
        <f t="shared" ca="1" si="129"/>
        <v>3626565.189964158</v>
      </c>
      <c r="GK23" s="40">
        <f t="shared" ca="1" si="129"/>
        <v>3626565.189964158</v>
      </c>
      <c r="GL23" s="40">
        <f t="shared" ca="1" si="129"/>
        <v>3626565.189964158</v>
      </c>
      <c r="GM23" s="40">
        <f t="shared" ca="1" si="129"/>
        <v>3626565.189964158</v>
      </c>
      <c r="GN23" s="40">
        <f t="shared" ca="1" si="129"/>
        <v>3626565.189964158</v>
      </c>
      <c r="GO23" s="40">
        <f t="shared" ca="1" si="129"/>
        <v>3626565.189964158</v>
      </c>
      <c r="GP23" s="40">
        <f t="shared" ca="1" si="129"/>
        <v>3626565.189964158</v>
      </c>
      <c r="GQ23" s="40">
        <f t="shared" ca="1" si="129"/>
        <v>3626565.189964158</v>
      </c>
      <c r="GR23" s="40">
        <f t="shared" ca="1" si="130"/>
        <v>3626565.189964158</v>
      </c>
      <c r="GS23" s="40">
        <f t="shared" ca="1" si="130"/>
        <v>3626565.189964158</v>
      </c>
      <c r="GT23" s="40">
        <f t="shared" ca="1" si="130"/>
        <v>3626565.189964158</v>
      </c>
      <c r="GU23" s="40">
        <f t="shared" ca="1" si="130"/>
        <v>3626565.189964158</v>
      </c>
      <c r="GV23" s="40">
        <f t="shared" ca="1" si="130"/>
        <v>3626565.189964158</v>
      </c>
      <c r="GW23" s="40">
        <f t="shared" ca="1" si="130"/>
        <v>3626565.189964158</v>
      </c>
      <c r="GX23" s="40">
        <f t="shared" ca="1" si="130"/>
        <v>3626565.189964158</v>
      </c>
      <c r="GY23" s="40">
        <f t="shared" ca="1" si="130"/>
        <v>3626565.189964158</v>
      </c>
      <c r="GZ23" s="40">
        <f t="shared" ca="1" si="130"/>
        <v>3626565.189964158</v>
      </c>
      <c r="HA23" s="40">
        <f t="shared" ca="1" si="130"/>
        <v>3626565.189964158</v>
      </c>
      <c r="HB23" s="40">
        <f t="shared" ca="1" si="130"/>
        <v>3626565.189964158</v>
      </c>
      <c r="HC23" s="40">
        <f t="shared" ca="1" si="130"/>
        <v>3626565.189964158</v>
      </c>
      <c r="HD23" s="40">
        <f t="shared" ca="1" si="130"/>
        <v>3626565.189964158</v>
      </c>
      <c r="HE23" s="40">
        <f t="shared" ca="1" si="130"/>
        <v>3626565.189964158</v>
      </c>
      <c r="HF23" s="40">
        <f t="shared" ca="1" si="130"/>
        <v>3626565.189964158</v>
      </c>
      <c r="HG23" s="40">
        <f t="shared" ca="1" si="130"/>
        <v>3626565.189964158</v>
      </c>
      <c r="HH23" s="40">
        <f t="shared" ca="1" si="130"/>
        <v>3626565.189964158</v>
      </c>
      <c r="HI23" s="40">
        <f t="shared" ca="1" si="130"/>
        <v>3626565.189964158</v>
      </c>
      <c r="HJ23" s="40">
        <f t="shared" ca="1" si="130"/>
        <v>3626565.189964158</v>
      </c>
      <c r="HK23" s="40">
        <f t="shared" ca="1" si="130"/>
        <v>3626565.189964158</v>
      </c>
      <c r="HL23" s="40">
        <f t="shared" ca="1" si="130"/>
        <v>3626565.189964158</v>
      </c>
      <c r="HM23" s="40">
        <f t="shared" ca="1" si="130"/>
        <v>3626565.189964158</v>
      </c>
      <c r="HN23" s="40">
        <f t="shared" ca="1" si="130"/>
        <v>3626565.189964158</v>
      </c>
      <c r="HO23" s="40">
        <f t="shared" ca="1" si="130"/>
        <v>3626565.189964158</v>
      </c>
      <c r="HP23" s="40">
        <f t="shared" ca="1" si="130"/>
        <v>3626565.189964158</v>
      </c>
      <c r="HQ23" s="40">
        <f t="shared" ca="1" si="130"/>
        <v>3626565.189964158</v>
      </c>
      <c r="HR23" s="40">
        <f t="shared" ca="1" si="130"/>
        <v>3626565.189964158</v>
      </c>
      <c r="HS23" s="40">
        <f t="shared" ca="1" si="130"/>
        <v>3626565.189964158</v>
      </c>
      <c r="HT23" s="40">
        <f t="shared" ca="1" si="130"/>
        <v>3626565.189964158</v>
      </c>
      <c r="HU23" s="40">
        <f t="shared" ca="1" si="130"/>
        <v>3626565.189964158</v>
      </c>
      <c r="HV23" s="40">
        <f t="shared" ca="1" si="130"/>
        <v>3626565.189964158</v>
      </c>
      <c r="HW23" s="40">
        <f t="shared" ca="1" si="130"/>
        <v>3626565.189964158</v>
      </c>
      <c r="HX23" s="40">
        <f t="shared" ca="1" si="130"/>
        <v>3626565.189964158</v>
      </c>
      <c r="HY23" s="40">
        <f t="shared" ca="1" si="130"/>
        <v>3626565.189964158</v>
      </c>
      <c r="HZ23" s="40">
        <f t="shared" ca="1" si="130"/>
        <v>3626565.189964158</v>
      </c>
      <c r="IA23" s="40">
        <f t="shared" ca="1" si="130"/>
        <v>3626565.189964158</v>
      </c>
      <c r="IB23" s="40">
        <f t="shared" ca="1" si="130"/>
        <v>3626565.189964158</v>
      </c>
      <c r="IC23" s="40">
        <f t="shared" ca="1" si="130"/>
        <v>3626565.189964158</v>
      </c>
      <c r="ID23" s="40">
        <f t="shared" ca="1" si="130"/>
        <v>3626565.189964158</v>
      </c>
      <c r="IE23" s="40">
        <f t="shared" ca="1" si="130"/>
        <v>3626565.189964158</v>
      </c>
      <c r="IF23" s="40">
        <f t="shared" ca="1" si="130"/>
        <v>3626565.189964158</v>
      </c>
      <c r="IG23" s="40">
        <f t="shared" ca="1" si="130"/>
        <v>3626565.189964158</v>
      </c>
      <c r="IH23" s="40">
        <f t="shared" ca="1" si="130"/>
        <v>3626565.189964158</v>
      </c>
      <c r="II23" s="40">
        <f t="shared" ca="1" si="130"/>
        <v>3626565.189964158</v>
      </c>
      <c r="IJ23" s="40">
        <f t="shared" ca="1" si="130"/>
        <v>3626565.189964158</v>
      </c>
      <c r="IK23" s="40">
        <f t="shared" ca="1" si="130"/>
        <v>3626565.189964158</v>
      </c>
      <c r="IL23" s="40">
        <f t="shared" ca="1" si="130"/>
        <v>3626565.189964158</v>
      </c>
      <c r="IM23" s="40">
        <f t="shared" ca="1" si="130"/>
        <v>3626565.189964158</v>
      </c>
      <c r="IN23" s="40">
        <f t="shared" ca="1" si="130"/>
        <v>3626565.189964158</v>
      </c>
    </row>
    <row r="24" spans="2:248" x14ac:dyDescent="0.3">
      <c r="B24" s="19" t="s">
        <v>498</v>
      </c>
      <c r="C24" s="54">
        <f>IF(VLOOKUP(B2,Country_Data!C:H,6,FALSE)="","Not initiated",VLOOKUP(B2,Country_Data!C:H,6,FALSE))</f>
        <v>43888</v>
      </c>
    </row>
    <row r="25" spans="2:248" x14ac:dyDescent="0.3">
      <c r="F25" s="19" t="s">
        <v>473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1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-1000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1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0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1882</v>
      </c>
      <c r="D27" s="24">
        <f ca="1">IF(D31&lt;TODAY(),_xlfn.MAXIFS(G20:IN20,G4:IN4,"&lt;"&amp;C5+5),IF(D31="N/A",C16*1.5,_xlfn.MAXIFS(G20:IN20,G3:IN3,"&lt;"&amp;$D$31)*1.5))</f>
        <v>13777.377963059755</v>
      </c>
      <c r="F27" s="22" t="s">
        <v>503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1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501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-1000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43882</v>
      </c>
      <c r="D29" s="20">
        <f ca="1">G3</f>
        <v>43882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43926</v>
      </c>
      <c r="D30" s="20">
        <f ca="1">IF(D31&lt;TODAY(),TODAY()+3+Projections!Z45,IFERROR(OFFSET(G26,-23,MATCH(1,G26:IN26,0))+3+Projections!Z45,xMax2+3+Projections!Z45))</f>
        <v>43959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43955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538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Japan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Japan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C1" zoomScale="94" workbookViewId="0">
      <selection activeCell="G3" sqref="G3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 t="shared" ref="J2:AO2" si="5">I2*1.4</f>
        <v>140</v>
      </c>
      <c r="K2" s="10">
        <f t="shared" si="5"/>
        <v>196</v>
      </c>
      <c r="L2" s="10">
        <f t="shared" si="5"/>
        <v>274.39999999999998</v>
      </c>
      <c r="M2" s="10">
        <f t="shared" si="5"/>
        <v>384.15999999999997</v>
      </c>
      <c r="N2" s="10">
        <f t="shared" si="5"/>
        <v>537.82399999999996</v>
      </c>
      <c r="O2" s="10">
        <f t="shared" si="5"/>
        <v>752.95359999999994</v>
      </c>
      <c r="P2" s="10">
        <f t="shared" si="5"/>
        <v>1054.1350399999999</v>
      </c>
      <c r="Q2" s="10">
        <f t="shared" si="5"/>
        <v>1475.7890559999998</v>
      </c>
      <c r="R2" s="10">
        <f t="shared" si="5"/>
        <v>2066.1046783999996</v>
      </c>
      <c r="S2" s="10">
        <f t="shared" si="5"/>
        <v>2892.5465497599994</v>
      </c>
      <c r="T2" s="10">
        <f t="shared" si="5"/>
        <v>4049.5651696639989</v>
      </c>
      <c r="U2" s="10">
        <f t="shared" si="5"/>
        <v>5669.3912375295977</v>
      </c>
      <c r="V2" s="10">
        <f t="shared" si="5"/>
        <v>7937.1477325414362</v>
      </c>
      <c r="W2" s="10">
        <f t="shared" si="5"/>
        <v>11112.00682555801</v>
      </c>
      <c r="X2" s="10">
        <f t="shared" si="5"/>
        <v>15556.809555781212</v>
      </c>
      <c r="Y2" s="10">
        <f t="shared" si="5"/>
        <v>21779.533378093696</v>
      </c>
      <c r="Z2" s="10">
        <f t="shared" si="5"/>
        <v>30491.346729331173</v>
      </c>
      <c r="AA2" s="10">
        <f t="shared" si="5"/>
        <v>42687.885421063642</v>
      </c>
      <c r="AB2" s="10">
        <f t="shared" si="5"/>
        <v>59763.039589489097</v>
      </c>
      <c r="AC2" s="10">
        <f t="shared" si="5"/>
        <v>83668.255425284733</v>
      </c>
      <c r="AD2" s="10">
        <f t="shared" si="5"/>
        <v>117135.55759539861</v>
      </c>
      <c r="AE2" s="10">
        <f t="shared" si="5"/>
        <v>163989.78063355805</v>
      </c>
      <c r="AF2" s="10">
        <f t="shared" si="5"/>
        <v>229585.69288698127</v>
      </c>
      <c r="AG2" s="10">
        <f t="shared" si="5"/>
        <v>321419.97004177375</v>
      </c>
      <c r="AH2" s="10">
        <f t="shared" si="5"/>
        <v>449987.9580584832</v>
      </c>
      <c r="AI2" s="10">
        <f t="shared" si="5"/>
        <v>629983.14128187648</v>
      </c>
      <c r="AJ2" s="10">
        <f t="shared" si="5"/>
        <v>881976.397794627</v>
      </c>
      <c r="AK2" s="10">
        <f t="shared" si="5"/>
        <v>1234766.9569124777</v>
      </c>
      <c r="AL2" s="10">
        <f t="shared" si="5"/>
        <v>1728673.7396774688</v>
      </c>
      <c r="AM2" s="10">
        <f t="shared" si="5"/>
        <v>2420143.2355484562</v>
      </c>
      <c r="AN2" s="10">
        <f t="shared" si="5"/>
        <v>3388200.5297678383</v>
      </c>
      <c r="AO2" s="10">
        <f t="shared" si="5"/>
        <v>4743480.7416749736</v>
      </c>
      <c r="AP2" s="10">
        <f t="shared" ref="AP2:BH2" si="6">AO2*1.4</f>
        <v>6640873.0383449625</v>
      </c>
      <c r="AQ2" s="10">
        <f t="shared" si="6"/>
        <v>9297222.2536829468</v>
      </c>
      <c r="AR2" s="10">
        <f t="shared" si="6"/>
        <v>13016111.155156124</v>
      </c>
      <c r="AS2" s="10">
        <f t="shared" si="6"/>
        <v>18222555.617218573</v>
      </c>
      <c r="AT2" s="10">
        <f t="shared" si="6"/>
        <v>25511577.864105999</v>
      </c>
      <c r="AU2" s="10">
        <f t="shared" si="6"/>
        <v>35716209.009748399</v>
      </c>
      <c r="AV2" s="10">
        <f t="shared" si="6"/>
        <v>50002692.613647759</v>
      </c>
      <c r="AW2" s="10">
        <f t="shared" si="6"/>
        <v>70003769.659106866</v>
      </c>
      <c r="AX2" s="10">
        <f t="shared" si="6"/>
        <v>98005277.522749603</v>
      </c>
      <c r="AY2" s="10">
        <f t="shared" si="6"/>
        <v>137207388.53184944</v>
      </c>
      <c r="AZ2" s="10">
        <f t="shared" si="6"/>
        <v>192090343.9445892</v>
      </c>
      <c r="BA2" s="10">
        <f t="shared" si="6"/>
        <v>268926481.52242488</v>
      </c>
      <c r="BB2" s="10">
        <f t="shared" si="6"/>
        <v>376497074.1313948</v>
      </c>
      <c r="BC2" s="10">
        <f t="shared" si="6"/>
        <v>527095903.78395271</v>
      </c>
      <c r="BD2" s="10">
        <f t="shared" si="6"/>
        <v>737934265.29753375</v>
      </c>
      <c r="BE2" s="10">
        <f t="shared" si="6"/>
        <v>1033107971.4165472</v>
      </c>
      <c r="BF2" s="10">
        <f t="shared" si="6"/>
        <v>1446351159.983166</v>
      </c>
      <c r="BG2" s="10">
        <f t="shared" si="6"/>
        <v>2024891623.9764323</v>
      </c>
      <c r="BH2" s="10">
        <f t="shared" si="6"/>
        <v>2834848273.5670052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 t="shared" ref="G3:G33" si="8">IF(COUNTIF(I3:XFD3,"&gt;"&amp;0)=0,,(E3/F3)^(1/MIN(COUNTIF(I3:XFD3,"&gt;"&amp;0)-1,$F$1)))</f>
        <v>1.3</v>
      </c>
      <c r="H3" s="15" t="s">
        <v>431</v>
      </c>
      <c r="I3" s="9">
        <v>100</v>
      </c>
      <c r="J3" s="10">
        <f t="shared" ref="J3:AO3" si="9">I3*1.3</f>
        <v>130</v>
      </c>
      <c r="K3" s="10">
        <f t="shared" si="9"/>
        <v>169</v>
      </c>
      <c r="L3" s="10">
        <f t="shared" si="9"/>
        <v>219.70000000000002</v>
      </c>
      <c r="M3" s="10">
        <f t="shared" si="9"/>
        <v>285.61</v>
      </c>
      <c r="N3" s="10">
        <f t="shared" si="9"/>
        <v>371.29300000000001</v>
      </c>
      <c r="O3" s="10">
        <f t="shared" si="9"/>
        <v>482.68090000000001</v>
      </c>
      <c r="P3" s="10">
        <f t="shared" si="9"/>
        <v>627.48517000000004</v>
      </c>
      <c r="Q3" s="10">
        <f t="shared" si="9"/>
        <v>815.73072100000013</v>
      </c>
      <c r="R3" s="10">
        <f t="shared" si="9"/>
        <v>1060.4499373000001</v>
      </c>
      <c r="S3" s="10">
        <f t="shared" si="9"/>
        <v>1378.5849184900003</v>
      </c>
      <c r="T3" s="10">
        <f t="shared" si="9"/>
        <v>1792.1603940370005</v>
      </c>
      <c r="U3" s="10">
        <f t="shared" si="9"/>
        <v>2329.8085122481007</v>
      </c>
      <c r="V3" s="10">
        <f t="shared" si="9"/>
        <v>3028.7510659225309</v>
      </c>
      <c r="W3" s="10">
        <f t="shared" si="9"/>
        <v>3937.37638569929</v>
      </c>
      <c r="X3" s="10">
        <f t="shared" si="9"/>
        <v>5118.5893014090771</v>
      </c>
      <c r="Y3" s="10">
        <f t="shared" si="9"/>
        <v>6654.1660918318003</v>
      </c>
      <c r="Z3" s="10">
        <f t="shared" si="9"/>
        <v>8650.4159193813412</v>
      </c>
      <c r="AA3" s="10">
        <f t="shared" si="9"/>
        <v>11245.540695195745</v>
      </c>
      <c r="AB3" s="10">
        <f t="shared" si="9"/>
        <v>14619.202903754469</v>
      </c>
      <c r="AC3" s="10">
        <f t="shared" si="9"/>
        <v>19004.963774880809</v>
      </c>
      <c r="AD3" s="10">
        <f t="shared" si="9"/>
        <v>24706.452907345054</v>
      </c>
      <c r="AE3" s="10">
        <f t="shared" si="9"/>
        <v>32118.388779548572</v>
      </c>
      <c r="AF3" s="10">
        <f t="shared" si="9"/>
        <v>41753.905413413144</v>
      </c>
      <c r="AG3" s="10">
        <f t="shared" si="9"/>
        <v>54280.077037437091</v>
      </c>
      <c r="AH3" s="10">
        <f t="shared" si="9"/>
        <v>70564.100148668222</v>
      </c>
      <c r="AI3" s="10">
        <f t="shared" si="9"/>
        <v>91733.330193268688</v>
      </c>
      <c r="AJ3" s="10">
        <f t="shared" si="9"/>
        <v>119253.32925124929</v>
      </c>
      <c r="AK3" s="10">
        <f t="shared" si="9"/>
        <v>155029.32802662408</v>
      </c>
      <c r="AL3" s="10">
        <f t="shared" si="9"/>
        <v>201538.1264346113</v>
      </c>
      <c r="AM3" s="10">
        <f t="shared" si="9"/>
        <v>261999.5643649947</v>
      </c>
      <c r="AN3" s="10">
        <f t="shared" si="9"/>
        <v>340599.43367449311</v>
      </c>
      <c r="AO3" s="10">
        <f t="shared" si="9"/>
        <v>442779.26377684105</v>
      </c>
      <c r="AP3" s="10">
        <f t="shared" ref="AP3:BH3" si="10">AO3*1.3</f>
        <v>575613.04290989344</v>
      </c>
      <c r="AQ3" s="10">
        <f t="shared" si="10"/>
        <v>748296.95578286145</v>
      </c>
      <c r="AR3" s="10">
        <f t="shared" si="10"/>
        <v>972786.04251771991</v>
      </c>
      <c r="AS3" s="10">
        <f t="shared" si="10"/>
        <v>1264621.8552730358</v>
      </c>
      <c r="AT3" s="10">
        <f t="shared" si="10"/>
        <v>1644008.4118549465</v>
      </c>
      <c r="AU3" s="10">
        <f t="shared" si="10"/>
        <v>2137210.9354114304</v>
      </c>
      <c r="AV3" s="10">
        <f t="shared" si="10"/>
        <v>2778374.2160348599</v>
      </c>
      <c r="AW3" s="10">
        <f t="shared" si="10"/>
        <v>3611886.4808453182</v>
      </c>
      <c r="AX3" s="10">
        <f t="shared" si="10"/>
        <v>4695452.4250989137</v>
      </c>
      <c r="AY3" s="10">
        <f t="shared" si="10"/>
        <v>6104088.1526285885</v>
      </c>
      <c r="AZ3" s="10">
        <f t="shared" si="10"/>
        <v>7935314.5984171657</v>
      </c>
      <c r="BA3" s="10">
        <f t="shared" si="10"/>
        <v>10315908.977942316</v>
      </c>
      <c r="BB3" s="10">
        <f t="shared" si="10"/>
        <v>13410681.671325011</v>
      </c>
      <c r="BC3" s="10">
        <f t="shared" si="10"/>
        <v>17433886.172722515</v>
      </c>
      <c r="BD3" s="10">
        <f t="shared" si="10"/>
        <v>22664052.02453927</v>
      </c>
      <c r="BE3" s="10">
        <f t="shared" si="10"/>
        <v>29463267.631901052</v>
      </c>
      <c r="BF3" s="10">
        <f t="shared" si="10"/>
        <v>38302247.921471372</v>
      </c>
      <c r="BG3" s="10">
        <f t="shared" si="10"/>
        <v>49792922.297912784</v>
      </c>
      <c r="BH3" s="10">
        <f t="shared" si="10"/>
        <v>64730798.98728662</v>
      </c>
    </row>
    <row r="4" spans="1:307" x14ac:dyDescent="0.25">
      <c r="A4" s="9">
        <f t="shared" si="7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 t="shared" si="8"/>
        <v>1.2</v>
      </c>
      <c r="H4" s="15" t="s">
        <v>621</v>
      </c>
      <c r="I4" s="9">
        <v>100</v>
      </c>
      <c r="J4" s="10">
        <f t="shared" ref="J4:AO4" si="11">I4*1.2</f>
        <v>120</v>
      </c>
      <c r="K4" s="10">
        <f t="shared" si="11"/>
        <v>144</v>
      </c>
      <c r="L4" s="10">
        <f t="shared" si="11"/>
        <v>172.79999999999998</v>
      </c>
      <c r="M4" s="10">
        <f t="shared" si="11"/>
        <v>207.35999999999999</v>
      </c>
      <c r="N4" s="10">
        <f t="shared" si="11"/>
        <v>248.83199999999997</v>
      </c>
      <c r="O4" s="10">
        <f t="shared" si="11"/>
        <v>298.59839999999997</v>
      </c>
      <c r="P4" s="10">
        <f t="shared" si="11"/>
        <v>358.31807999999995</v>
      </c>
      <c r="Q4" s="10">
        <f t="shared" si="11"/>
        <v>429.98169599999994</v>
      </c>
      <c r="R4" s="10">
        <f t="shared" si="11"/>
        <v>515.97803519999991</v>
      </c>
      <c r="S4" s="10">
        <f t="shared" si="11"/>
        <v>619.17364223999982</v>
      </c>
      <c r="T4" s="10">
        <f t="shared" si="11"/>
        <v>743.00837068799979</v>
      </c>
      <c r="U4" s="10">
        <f t="shared" si="11"/>
        <v>891.61004482559974</v>
      </c>
      <c r="V4" s="10">
        <f t="shared" si="11"/>
        <v>1069.9320537907197</v>
      </c>
      <c r="W4" s="10">
        <f t="shared" si="11"/>
        <v>1283.9184645488635</v>
      </c>
      <c r="X4" s="10">
        <f t="shared" si="11"/>
        <v>1540.7021574586363</v>
      </c>
      <c r="Y4" s="10">
        <f t="shared" si="11"/>
        <v>1848.8425889503635</v>
      </c>
      <c r="Z4" s="10">
        <f t="shared" si="11"/>
        <v>2218.6111067404363</v>
      </c>
      <c r="AA4" s="10">
        <f t="shared" si="11"/>
        <v>2662.3333280885236</v>
      </c>
      <c r="AB4" s="10">
        <f t="shared" si="11"/>
        <v>3194.7999937062282</v>
      </c>
      <c r="AC4" s="10">
        <f t="shared" si="11"/>
        <v>3833.7599924474735</v>
      </c>
      <c r="AD4" s="10">
        <f t="shared" si="11"/>
        <v>4600.5119909369678</v>
      </c>
      <c r="AE4" s="10">
        <f t="shared" si="11"/>
        <v>5520.614389124361</v>
      </c>
      <c r="AF4" s="10">
        <f t="shared" si="11"/>
        <v>6624.7372669492333</v>
      </c>
      <c r="AG4" s="10">
        <f t="shared" si="11"/>
        <v>7949.6847203390798</v>
      </c>
      <c r="AH4" s="10">
        <f t="shared" si="11"/>
        <v>9539.6216644068954</v>
      </c>
      <c r="AI4" s="10">
        <f t="shared" si="11"/>
        <v>11447.545997288275</v>
      </c>
      <c r="AJ4" s="10">
        <f t="shared" si="11"/>
        <v>13737.055196745929</v>
      </c>
      <c r="AK4" s="10">
        <f t="shared" si="11"/>
        <v>16484.466236095115</v>
      </c>
      <c r="AL4" s="10">
        <f t="shared" si="11"/>
        <v>19781.359483314136</v>
      </c>
      <c r="AM4" s="10">
        <f t="shared" si="11"/>
        <v>23737.631379976963</v>
      </c>
      <c r="AN4" s="10">
        <f t="shared" si="11"/>
        <v>28485.157655972354</v>
      </c>
      <c r="AO4" s="10">
        <f t="shared" si="11"/>
        <v>34182.189187166827</v>
      </c>
      <c r="AP4" s="10">
        <f t="shared" ref="AP4:BH4" si="12">AO4*1.2</f>
        <v>41018.627024600188</v>
      </c>
      <c r="AQ4" s="10">
        <f t="shared" si="12"/>
        <v>49222.352429520222</v>
      </c>
      <c r="AR4" s="10">
        <f t="shared" si="12"/>
        <v>59066.822915424265</v>
      </c>
      <c r="AS4" s="10">
        <f t="shared" si="12"/>
        <v>70880.187498509113</v>
      </c>
      <c r="AT4" s="10">
        <f t="shared" si="12"/>
        <v>85056.224998210935</v>
      </c>
      <c r="AU4" s="10">
        <f t="shared" si="12"/>
        <v>102067.46999785311</v>
      </c>
      <c r="AV4" s="10">
        <f t="shared" si="12"/>
        <v>122480.96399742374</v>
      </c>
      <c r="AW4" s="10">
        <f t="shared" si="12"/>
        <v>146977.15679690847</v>
      </c>
      <c r="AX4" s="10">
        <f t="shared" si="12"/>
        <v>176372.58815629015</v>
      </c>
      <c r="AY4" s="10">
        <f t="shared" si="12"/>
        <v>211647.10578754818</v>
      </c>
      <c r="AZ4" s="10">
        <f t="shared" si="12"/>
        <v>253976.52694505779</v>
      </c>
      <c r="BA4" s="10">
        <f t="shared" si="12"/>
        <v>304771.83233406936</v>
      </c>
      <c r="BB4" s="10">
        <f t="shared" si="12"/>
        <v>365726.1988008832</v>
      </c>
      <c r="BC4" s="10">
        <f t="shared" si="12"/>
        <v>438871.43856105983</v>
      </c>
      <c r="BD4" s="10">
        <f t="shared" si="12"/>
        <v>526645.72627327172</v>
      </c>
      <c r="BE4" s="10">
        <f t="shared" si="12"/>
        <v>631974.87152792607</v>
      </c>
      <c r="BF4" s="10">
        <f t="shared" si="12"/>
        <v>758369.84583351121</v>
      </c>
      <c r="BG4" s="10">
        <f t="shared" si="12"/>
        <v>910043.81500021345</v>
      </c>
      <c r="BH4" s="10">
        <f t="shared" si="12"/>
        <v>1092052.5780002561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US</v>
      </c>
      <c r="D5" s="6">
        <f t="shared" ref="D5:D36" si="14">MAX(I5:JF5)</f>
        <v>188172</v>
      </c>
      <c r="E5" s="6">
        <f>IF(COUNTIF(I5:XFD5,"&gt;"&amp;0)=0,,HLOOKUP(COUNTIF(I5:XFD5,"&gt;"&amp;0)-1,I$1:XFD5,A5+1,FALSE))</f>
        <v>188172</v>
      </c>
      <c r="F5" s="7">
        <f>IF(COUNTIF(I5:XFD5,"&gt;"&amp;0)=0,,HLOOKUP(COUNTIF(I5:XFD5,"&gt;"&amp;0)-MIN($F$1+1,COUNTIF(I5:XFD5,"&gt;"&amp;0)),I$1:XFD5,A5+1,FALSE))</f>
        <v>83836</v>
      </c>
      <c r="G5" s="8">
        <f t="shared" si="8"/>
        <v>1.1755061087804621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si="13"/>
        <v>Italy</v>
      </c>
      <c r="D6" s="6">
        <f t="shared" si="14"/>
        <v>105792</v>
      </c>
      <c r="E6" s="6">
        <f>IF(COUNTIF(I6:XFD6,"&gt;"&amp;0)=0,,HLOOKUP(COUNTIF(I6:XFD6,"&gt;"&amp;0)-1,I$1:XFD6,A6+1,FALSE))</f>
        <v>105792</v>
      </c>
      <c r="F6" s="7">
        <f>IF(COUNTIF(I6:XFD6,"&gt;"&amp;0)=0,,HLOOKUP(COUNTIF(I6:XFD6,"&gt;"&amp;0)-MIN($F$1+1,COUNTIF(I6:XFD6,"&gt;"&amp;0)),I$1:XFD6,A6+1,FALSE))</f>
        <v>80589</v>
      </c>
      <c r="G6" s="8">
        <f t="shared" si="8"/>
        <v>1.0559306889704352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1</v>
      </c>
      <c r="C7" s="9" t="str">
        <f t="shared" si="13"/>
        <v>Spain</v>
      </c>
      <c r="D7" s="6">
        <f t="shared" si="14"/>
        <v>95923</v>
      </c>
      <c r="E7" s="6">
        <f>IF(COUNTIF(I7:XFD7,"&gt;"&amp;0)=0,,HLOOKUP(COUNTIF(I7:XFD7,"&gt;"&amp;0)-1,I$1:XFD7,A7+1,FALSE))</f>
        <v>95923</v>
      </c>
      <c r="F7" s="7">
        <f>IF(COUNTIF(I7:XFD7,"&gt;"&amp;0)=0,,HLOOKUP(COUNTIF(I7:XFD7,"&gt;"&amp;0)-MIN($F$1+1,COUNTIF(I7:XFD7,"&gt;"&amp;0)),I$1:XFD7,A7+1,FALSE))</f>
        <v>57786</v>
      </c>
      <c r="G7" s="8">
        <f t="shared" si="8"/>
        <v>1.1066748080416351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1</v>
      </c>
      <c r="C8" s="9" t="str">
        <f t="shared" si="13"/>
        <v>China</v>
      </c>
      <c r="D8" s="6">
        <f t="shared" si="14"/>
        <v>82279</v>
      </c>
      <c r="E8" s="6">
        <f>IF(COUNTIF(I8:XFD8,"&gt;"&amp;0)=0,,HLOOKUP(COUNTIF(I8:XFD8,"&gt;"&amp;0)-1,I$1:XFD8,A8+1,FALSE))</f>
        <v>82279</v>
      </c>
      <c r="F8" s="7">
        <f>IF(COUNTIF(I8:XFD8,"&gt;"&amp;0)=0,,HLOOKUP(COUNTIF(I8:XFD8,"&gt;"&amp;0)-MIN($F$1+1,COUNTIF(I8:XFD8,"&gt;"&amp;0)),I$1:XFD8,A8+1,FALSE))</f>
        <v>81782</v>
      </c>
      <c r="G8" s="8">
        <f t="shared" si="8"/>
        <v>1.0012124825822808</v>
      </c>
      <c r="H8" s="13" t="s">
        <v>337</v>
      </c>
      <c r="I8" s="9">
        <v>548</v>
      </c>
      <c r="J8" s="9">
        <v>643</v>
      </c>
      <c r="K8" s="9">
        <v>920</v>
      </c>
      <c r="L8" s="9">
        <v>1406</v>
      </c>
      <c r="M8" s="9">
        <v>2075</v>
      </c>
      <c r="N8" s="9">
        <v>2877</v>
      </c>
      <c r="O8" s="9">
        <v>5509</v>
      </c>
      <c r="P8" s="9">
        <v>6087</v>
      </c>
      <c r="Q8" s="9">
        <v>8141</v>
      </c>
      <c r="R8" s="9">
        <v>9802</v>
      </c>
      <c r="S8" s="9">
        <v>11891</v>
      </c>
      <c r="T8" s="9">
        <v>16630</v>
      </c>
      <c r="U8" s="9">
        <v>19716</v>
      </c>
      <c r="V8" s="9">
        <v>23707</v>
      </c>
      <c r="W8" s="9">
        <v>27440</v>
      </c>
      <c r="X8" s="9">
        <v>30587</v>
      </c>
      <c r="Y8" s="9">
        <v>34110</v>
      </c>
      <c r="Z8" s="9">
        <v>36814</v>
      </c>
      <c r="AA8" s="9">
        <v>39829</v>
      </c>
      <c r="AB8" s="9">
        <v>42354</v>
      </c>
      <c r="AC8" s="9">
        <v>44386</v>
      </c>
      <c r="AD8" s="9">
        <v>50000</v>
      </c>
      <c r="AE8" s="9">
        <v>59895</v>
      </c>
      <c r="AF8" s="9">
        <v>66358</v>
      </c>
      <c r="AG8" s="9">
        <v>68413</v>
      </c>
      <c r="AH8" s="9">
        <v>70513</v>
      </c>
      <c r="AI8" s="9">
        <v>72434</v>
      </c>
      <c r="AJ8" s="9">
        <v>74211</v>
      </c>
      <c r="AK8" s="9">
        <v>74619</v>
      </c>
      <c r="AL8" s="9">
        <v>75077</v>
      </c>
      <c r="AM8" s="9">
        <v>75550</v>
      </c>
      <c r="AN8" s="9">
        <v>77001</v>
      </c>
      <c r="AO8" s="9">
        <v>77022</v>
      </c>
      <c r="AP8" s="9">
        <v>77241</v>
      </c>
      <c r="AQ8" s="9">
        <v>77754</v>
      </c>
      <c r="AR8" s="9">
        <v>78166</v>
      </c>
      <c r="AS8" s="9">
        <v>78600</v>
      </c>
      <c r="AT8" s="9">
        <v>78928</v>
      </c>
      <c r="AU8" s="9">
        <v>79356</v>
      </c>
      <c r="AV8" s="9">
        <v>79932</v>
      </c>
      <c r="AW8" s="9">
        <v>80136</v>
      </c>
      <c r="AX8" s="9">
        <v>80261</v>
      </c>
      <c r="AY8" s="9">
        <v>80386</v>
      </c>
      <c r="AZ8" s="9">
        <v>80537</v>
      </c>
      <c r="BA8" s="9">
        <v>80690</v>
      </c>
      <c r="BB8" s="9">
        <v>80770</v>
      </c>
      <c r="BC8" s="9">
        <v>80823</v>
      </c>
      <c r="BD8" s="9">
        <v>80860</v>
      </c>
      <c r="BE8" s="9">
        <v>80887</v>
      </c>
      <c r="BF8" s="9">
        <v>80921</v>
      </c>
      <c r="BG8" s="9">
        <v>80932</v>
      </c>
      <c r="BH8" s="9">
        <v>80945</v>
      </c>
      <c r="BI8" s="9">
        <v>80977</v>
      </c>
      <c r="BJ8" s="9">
        <v>81003</v>
      </c>
      <c r="BK8" s="9">
        <v>81033</v>
      </c>
      <c r="BL8" s="9">
        <v>81058</v>
      </c>
      <c r="BM8" s="9">
        <v>81102</v>
      </c>
      <c r="BN8" s="9">
        <v>81156</v>
      </c>
      <c r="BO8" s="9">
        <v>81250</v>
      </c>
      <c r="BP8" s="9">
        <v>81305</v>
      </c>
      <c r="BQ8" s="9">
        <v>81435</v>
      </c>
      <c r="BR8" s="9">
        <v>81498</v>
      </c>
      <c r="BS8" s="9">
        <v>81591</v>
      </c>
      <c r="BT8" s="9">
        <v>81661</v>
      </c>
      <c r="BU8" s="9">
        <v>81782</v>
      </c>
      <c r="BV8" s="9">
        <v>81897</v>
      </c>
      <c r="BW8" s="9">
        <v>81999</v>
      </c>
      <c r="BX8" s="9">
        <v>82122</v>
      </c>
      <c r="BY8" s="9">
        <v>82198</v>
      </c>
      <c r="BZ8" s="9">
        <v>82279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1</v>
      </c>
      <c r="C9" s="9" t="str">
        <f t="shared" si="13"/>
        <v>Germany</v>
      </c>
      <c r="D9" s="6">
        <f t="shared" si="14"/>
        <v>71808</v>
      </c>
      <c r="E9" s="6">
        <f>IF(COUNTIF(I9:XFD9,"&gt;"&amp;0)=0,,HLOOKUP(COUNTIF(I9:XFD9,"&gt;"&amp;0)-1,I$1:XFD9,A9+1,FALSE))</f>
        <v>71808</v>
      </c>
      <c r="F9" s="7">
        <f>IF(COUNTIF(I9:XFD9,"&gt;"&amp;0)=0,,HLOOKUP(COUNTIF(I9:XFD9,"&gt;"&amp;0)-MIN($F$1+1,COUNTIF(I9:XFD9,"&gt;"&amp;0)),I$1:XFD9,A9+1,FALSE))</f>
        <v>43938</v>
      </c>
      <c r="G9" s="8">
        <f t="shared" si="8"/>
        <v>1.1032311335527025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  <c r="AJ9" s="9">
        <v>57695</v>
      </c>
      <c r="AK9" s="9">
        <v>62095</v>
      </c>
      <c r="AL9" s="9">
        <v>66885</v>
      </c>
      <c r="AM9" s="9">
        <v>71808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France</v>
      </c>
      <c r="D10" s="6">
        <f t="shared" si="14"/>
        <v>52827</v>
      </c>
      <c r="E10" s="6">
        <f>IF(COUNTIF(I10:XFD10,"&gt;"&amp;0)=0,,HLOOKUP(COUNTIF(I10:XFD10,"&gt;"&amp;0)-1,I$1:XFD10,A10+1,FALSE))</f>
        <v>52827</v>
      </c>
      <c r="F10" s="7">
        <f>IF(COUNTIF(I10:XFD10,"&gt;"&amp;0)=0,,HLOOKUP(COUNTIF(I10:XFD10,"&gt;"&amp;0)-MIN($F$1+1,COUNTIF(I10:XFD10,"&gt;"&amp;0)),I$1:XFD10,A10+1,FALSE))</f>
        <v>29551</v>
      </c>
      <c r="G10" s="8">
        <f t="shared" si="8"/>
        <v>1.1231991167097213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United Kingdom</v>
      </c>
      <c r="D11" s="6">
        <f t="shared" si="14"/>
        <v>25481</v>
      </c>
      <c r="E11" s="6">
        <f>IF(COUNTIF(I11:XFD11,"&gt;"&amp;0)=0,,HLOOKUP(COUNTIF(I11:XFD11,"&gt;"&amp;0)-1,I$1:XFD11,A11+1,FALSE))</f>
        <v>25481</v>
      </c>
      <c r="F11" s="7">
        <f>IF(COUNTIF(I11:XFD11,"&gt;"&amp;0)=0,,HLOOKUP(COUNTIF(I11:XFD11,"&gt;"&amp;0)-MIN($F$1+1,COUNTIF(I11:XFD11,"&gt;"&amp;0)),I$1:XFD11,A11+1,FALSE))</f>
        <v>11812</v>
      </c>
      <c r="G11" s="8">
        <f t="shared" si="8"/>
        <v>1.1662149539263729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0</v>
      </c>
      <c r="C12" s="9" t="str">
        <f t="shared" si="13"/>
        <v>World</v>
      </c>
      <c r="D12" s="6">
        <f t="shared" si="14"/>
        <v>854558</v>
      </c>
      <c r="E12" s="6">
        <f>IF(COUNTIF(I12:XFD12,"&gt;"&amp;0)=0,,HLOOKUP(COUNTIF(I12:XFD12,"&gt;"&amp;0)-1,I$1:XFD12,A12+1,FALSE))</f>
        <v>854558</v>
      </c>
      <c r="F12" s="7">
        <f>IF(COUNTIF(I12:XFD12,"&gt;"&amp;0)=0,,HLOOKUP(COUNTIF(I12:XFD12,"&gt;"&amp;0)-MIN($F$1+1,COUNTIF(I12:XFD12,"&gt;"&amp;0)),I$1:XFD12,A12+1,FALSE))</f>
        <v>527572</v>
      </c>
      <c r="G12" s="8">
        <f t="shared" si="8"/>
        <v>1.1012653153961487</v>
      </c>
      <c r="H12" s="13" t="s">
        <v>605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Europe</v>
      </c>
      <c r="D13" s="6">
        <f t="shared" si="14"/>
        <v>463747</v>
      </c>
      <c r="E13" s="6">
        <f>IF(COUNTIF(I13:XFD13,"&gt;"&amp;0)=0,,HLOOKUP(COUNTIF(I13:XFD13,"&gt;"&amp;0)-1,I$1:XFD13,A13+1,FALSE))</f>
        <v>463747</v>
      </c>
      <c r="F13" s="7">
        <f>IF(COUNTIF(I13:XFD13,"&gt;"&amp;0)=0,,HLOOKUP(COUNTIF(I13:XFD13,"&gt;"&amp;0)-MIN($F$1+1,COUNTIF(I13:XFD13,"&gt;"&amp;0)),I$1:XFD13,A13+1,FALSE))</f>
        <v>287075</v>
      </c>
      <c r="G13" s="8">
        <f t="shared" si="8"/>
        <v>1.1006700468382624</v>
      </c>
      <c r="H13" s="13" t="s">
        <v>608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North America</v>
      </c>
      <c r="D14" s="6">
        <f t="shared" si="14"/>
        <v>199550</v>
      </c>
      <c r="E14" s="6">
        <f>IF(COUNTIF(I14:XFD14,"&gt;"&amp;0)=0,,HLOOKUP(COUNTIF(I14:XFD14,"&gt;"&amp;0)-1,I$1:XFD14,A14+1,FALSE))</f>
        <v>199550</v>
      </c>
      <c r="F14" s="7">
        <f>IF(COUNTIF(I14:XFD14,"&gt;"&amp;0)=0,,HLOOKUP(COUNTIF(I14:XFD14,"&gt;"&amp;0)-MIN($F$1+1,COUNTIF(I14:XFD14,"&gt;"&amp;0)),I$1:XFD14,A14+1,FALSE))</f>
        <v>89242</v>
      </c>
      <c r="G14" s="8">
        <f t="shared" si="8"/>
        <v>1.1746175557440128</v>
      </c>
      <c r="H14" s="13" t="s">
        <v>610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Asia</v>
      </c>
      <c r="D15" s="6">
        <f t="shared" si="14"/>
        <v>110182</v>
      </c>
      <c r="E15" s="6">
        <f>IF(COUNTIF(I15:XFD15,"&gt;"&amp;0)=0,,HLOOKUP(COUNTIF(I15:XFD15,"&gt;"&amp;0)-1,I$1:XFD15,A15+1,FALSE))</f>
        <v>110182</v>
      </c>
      <c r="F15" s="7">
        <f>IF(COUNTIF(I15:XFD15,"&gt;"&amp;0)=0,,HLOOKUP(COUNTIF(I15:XFD15,"&gt;"&amp;0)-MIN($F$1+1,COUNTIF(I15:XFD15,"&gt;"&amp;0)),I$1:XFD15,A15+1,FALSE))</f>
        <v>101468</v>
      </c>
      <c r="G15" s="8">
        <f t="shared" si="8"/>
        <v>1.0166145244720224</v>
      </c>
      <c r="H15" s="13" t="s">
        <v>607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Middle East</v>
      </c>
      <c r="D16" s="6">
        <f t="shared" si="14"/>
        <v>55631</v>
      </c>
      <c r="E16" s="6">
        <f>IF(COUNTIF(I16:XFD16,"&gt;"&amp;0)=0,,HLOOKUP(COUNTIF(I16:XFD16,"&gt;"&amp;0)-1,I$1:XFD16,A16+1,FALSE))</f>
        <v>55631</v>
      </c>
      <c r="F16" s="7">
        <f>IF(COUNTIF(I16:XFD16,"&gt;"&amp;0)=0,,HLOOKUP(COUNTIF(I16:XFD16,"&gt;"&amp;0)-MIN($F$1+1,COUNTIF(I16:XFD16,"&gt;"&amp;0)),I$1:XFD16,A16+1,FALSE))</f>
        <v>35824</v>
      </c>
      <c r="G16" s="8">
        <f t="shared" si="8"/>
        <v>1.0920148847970048</v>
      </c>
      <c r="H16" s="13" t="s">
        <v>609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</row>
    <row r="17" spans="1:49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Iran</v>
      </c>
      <c r="D17" s="6">
        <f t="shared" si="14"/>
        <v>44605</v>
      </c>
      <c r="E17" s="6">
        <f>IF(COUNTIF(I17:XFD17,"&gt;"&amp;0)=0,,HLOOKUP(COUNTIF(I17:XFD17,"&gt;"&amp;0)-1,I$1:XFD17,A17+1,FALSE))</f>
        <v>44605</v>
      </c>
      <c r="F17" s="7">
        <f>IF(COUNTIF(I17:XFD17,"&gt;"&amp;0)=0,,HLOOKUP(COUNTIF(I17:XFD17,"&gt;"&amp;0)-MIN($F$1+1,COUNTIF(I17:XFD17,"&gt;"&amp;0)),I$1:XFD17,A17+1,FALSE))</f>
        <v>29406</v>
      </c>
      <c r="G17" s="8">
        <f t="shared" si="8"/>
        <v>1.0868998233299105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</row>
    <row r="18" spans="1:49" x14ac:dyDescent="0.25">
      <c r="A18" s="9">
        <f t="shared" si="7"/>
        <v>17</v>
      </c>
      <c r="B18" s="9">
        <f t="array" ref="B18">IF(C18="",0,IF(OR(C18=Country_Comparison!$S$10:$S$29),1,0))</f>
        <v>0</v>
      </c>
      <c r="C18" s="9" t="str">
        <f t="shared" si="13"/>
        <v>Switzerland</v>
      </c>
      <c r="D18" s="6">
        <f t="shared" si="14"/>
        <v>16605</v>
      </c>
      <c r="E18" s="6">
        <f>IF(COUNTIF(I18:XFD18,"&gt;"&amp;0)=0,,HLOOKUP(COUNTIF(I18:XFD18,"&gt;"&amp;0)-1,I$1:XFD18,A18+1,FALSE))</f>
        <v>16605</v>
      </c>
      <c r="F18" s="7">
        <f>IF(COUNTIF(I18:XFD18,"&gt;"&amp;0)=0,,HLOOKUP(COUNTIF(I18:XFD18,"&gt;"&amp;0)-MIN($F$1+1,COUNTIF(I18:XFD18,"&gt;"&amp;0)),I$1:XFD18,A18+1,FALSE))</f>
        <v>11811</v>
      </c>
      <c r="G18" s="8">
        <f t="shared" si="8"/>
        <v>1.0705092938988934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  <c r="AF18" s="9">
        <v>14076</v>
      </c>
      <c r="AG18" s="9">
        <v>14829</v>
      </c>
      <c r="AH18" s="9">
        <v>15922</v>
      </c>
      <c r="AI18" s="9">
        <v>16605</v>
      </c>
    </row>
    <row r="19" spans="1:49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South America</v>
      </c>
      <c r="D19" s="6">
        <f t="shared" si="14"/>
        <v>15263</v>
      </c>
      <c r="E19" s="6">
        <f>IF(COUNTIF(I19:XFD19,"&gt;"&amp;0)=0,,HLOOKUP(COUNTIF(I19:XFD19,"&gt;"&amp;0)-1,I$1:XFD19,A19+1,FALSE))</f>
        <v>15263</v>
      </c>
      <c r="F19" s="7">
        <f>IF(COUNTIF(I19:XFD19,"&gt;"&amp;0)=0,,HLOOKUP(COUNTIF(I19:XFD19,"&gt;"&amp;0)-MIN($F$1+1,COUNTIF(I19:XFD19,"&gt;"&amp;0)),I$1:XFD19,A19+1,FALSE))</f>
        <v>7992</v>
      </c>
      <c r="G19" s="8">
        <f t="shared" si="8"/>
        <v>1.1381431418771342</v>
      </c>
      <c r="H19" s="13" t="s">
        <v>611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</row>
    <row r="20" spans="1:49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Turkey</v>
      </c>
      <c r="D20" s="6">
        <f t="shared" si="14"/>
        <v>13531</v>
      </c>
      <c r="E20" s="6">
        <f>IF(COUNTIF(I20:XFD20,"&gt;"&amp;0)=0,,HLOOKUP(COUNTIF(I20:XFD20,"&gt;"&amp;0)-1,I$1:XFD20,A20+1,FALSE))</f>
        <v>13531</v>
      </c>
      <c r="F20" s="7">
        <f>IF(COUNTIF(I20:XFD20,"&gt;"&amp;0)=0,,HLOOKUP(COUNTIF(I20:XFD20,"&gt;"&amp;0)-MIN($F$1+1,COUNTIF(I20:XFD20,"&gt;"&amp;0)),I$1:XFD20,A20+1,FALSE))</f>
        <v>3629</v>
      </c>
      <c r="G20" s="8">
        <f t="shared" si="8"/>
        <v>1.3010937335048101</v>
      </c>
      <c r="H20" s="13" t="s">
        <v>355</v>
      </c>
      <c r="I20" s="9">
        <v>192</v>
      </c>
      <c r="J20" s="9">
        <v>359</v>
      </c>
      <c r="K20" s="9">
        <v>670</v>
      </c>
      <c r="L20" s="9">
        <v>1236</v>
      </c>
      <c r="M20" s="9">
        <v>1529</v>
      </c>
      <c r="N20" s="9">
        <v>1872</v>
      </c>
      <c r="O20" s="9">
        <v>2433</v>
      </c>
      <c r="P20" s="9">
        <v>3629</v>
      </c>
      <c r="Q20" s="9">
        <v>5698</v>
      </c>
      <c r="R20" s="9">
        <v>7402</v>
      </c>
      <c r="S20" s="9">
        <v>9217</v>
      </c>
      <c r="T20" s="9">
        <v>10827</v>
      </c>
      <c r="U20" s="9">
        <v>13531</v>
      </c>
    </row>
    <row r="21" spans="1:49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12775</v>
      </c>
      <c r="E21" s="6">
        <f>IF(COUNTIF(I21:XFD21,"&gt;"&amp;0)=0,,HLOOKUP(COUNTIF(I21:XFD21,"&gt;"&amp;0)-1,I$1:XFD21,A21+1,FALSE))</f>
        <v>12775</v>
      </c>
      <c r="F21" s="7">
        <f>IF(COUNTIF(I21:XFD21,"&gt;"&amp;0)=0,,HLOOKUP(COUNTIF(I21:XFD21,"&gt;"&amp;0)-MIN($F$1+1,COUNTIF(I21:XFD21,"&gt;"&amp;0)),I$1:XFD21,A21+1,FALSE))</f>
        <v>6235</v>
      </c>
      <c r="G21" s="8">
        <f t="shared" si="8"/>
        <v>1.1542633074094846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</row>
    <row r="22" spans="1:49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Netherlands</v>
      </c>
      <c r="D22" s="6">
        <f t="shared" si="14"/>
        <v>12667</v>
      </c>
      <c r="E22" s="6">
        <f>IF(COUNTIF(I22:XFD22,"&gt;"&amp;0)=0,,HLOOKUP(COUNTIF(I22:XFD22,"&gt;"&amp;0)-1,I$1:XFD22,A22+1,FALSE))</f>
        <v>12667</v>
      </c>
      <c r="F22" s="7">
        <f>IF(COUNTIF(I22:XFD22,"&gt;"&amp;0)=0,,HLOOKUP(COUNTIF(I22:XFD22,"&gt;"&amp;0)-MIN($F$1+1,COUNTIF(I22:XFD22,"&gt;"&amp;0)),I$1:XFD22,A22+1,FALSE))</f>
        <v>7468</v>
      </c>
      <c r="G22" s="8">
        <f t="shared" si="8"/>
        <v>1.1114601398152972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</row>
    <row r="23" spans="1:49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Austria</v>
      </c>
      <c r="D23" s="6">
        <f t="shared" si="14"/>
        <v>10180</v>
      </c>
      <c r="E23" s="6">
        <f>IF(COUNTIF(I23:XFD23,"&gt;"&amp;0)=0,,HLOOKUP(COUNTIF(I23:XFD23,"&gt;"&amp;0)-1,I$1:XFD23,A23+1,FALSE))</f>
        <v>10180</v>
      </c>
      <c r="F23" s="7">
        <f>IF(COUNTIF(I23:XFD23,"&gt;"&amp;0)=0,,HLOOKUP(COUNTIF(I23:XFD23,"&gt;"&amp;0)-MIN($F$1+1,COUNTIF(I23:XFD23,"&gt;"&amp;0)),I$1:XFD23,A23+1,FALSE))</f>
        <v>6909</v>
      </c>
      <c r="G23" s="8">
        <f t="shared" si="8"/>
        <v>1.0806038662805943</v>
      </c>
      <c r="H23" s="13" t="s">
        <v>78</v>
      </c>
      <c r="I23" s="9">
        <v>104</v>
      </c>
      <c r="J23" s="9">
        <v>131</v>
      </c>
      <c r="K23" s="9">
        <v>182</v>
      </c>
      <c r="L23" s="9">
        <v>246</v>
      </c>
      <c r="M23" s="9">
        <v>302</v>
      </c>
      <c r="N23" s="9">
        <v>504</v>
      </c>
      <c r="O23" s="9">
        <v>655</v>
      </c>
      <c r="P23" s="9">
        <v>860</v>
      </c>
      <c r="Q23" s="9">
        <v>1018</v>
      </c>
      <c r="R23" s="9">
        <v>1332</v>
      </c>
      <c r="S23" s="9">
        <v>1646</v>
      </c>
      <c r="T23" s="9">
        <v>2013</v>
      </c>
      <c r="U23" s="9">
        <v>2388</v>
      </c>
      <c r="V23" s="9">
        <v>2814</v>
      </c>
      <c r="W23" s="9">
        <v>3582</v>
      </c>
      <c r="X23" s="9">
        <v>4474</v>
      </c>
      <c r="Y23" s="9">
        <v>5283</v>
      </c>
      <c r="Z23" s="9">
        <v>5588</v>
      </c>
      <c r="AA23" s="9">
        <v>6909</v>
      </c>
      <c r="AB23" s="9">
        <v>7657</v>
      </c>
      <c r="AC23" s="9">
        <v>8271</v>
      </c>
      <c r="AD23" s="9">
        <v>8788</v>
      </c>
      <c r="AE23" s="9">
        <v>9618</v>
      </c>
      <c r="AF23" s="9">
        <v>10180</v>
      </c>
    </row>
    <row r="24" spans="1:49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Korea, South</v>
      </c>
      <c r="D24" s="6">
        <f t="shared" si="14"/>
        <v>9786</v>
      </c>
      <c r="E24" s="6">
        <f>IF(COUNTIF(I24:XFD24,"&gt;"&amp;0)=0,,HLOOKUP(COUNTIF(I24:XFD24,"&gt;"&amp;0)-1,I$1:XFD24,A24+1,FALSE))</f>
        <v>9786</v>
      </c>
      <c r="F24" s="7">
        <f>IF(COUNTIF(I24:XFD24,"&gt;"&amp;0)=0,,HLOOKUP(COUNTIF(I24:XFD24,"&gt;"&amp;0)-MIN($F$1+1,COUNTIF(I24:XFD24,"&gt;"&amp;0)),I$1:XFD24,A24+1,FALSE))</f>
        <v>9241</v>
      </c>
      <c r="G24" s="8">
        <f t="shared" si="8"/>
        <v>1.0115264611522676</v>
      </c>
      <c r="H24" s="13" t="s">
        <v>339</v>
      </c>
      <c r="I24" s="9">
        <v>104</v>
      </c>
      <c r="J24" s="9">
        <v>204</v>
      </c>
      <c r="K24" s="9">
        <v>433</v>
      </c>
      <c r="L24" s="9">
        <v>602</v>
      </c>
      <c r="M24" s="9">
        <v>833</v>
      </c>
      <c r="N24" s="9">
        <v>977</v>
      </c>
      <c r="O24" s="9">
        <v>1261</v>
      </c>
      <c r="P24" s="9">
        <v>1766</v>
      </c>
      <c r="Q24" s="9">
        <v>2337</v>
      </c>
      <c r="R24" s="9">
        <v>3150</v>
      </c>
      <c r="S24" s="9">
        <v>3736</v>
      </c>
      <c r="T24" s="9">
        <v>4335</v>
      </c>
      <c r="U24" s="9">
        <v>5186</v>
      </c>
      <c r="V24" s="9">
        <v>5621</v>
      </c>
      <c r="W24" s="9">
        <v>6088</v>
      </c>
      <c r="X24" s="9">
        <v>6593</v>
      </c>
      <c r="Y24" s="9">
        <v>7041</v>
      </c>
      <c r="Z24" s="9">
        <v>7314</v>
      </c>
      <c r="AA24" s="9">
        <v>7478</v>
      </c>
      <c r="AB24" s="9">
        <v>7513</v>
      </c>
      <c r="AC24" s="9">
        <v>7755</v>
      </c>
      <c r="AD24" s="9">
        <v>7869</v>
      </c>
      <c r="AE24" s="9">
        <v>7979</v>
      </c>
      <c r="AF24" s="9">
        <v>8086</v>
      </c>
      <c r="AG24" s="9">
        <v>8162</v>
      </c>
      <c r="AH24" s="9">
        <v>8236</v>
      </c>
      <c r="AI24" s="9">
        <v>8320</v>
      </c>
      <c r="AJ24" s="9">
        <v>8413</v>
      </c>
      <c r="AK24" s="9">
        <v>8565</v>
      </c>
      <c r="AL24" s="9">
        <v>8652</v>
      </c>
      <c r="AM24" s="9">
        <v>8799</v>
      </c>
      <c r="AN24" s="9">
        <v>8961</v>
      </c>
      <c r="AO24" s="9">
        <v>8961</v>
      </c>
      <c r="AP24" s="9">
        <v>9037</v>
      </c>
      <c r="AQ24" s="9">
        <v>9137</v>
      </c>
      <c r="AR24" s="9">
        <v>9241</v>
      </c>
      <c r="AS24" s="9">
        <v>9332</v>
      </c>
      <c r="AT24" s="9">
        <v>9478</v>
      </c>
      <c r="AU24" s="9">
        <v>9583</v>
      </c>
      <c r="AV24" s="9">
        <v>9661</v>
      </c>
      <c r="AW24" s="9">
        <v>9786</v>
      </c>
    </row>
    <row r="25" spans="1:49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Canada</v>
      </c>
      <c r="D25" s="6">
        <f t="shared" si="14"/>
        <v>8527</v>
      </c>
      <c r="E25" s="6">
        <f>IF(COUNTIF(I25:XFD25,"&gt;"&amp;0)=0,,HLOOKUP(COUNTIF(I25:XFD25,"&gt;"&amp;0)-1,I$1:XFD25,A25+1,FALSE))</f>
        <v>8527</v>
      </c>
      <c r="F25" s="7">
        <f>IF(COUNTIF(I25:XFD25,"&gt;"&amp;0)=0,,HLOOKUP(COUNTIF(I25:XFD25,"&gt;"&amp;0)-MIN($F$1+1,COUNTIF(I25:XFD25,"&gt;"&amp;0)),I$1:XFD25,A25+1,FALSE))</f>
        <v>4042</v>
      </c>
      <c r="G25" s="8">
        <f t="shared" si="8"/>
        <v>1.1610207744696357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  <c r="Z25" s="9">
        <v>5576</v>
      </c>
      <c r="AA25" s="9">
        <v>6280</v>
      </c>
      <c r="AB25" s="9">
        <v>7398</v>
      </c>
      <c r="AC25" s="9">
        <v>8527</v>
      </c>
    </row>
    <row r="26" spans="1:49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Portugal</v>
      </c>
      <c r="D26" s="6">
        <f t="shared" si="14"/>
        <v>7443</v>
      </c>
      <c r="E26" s="6">
        <f>IF(COUNTIF(I26:XFD26,"&gt;"&amp;0)=0,,HLOOKUP(COUNTIF(I26:XFD26,"&gt;"&amp;0)-1,I$1:XFD26,A26+1,FALSE))</f>
        <v>7443</v>
      </c>
      <c r="F26" s="7">
        <f>IF(COUNTIF(I26:XFD26,"&gt;"&amp;0)=0,,HLOOKUP(COUNTIF(I26:XFD26,"&gt;"&amp;0)-MIN($F$1+1,COUNTIF(I26:XFD26,"&gt;"&amp;0)),I$1:XFD26,A26+1,FALSE))</f>
        <v>3544</v>
      </c>
      <c r="G26" s="8">
        <f t="shared" si="8"/>
        <v>1.1599809610863521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</row>
    <row r="27" spans="1:49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Brazil</v>
      </c>
      <c r="D27" s="6">
        <f t="shared" si="14"/>
        <v>5717</v>
      </c>
      <c r="E27" s="6">
        <f>IF(COUNTIF(I27:XFD27,"&gt;"&amp;0)=0,,HLOOKUP(COUNTIF(I27:XFD27,"&gt;"&amp;0)-1,I$1:XFD27,A27+1,FALSE))</f>
        <v>5717</v>
      </c>
      <c r="F27" s="7">
        <f>IF(COUNTIF(I27:XFD27,"&gt;"&amp;0)=0,,HLOOKUP(COUNTIF(I27:XFD27,"&gt;"&amp;0)-MIN($F$1+1,COUNTIF(I27:XFD27,"&gt;"&amp;0)),I$1:XFD27,A27+1,FALSE))</f>
        <v>2985</v>
      </c>
      <c r="G27" s="8">
        <f t="shared" si="8"/>
        <v>1.1387929538855071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</row>
    <row r="28" spans="1:49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Israel</v>
      </c>
      <c r="D28" s="6">
        <f t="shared" si="14"/>
        <v>5358</v>
      </c>
      <c r="E28" s="6">
        <f>IF(COUNTIF(I28:XFD28,"&gt;"&amp;0)=0,,HLOOKUP(COUNTIF(I28:XFD28,"&gt;"&amp;0)-1,I$1:XFD28,A28+1,FALSE))</f>
        <v>5358</v>
      </c>
      <c r="F28" s="7">
        <f>IF(COUNTIF(I28:XFD28,"&gt;"&amp;0)=0,,HLOOKUP(COUNTIF(I28:XFD28,"&gt;"&amp;0)-MIN($F$1+1,COUNTIF(I28:XFD28,"&gt;"&amp;0)),I$1:XFD28,A28+1,FALSE))</f>
        <v>2693</v>
      </c>
      <c r="G28" s="8">
        <f t="shared" si="8"/>
        <v>1.1475015244616795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</row>
    <row r="29" spans="1:49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Africa</v>
      </c>
      <c r="D29" s="6">
        <f t="shared" si="14"/>
        <v>4979</v>
      </c>
      <c r="E29" s="6">
        <f>IF(COUNTIF(I29:XFD29,"&gt;"&amp;0)=0,,HLOOKUP(COUNTIF(I29:XFD29,"&gt;"&amp;0)-1,I$1:XFD29,A29+1,FALSE))</f>
        <v>4979</v>
      </c>
      <c r="F29" s="7">
        <f>IF(COUNTIF(I29:XFD29,"&gt;"&amp;0)=0,,HLOOKUP(COUNTIF(I29:XFD29,"&gt;"&amp;0)-MIN($F$1+1,COUNTIF(I29:XFD29,"&gt;"&amp;0)),I$1:XFD29,A29+1,FALSE))</f>
        <v>2878</v>
      </c>
      <c r="G29" s="8">
        <f t="shared" si="8"/>
        <v>1.1158614325172049</v>
      </c>
      <c r="H29" s="13" t="s">
        <v>612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</row>
    <row r="30" spans="1:49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Norway</v>
      </c>
      <c r="D30" s="6">
        <f t="shared" si="14"/>
        <v>4641</v>
      </c>
      <c r="E30" s="6">
        <f>IF(COUNTIF(I30:XFD30,"&gt;"&amp;0)=0,,HLOOKUP(COUNTIF(I30:XFD30,"&gt;"&amp;0)-1,I$1:XFD30,A30+1,FALSE))</f>
        <v>4641</v>
      </c>
      <c r="F30" s="7">
        <f>IF(COUNTIF(I30:XFD30,"&gt;"&amp;0)=0,,HLOOKUP(COUNTIF(I30:XFD30,"&gt;"&amp;0)-MIN($F$1+1,COUNTIF(I30:XFD30,"&gt;"&amp;0)),I$1:XFD30,A30+1,FALSE))</f>
        <v>3369</v>
      </c>
      <c r="G30" s="8">
        <f t="shared" si="8"/>
        <v>1.0661593292550624</v>
      </c>
      <c r="H30" s="13" t="s">
        <v>85</v>
      </c>
      <c r="I30" s="9">
        <v>108</v>
      </c>
      <c r="J30" s="9">
        <v>147</v>
      </c>
      <c r="K30" s="9">
        <v>176</v>
      </c>
      <c r="L30" s="9">
        <v>205</v>
      </c>
      <c r="M30" s="9">
        <v>400</v>
      </c>
      <c r="N30" s="9">
        <v>598</v>
      </c>
      <c r="O30" s="9">
        <v>702</v>
      </c>
      <c r="P30" s="9">
        <v>996</v>
      </c>
      <c r="Q30" s="9">
        <v>1090</v>
      </c>
      <c r="R30" s="9">
        <v>1221</v>
      </c>
      <c r="S30" s="9">
        <v>1333</v>
      </c>
      <c r="T30" s="9">
        <v>1463</v>
      </c>
      <c r="U30" s="9">
        <v>1550</v>
      </c>
      <c r="V30" s="9">
        <v>1746</v>
      </c>
      <c r="W30" s="9">
        <v>1914</v>
      </c>
      <c r="X30" s="9">
        <v>2118</v>
      </c>
      <c r="Y30" s="9">
        <v>2385</v>
      </c>
      <c r="Z30" s="9">
        <v>2621</v>
      </c>
      <c r="AA30" s="9">
        <v>2863</v>
      </c>
      <c r="AB30" s="9">
        <v>3084</v>
      </c>
      <c r="AC30" s="9">
        <v>3369</v>
      </c>
      <c r="AD30" s="9">
        <v>3755</v>
      </c>
      <c r="AE30" s="9">
        <v>4015</v>
      </c>
      <c r="AF30" s="9">
        <v>4284</v>
      </c>
      <c r="AG30" s="9">
        <v>4445</v>
      </c>
      <c r="AH30" s="9">
        <v>4641</v>
      </c>
    </row>
    <row r="31" spans="1:49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Australia</v>
      </c>
      <c r="D31" s="6">
        <f t="shared" si="14"/>
        <v>4559</v>
      </c>
      <c r="E31" s="6">
        <f>IF(COUNTIF(I31:XFD31,"&gt;"&amp;0)=0,,HLOOKUP(COUNTIF(I31:XFD31,"&gt;"&amp;0)-1,I$1:XFD31,A31+1,FALSE))</f>
        <v>4559</v>
      </c>
      <c r="F31" s="7">
        <f>IF(COUNTIF(I31:XFD31,"&gt;"&amp;0)=0,,HLOOKUP(COUNTIF(I31:XFD31,"&gt;"&amp;0)-MIN($F$1+1,COUNTIF(I31:XFD31,"&gt;"&amp;0)),I$1:XFD31,A31+1,FALSE))</f>
        <v>2810</v>
      </c>
      <c r="G31" s="8">
        <f t="shared" si="8"/>
        <v>1.1016221370339585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  <c r="Z31" s="9">
        <v>3143</v>
      </c>
      <c r="AA31" s="9">
        <v>3640</v>
      </c>
      <c r="AB31" s="9">
        <v>3984</v>
      </c>
      <c r="AC31" s="9">
        <v>4361</v>
      </c>
      <c r="AD31" s="9">
        <v>4559</v>
      </c>
    </row>
    <row r="32" spans="1:49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Sweden</v>
      </c>
      <c r="D32" s="6">
        <f t="shared" si="14"/>
        <v>4435</v>
      </c>
      <c r="E32" s="6">
        <f>IF(COUNTIF(I32:XFD32,"&gt;"&amp;0)=0,,HLOOKUP(COUNTIF(I32:XFD32,"&gt;"&amp;0)-1,I$1:XFD32,A32+1,FALSE))</f>
        <v>4435</v>
      </c>
      <c r="F32" s="7">
        <f>IF(COUNTIF(I32:XFD32,"&gt;"&amp;0)=0,,HLOOKUP(COUNTIF(I32:XFD32,"&gt;"&amp;0)-MIN($F$1+1,COUNTIF(I32:XFD32,"&gt;"&amp;0)),I$1:XFD32,A32+1,FALSE))</f>
        <v>2840</v>
      </c>
      <c r="G32" s="8">
        <f t="shared" si="8"/>
        <v>1.0932388504448312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</row>
    <row r="33" spans="1:48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3308</v>
      </c>
      <c r="E33" s="6">
        <f>IF(COUNTIF(I33:XFD33,"&gt;"&amp;0)=0,,HLOOKUP(COUNTIF(I33:XFD33,"&gt;"&amp;0)-1,I$1:XFD33,A33+1,FALSE))</f>
        <v>3308</v>
      </c>
      <c r="F33" s="7">
        <f>IF(COUNTIF(I33:XFD33,"&gt;"&amp;0)=0,,HLOOKUP(COUNTIF(I33:XFD33,"&gt;"&amp;0)-MIN($F$1+1,COUNTIF(I33:XFD33,"&gt;"&amp;0)),I$1:XFD33,A33+1,FALSE))</f>
        <v>1925</v>
      </c>
      <c r="G33" s="8">
        <f t="shared" si="8"/>
        <v>1.1143636916574364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  <c r="X33" s="9">
        <v>2631</v>
      </c>
      <c r="Y33" s="9">
        <v>2817</v>
      </c>
      <c r="Z33" s="9">
        <v>3001</v>
      </c>
      <c r="AA33" s="9">
        <v>3308</v>
      </c>
    </row>
    <row r="34" spans="1:48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Ireland</v>
      </c>
      <c r="D34" s="6">
        <f t="shared" si="14"/>
        <v>3235</v>
      </c>
      <c r="E34" s="6">
        <f>IF(COUNTIF(I34:XFD34,"&gt;"&amp;0)=0,,HLOOKUP(COUNTIF(I34:XFD34,"&gt;"&amp;0)-1,I$1:XFD34,A34+1,FALSE))</f>
        <v>3235</v>
      </c>
      <c r="F34" s="7">
        <f>IF(COUNTIF(I34:XFD34,"&gt;"&amp;0)=0,,HLOOKUP(COUNTIF(I34:XFD34,"&gt;"&amp;0)-MIN($F$1+1,COUNTIF(I34:XFD34,"&gt;"&amp;0)),I$1:XFD34,A34+1,FALSE))</f>
        <v>1819</v>
      </c>
      <c r="G34" s="8">
        <f t="shared" ref="G34:G65" si="15">IF(COUNTIF(I34:XFD34,"&gt;"&amp;0)=0,,(E34/F34)^(1/MIN(COUNTIF(I34:XFD34,"&gt;"&amp;0)-1,$F$1)))</f>
        <v>1.1220399423209222</v>
      </c>
      <c r="H34" s="13" t="s">
        <v>98</v>
      </c>
      <c r="I34" s="9">
        <v>129</v>
      </c>
      <c r="J34" s="9">
        <v>129</v>
      </c>
      <c r="K34" s="9">
        <v>169</v>
      </c>
      <c r="L34" s="9">
        <v>223</v>
      </c>
      <c r="M34" s="9">
        <v>292</v>
      </c>
      <c r="N34" s="9">
        <v>557</v>
      </c>
      <c r="O34" s="9">
        <v>683</v>
      </c>
      <c r="P34" s="9">
        <v>785</v>
      </c>
      <c r="Q34" s="9">
        <v>906</v>
      </c>
      <c r="R34" s="9">
        <v>1125</v>
      </c>
      <c r="S34" s="9">
        <v>1329</v>
      </c>
      <c r="T34" s="9">
        <v>1564</v>
      </c>
      <c r="U34" s="9">
        <v>1819</v>
      </c>
      <c r="V34" s="9">
        <v>2121</v>
      </c>
      <c r="W34" s="9">
        <v>2415</v>
      </c>
      <c r="X34" s="9">
        <v>2615</v>
      </c>
      <c r="Y34" s="9">
        <v>2910</v>
      </c>
      <c r="Z34" s="9">
        <v>3235</v>
      </c>
    </row>
    <row r="35" spans="1:48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Denmark</v>
      </c>
      <c r="D35" s="6">
        <f t="shared" si="14"/>
        <v>3039</v>
      </c>
      <c r="E35" s="6">
        <f>IF(COUNTIF(I35:XFD35,"&gt;"&amp;0)=0,,HLOOKUP(COUNTIF(I35:XFD35,"&gt;"&amp;0)-1,I$1:XFD35,A35+1,FALSE))</f>
        <v>3039</v>
      </c>
      <c r="F35" s="7">
        <f>IF(COUNTIF(I35:XFD35,"&gt;"&amp;0)=0,,HLOOKUP(COUNTIF(I35:XFD35,"&gt;"&amp;0)-MIN($F$1+1,COUNTIF(I35:XFD35,"&gt;"&amp;0)),I$1:XFD35,A35+1,FALSE))</f>
        <v>2023</v>
      </c>
      <c r="G35" s="8">
        <f t="shared" si="15"/>
        <v>1.0847932232167881</v>
      </c>
      <c r="H35" s="13" t="s">
        <v>87</v>
      </c>
      <c r="I35" s="9">
        <v>264</v>
      </c>
      <c r="J35" s="9">
        <v>444</v>
      </c>
      <c r="K35" s="9">
        <v>617</v>
      </c>
      <c r="L35" s="9">
        <v>804</v>
      </c>
      <c r="M35" s="9">
        <v>836</v>
      </c>
      <c r="N35" s="9">
        <v>875</v>
      </c>
      <c r="O35" s="9">
        <v>933</v>
      </c>
      <c r="P35" s="9">
        <v>1025</v>
      </c>
      <c r="Q35" s="9">
        <v>1116</v>
      </c>
      <c r="R35" s="9">
        <v>1225</v>
      </c>
      <c r="S35" s="9">
        <v>1337</v>
      </c>
      <c r="T35" s="9">
        <v>1420</v>
      </c>
      <c r="U35" s="9">
        <v>1514</v>
      </c>
      <c r="V35" s="9">
        <v>1572</v>
      </c>
      <c r="W35" s="9">
        <v>1718</v>
      </c>
      <c r="X35" s="9">
        <v>1862</v>
      </c>
      <c r="Y35" s="9">
        <v>2023</v>
      </c>
      <c r="Z35" s="9">
        <v>2200</v>
      </c>
      <c r="AA35" s="9">
        <v>2366</v>
      </c>
      <c r="AB35" s="9">
        <v>2564</v>
      </c>
      <c r="AC35" s="9">
        <v>2755</v>
      </c>
      <c r="AD35" s="9">
        <v>3039</v>
      </c>
    </row>
    <row r="36" spans="1:48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Malaysia</v>
      </c>
      <c r="D36" s="6">
        <f t="shared" si="14"/>
        <v>2766</v>
      </c>
      <c r="E36" s="6">
        <f>IF(COUNTIF(I36:XFD36,"&gt;"&amp;0)=0,,HLOOKUP(COUNTIF(I36:XFD36,"&gt;"&amp;0)-1,I$1:XFD36,A36+1,FALSE))</f>
        <v>2766</v>
      </c>
      <c r="F36" s="7">
        <f>IF(COUNTIF(I36:XFD36,"&gt;"&amp;0)=0,,HLOOKUP(COUNTIF(I36:XFD36,"&gt;"&amp;0)-MIN($F$1+1,COUNTIF(I36:XFD36,"&gt;"&amp;0)),I$1:XFD36,A36+1,FALSE))</f>
        <v>2031</v>
      </c>
      <c r="G36" s="8">
        <f t="shared" si="15"/>
        <v>1.0637227568852698</v>
      </c>
      <c r="H36" s="13" t="s">
        <v>43</v>
      </c>
      <c r="I36" s="9">
        <v>117</v>
      </c>
      <c r="J36" s="9">
        <v>129</v>
      </c>
      <c r="K36" s="9">
        <v>149</v>
      </c>
      <c r="L36" s="9">
        <v>149</v>
      </c>
      <c r="M36" s="9">
        <v>197</v>
      </c>
      <c r="N36" s="9">
        <v>238</v>
      </c>
      <c r="O36" s="9">
        <v>428</v>
      </c>
      <c r="P36" s="9">
        <v>566</v>
      </c>
      <c r="Q36" s="9">
        <v>673</v>
      </c>
      <c r="R36" s="9">
        <v>790</v>
      </c>
      <c r="S36" s="9">
        <v>900</v>
      </c>
      <c r="T36" s="9">
        <v>1030</v>
      </c>
      <c r="U36" s="9">
        <v>1183</v>
      </c>
      <c r="V36" s="9">
        <v>1306</v>
      </c>
      <c r="W36" s="9">
        <v>1518</v>
      </c>
      <c r="X36" s="9">
        <v>1624</v>
      </c>
      <c r="Y36" s="9">
        <v>1796</v>
      </c>
      <c r="Z36" s="9">
        <v>2031</v>
      </c>
      <c r="AA36" s="9">
        <v>2161</v>
      </c>
      <c r="AB36" s="9">
        <v>2320</v>
      </c>
      <c r="AC36" s="9">
        <v>2470</v>
      </c>
      <c r="AD36" s="9">
        <v>2626</v>
      </c>
      <c r="AE36" s="9">
        <v>2766</v>
      </c>
    </row>
    <row r="37" spans="1:48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ref="C37:C68" si="16">IF(H37="","",H37)</f>
        <v>Chile</v>
      </c>
      <c r="D37" s="6">
        <f t="shared" ref="D37:D68" si="17">MAX(I37:JF37)</f>
        <v>2738</v>
      </c>
      <c r="E37" s="6">
        <f>IF(COUNTIF(I37:XFD37,"&gt;"&amp;0)=0,,HLOOKUP(COUNTIF(I37:XFD37,"&gt;"&amp;0)-1,I$1:XFD37,A37+1,FALSE))</f>
        <v>2738</v>
      </c>
      <c r="F37" s="7">
        <f>IF(COUNTIF(I37:XFD37,"&gt;"&amp;0)=0,,HLOOKUP(COUNTIF(I37:XFD37,"&gt;"&amp;0)-MIN($F$1+1,COUNTIF(I37:XFD37,"&gt;"&amp;0)),I$1:XFD37,A37+1,FALSE))</f>
        <v>1306</v>
      </c>
      <c r="G37" s="8">
        <f t="shared" si="15"/>
        <v>1.1595728901874114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</row>
    <row r="38" spans="1:48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6"/>
        <v>Russia</v>
      </c>
      <c r="D38" s="6">
        <f t="shared" si="17"/>
        <v>2337</v>
      </c>
      <c r="E38" s="6">
        <f>IF(COUNTIF(I38:XFD38,"&gt;"&amp;0)=0,,HLOOKUP(COUNTIF(I38:XFD38,"&gt;"&amp;0)-1,I$1:XFD38,A38+1,FALSE))</f>
        <v>2337</v>
      </c>
      <c r="F38" s="7">
        <f>IF(COUNTIF(I38:XFD38,"&gt;"&amp;0)=0,,HLOOKUP(COUNTIF(I38:XFD38,"&gt;"&amp;0)-MIN($F$1+1,COUNTIF(I38:XFD38,"&gt;"&amp;0)),I$1:XFD38,A38+1,FALSE))</f>
        <v>840</v>
      </c>
      <c r="G38" s="8">
        <f t="shared" si="15"/>
        <v>1.2270884978810612</v>
      </c>
      <c r="H38" s="13" t="s">
        <v>344</v>
      </c>
      <c r="I38" s="9">
        <v>114</v>
      </c>
      <c r="J38" s="9">
        <v>147</v>
      </c>
      <c r="K38" s="9">
        <v>199</v>
      </c>
      <c r="L38" s="9">
        <v>253</v>
      </c>
      <c r="M38" s="9">
        <v>306</v>
      </c>
      <c r="N38" s="9">
        <v>367</v>
      </c>
      <c r="O38" s="9">
        <v>438</v>
      </c>
      <c r="P38" s="9">
        <v>495</v>
      </c>
      <c r="Q38" s="9">
        <v>658</v>
      </c>
      <c r="R38" s="9">
        <v>840</v>
      </c>
      <c r="S38" s="9">
        <v>1036</v>
      </c>
      <c r="T38" s="9">
        <v>1264</v>
      </c>
      <c r="U38" s="9">
        <v>1534</v>
      </c>
      <c r="V38" s="9">
        <v>1836</v>
      </c>
      <c r="W38" s="9">
        <v>2337</v>
      </c>
    </row>
    <row r="39" spans="1:48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6"/>
        <v>Poland</v>
      </c>
      <c r="D39" s="6">
        <f t="shared" si="17"/>
        <v>2311</v>
      </c>
      <c r="E39" s="6">
        <f>IF(COUNTIF(I39:XFD39,"&gt;"&amp;0)=0,,HLOOKUP(COUNTIF(I39:XFD39,"&gt;"&amp;0)-1,I$1:XFD39,A39+1,FALSE))</f>
        <v>2311</v>
      </c>
      <c r="F39" s="7">
        <f>IF(COUNTIF(I39:XFD39,"&gt;"&amp;0)=0,,HLOOKUP(COUNTIF(I39:XFD39,"&gt;"&amp;0)-MIN($F$1+1,COUNTIF(I39:XFD39,"&gt;"&amp;0)),I$1:XFD39,A39+1,FALSE))</f>
        <v>1221</v>
      </c>
      <c r="G39" s="8">
        <f t="shared" si="15"/>
        <v>1.1361007755464478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</row>
    <row r="40" spans="1:48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6"/>
        <v>Romania</v>
      </c>
      <c r="D40" s="6">
        <f t="shared" si="17"/>
        <v>2245</v>
      </c>
      <c r="E40" s="6">
        <f>IF(COUNTIF(I40:XFD40,"&gt;"&amp;0)=0,,HLOOKUP(COUNTIF(I40:XFD40,"&gt;"&amp;0)-1,I$1:XFD40,A40+1,FALSE))</f>
        <v>2245</v>
      </c>
      <c r="F40" s="7">
        <f>IF(COUNTIF(I40:XFD40,"&gt;"&amp;0)=0,,HLOOKUP(COUNTIF(I40:XFD40,"&gt;"&amp;0)-MIN($F$1+1,COUNTIF(I40:XFD40,"&gt;"&amp;0)),I$1:XFD40,A40+1,FALSE))</f>
        <v>1029</v>
      </c>
      <c r="G40" s="8">
        <f t="shared" si="15"/>
        <v>1.1688538027551088</v>
      </c>
      <c r="H40" s="13" t="s">
        <v>86</v>
      </c>
      <c r="I40" s="9">
        <v>123</v>
      </c>
      <c r="J40" s="9">
        <v>131</v>
      </c>
      <c r="K40" s="9">
        <v>158</v>
      </c>
      <c r="L40" s="9">
        <v>184</v>
      </c>
      <c r="M40" s="9">
        <v>260</v>
      </c>
      <c r="N40" s="9">
        <v>277</v>
      </c>
      <c r="O40" s="9">
        <v>308</v>
      </c>
      <c r="P40" s="9">
        <v>367</v>
      </c>
      <c r="Q40" s="9">
        <v>433</v>
      </c>
      <c r="R40" s="9">
        <v>576</v>
      </c>
      <c r="S40" s="9">
        <v>794</v>
      </c>
      <c r="T40" s="9">
        <v>906</v>
      </c>
      <c r="U40" s="9">
        <v>1029</v>
      </c>
      <c r="V40" s="9">
        <v>1292</v>
      </c>
      <c r="W40" s="9">
        <v>1452</v>
      </c>
      <c r="X40" s="9">
        <v>1815</v>
      </c>
      <c r="Y40" s="9">
        <v>2109</v>
      </c>
      <c r="Z40" s="9">
        <v>2245</v>
      </c>
    </row>
    <row r="41" spans="1:48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6"/>
        <v>Ecuador</v>
      </c>
      <c r="D41" s="6">
        <f t="shared" si="17"/>
        <v>2240</v>
      </c>
      <c r="E41" s="6">
        <f>IF(COUNTIF(I41:XFD41,"&gt;"&amp;0)=0,,HLOOKUP(COUNTIF(I41:XFD41,"&gt;"&amp;0)-1,I$1:XFD41,A41+1,FALSE))</f>
        <v>2240</v>
      </c>
      <c r="F41" s="7">
        <f>IF(COUNTIF(I41:XFD41,"&gt;"&amp;0)=0,,HLOOKUP(COUNTIF(I41:XFD41,"&gt;"&amp;0)-MIN($F$1+1,COUNTIF(I41:XFD41,"&gt;"&amp;0)),I$1:XFD41,A41+1,FALSE))</f>
        <v>1403</v>
      </c>
      <c r="G41" s="8">
        <f t="shared" si="15"/>
        <v>1.0980903360243759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  <c r="V41" s="9">
        <v>2240</v>
      </c>
    </row>
    <row r="42" spans="1:48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6"/>
        <v>Luxembourg</v>
      </c>
      <c r="D42" s="6">
        <f t="shared" si="17"/>
        <v>2178</v>
      </c>
      <c r="E42" s="6">
        <f>IF(COUNTIF(I42:XFD42,"&gt;"&amp;0)=0,,HLOOKUP(COUNTIF(I42:XFD42,"&gt;"&amp;0)-1,I$1:XFD42,A42+1,FALSE))</f>
        <v>2178</v>
      </c>
      <c r="F42" s="7">
        <f>IF(COUNTIF(I42:XFD42,"&gt;"&amp;0)=0,,HLOOKUP(COUNTIF(I42:XFD42,"&gt;"&amp;0)-MIN($F$1+1,COUNTIF(I42:XFD42,"&gt;"&amp;0)),I$1:XFD42,A42+1,FALSE))</f>
        <v>1453</v>
      </c>
      <c r="G42" s="8">
        <f t="shared" si="15"/>
        <v>1.084322456615251</v>
      </c>
      <c r="H42" s="13" t="s">
        <v>99</v>
      </c>
      <c r="I42" s="9">
        <v>140</v>
      </c>
      <c r="J42" s="9">
        <v>203</v>
      </c>
      <c r="K42" s="9">
        <v>335</v>
      </c>
      <c r="L42" s="9">
        <v>484</v>
      </c>
      <c r="M42" s="9">
        <v>670</v>
      </c>
      <c r="N42" s="9">
        <v>798</v>
      </c>
      <c r="O42" s="9">
        <v>875</v>
      </c>
      <c r="P42" s="9">
        <v>1099</v>
      </c>
      <c r="Q42" s="9">
        <v>1333</v>
      </c>
      <c r="R42" s="9">
        <v>1453</v>
      </c>
      <c r="S42" s="9">
        <v>1605</v>
      </c>
      <c r="T42" s="9">
        <v>1831</v>
      </c>
      <c r="U42" s="9">
        <v>1950</v>
      </c>
      <c r="V42" s="9">
        <v>1988</v>
      </c>
      <c r="W42" s="9">
        <v>2178</v>
      </c>
    </row>
    <row r="43" spans="1:48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6"/>
        <v>Philippines</v>
      </c>
      <c r="D43" s="6">
        <f t="shared" si="17"/>
        <v>2084</v>
      </c>
      <c r="E43" s="6">
        <f>IF(COUNTIF(I43:XFD43,"&gt;"&amp;0)=0,,HLOOKUP(COUNTIF(I43:XFD43,"&gt;"&amp;0)-1,I$1:XFD43,A43+1,FALSE))</f>
        <v>2084</v>
      </c>
      <c r="F43" s="7">
        <f>IF(COUNTIF(I43:XFD43,"&gt;"&amp;0)=0,,HLOOKUP(COUNTIF(I43:XFD43,"&gt;"&amp;0)-MIN($F$1+1,COUNTIF(I43:XFD43,"&gt;"&amp;0)),I$1:XFD43,A43+1,FALSE))</f>
        <v>707</v>
      </c>
      <c r="G43" s="8">
        <f t="shared" si="15"/>
        <v>1.2413540347857761</v>
      </c>
      <c r="H43" s="13" t="s">
        <v>56</v>
      </c>
      <c r="I43" s="9">
        <v>111</v>
      </c>
      <c r="J43" s="9">
        <v>140</v>
      </c>
      <c r="K43" s="9">
        <v>142</v>
      </c>
      <c r="L43" s="9">
        <v>187</v>
      </c>
      <c r="M43" s="9">
        <v>202</v>
      </c>
      <c r="N43" s="9">
        <v>217</v>
      </c>
      <c r="O43" s="9">
        <v>230</v>
      </c>
      <c r="P43" s="9">
        <v>307</v>
      </c>
      <c r="Q43" s="9">
        <v>380</v>
      </c>
      <c r="R43" s="9">
        <v>462</v>
      </c>
      <c r="S43" s="9">
        <v>552</v>
      </c>
      <c r="T43" s="9">
        <v>636</v>
      </c>
      <c r="U43" s="9">
        <v>707</v>
      </c>
      <c r="V43" s="9">
        <v>803</v>
      </c>
      <c r="W43" s="9">
        <v>1075</v>
      </c>
      <c r="X43" s="9">
        <v>1418</v>
      </c>
      <c r="Y43" s="9">
        <v>1546</v>
      </c>
      <c r="Z43" s="9">
        <v>2084</v>
      </c>
    </row>
    <row r="44" spans="1:48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6"/>
        <v>Japan</v>
      </c>
      <c r="D44" s="6">
        <f t="shared" si="17"/>
        <v>1953</v>
      </c>
      <c r="E44" s="6">
        <f>IF(COUNTIF(I44:XFD44,"&gt;"&amp;0)=0,,HLOOKUP(COUNTIF(I44:XFD44,"&gt;"&amp;0)-1,I$1:XFD44,A44+1,FALSE))</f>
        <v>1953</v>
      </c>
      <c r="F44" s="7">
        <f>IF(COUNTIF(I44:XFD44,"&gt;"&amp;0)=0,,HLOOKUP(COUNTIF(I44:XFD44,"&gt;"&amp;0)-MIN($F$1+1,COUNTIF(I44:XFD44,"&gt;"&amp;0)),I$1:XFD44,A44+1,FALSE))</f>
        <v>1387</v>
      </c>
      <c r="G44" s="8">
        <f t="shared" si="15"/>
        <v>1.0708414080458573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</row>
    <row r="45" spans="1:48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6"/>
        <v>Pakistan</v>
      </c>
      <c r="D45" s="6">
        <f t="shared" si="17"/>
        <v>1938</v>
      </c>
      <c r="E45" s="6">
        <f>IF(COUNTIF(I45:XFD45,"&gt;"&amp;0)=0,,HLOOKUP(COUNTIF(I45:XFD45,"&gt;"&amp;0)-1,I$1:XFD45,A45+1,FALSE))</f>
        <v>1938</v>
      </c>
      <c r="F45" s="7">
        <f>IF(COUNTIF(I45:XFD45,"&gt;"&amp;0)=0,,HLOOKUP(COUNTIF(I45:XFD45,"&gt;"&amp;0)-MIN($F$1+1,COUNTIF(I45:XFD45,"&gt;"&amp;0)),I$1:XFD45,A45+1,FALSE))</f>
        <v>1201</v>
      </c>
      <c r="G45" s="8">
        <f t="shared" si="15"/>
        <v>1.100429319454644</v>
      </c>
      <c r="H45" s="13" t="s">
        <v>80</v>
      </c>
      <c r="I45" s="9">
        <v>136</v>
      </c>
      <c r="J45" s="9">
        <v>236</v>
      </c>
      <c r="K45" s="9">
        <v>299</v>
      </c>
      <c r="L45" s="9">
        <v>454</v>
      </c>
      <c r="M45" s="9">
        <v>501</v>
      </c>
      <c r="N45" s="9">
        <v>730</v>
      </c>
      <c r="O45" s="9">
        <v>776</v>
      </c>
      <c r="P45" s="9">
        <v>875</v>
      </c>
      <c r="Q45" s="9">
        <v>972</v>
      </c>
      <c r="R45" s="9">
        <v>1063</v>
      </c>
      <c r="S45" s="9">
        <v>1201</v>
      </c>
      <c r="T45" s="9">
        <v>1373</v>
      </c>
      <c r="U45" s="9">
        <v>1495</v>
      </c>
      <c r="V45" s="9">
        <v>1597</v>
      </c>
      <c r="W45" s="9">
        <v>1717</v>
      </c>
      <c r="X45" s="9">
        <v>1938</v>
      </c>
    </row>
    <row r="46" spans="1:48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6"/>
        <v>Thailand</v>
      </c>
      <c r="D46" s="6">
        <f t="shared" si="17"/>
        <v>1651</v>
      </c>
      <c r="E46" s="6">
        <f>IF(COUNTIF(I46:XFD46,"&gt;"&amp;0)=0,,HLOOKUP(COUNTIF(I46:XFD46,"&gt;"&amp;0)-1,I$1:XFD46,A46+1,FALSE))</f>
        <v>1651</v>
      </c>
      <c r="F46" s="7">
        <f>IF(COUNTIF(I46:XFD46,"&gt;"&amp;0)=0,,HLOOKUP(COUNTIF(I46:XFD46,"&gt;"&amp;0)-MIN($F$1+1,COUNTIF(I46:XFD46,"&gt;"&amp;0)),I$1:XFD46,A46+1,FALSE))</f>
        <v>1045</v>
      </c>
      <c r="G46" s="8">
        <f t="shared" si="15"/>
        <v>1.0957870321407193</v>
      </c>
      <c r="H46" s="13" t="s">
        <v>35</v>
      </c>
      <c r="I46" s="9">
        <v>114</v>
      </c>
      <c r="J46" s="9">
        <v>147</v>
      </c>
      <c r="K46" s="9">
        <v>177</v>
      </c>
      <c r="L46" s="9">
        <v>212</v>
      </c>
      <c r="M46" s="9">
        <v>272</v>
      </c>
      <c r="N46" s="9">
        <v>322</v>
      </c>
      <c r="O46" s="9">
        <v>411</v>
      </c>
      <c r="P46" s="9">
        <v>599</v>
      </c>
      <c r="Q46" s="9">
        <v>721</v>
      </c>
      <c r="R46" s="9">
        <v>827</v>
      </c>
      <c r="S46" s="9">
        <v>934</v>
      </c>
      <c r="T46" s="9">
        <v>1045</v>
      </c>
      <c r="U46" s="9">
        <v>1136</v>
      </c>
      <c r="V46" s="9">
        <v>1245</v>
      </c>
      <c r="W46" s="9">
        <v>1388</v>
      </c>
      <c r="X46" s="9">
        <v>1524</v>
      </c>
      <c r="Y46" s="9">
        <v>1651</v>
      </c>
    </row>
    <row r="47" spans="1:48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6"/>
        <v>Saudi Arabia</v>
      </c>
      <c r="D47" s="6">
        <f t="shared" si="17"/>
        <v>1563</v>
      </c>
      <c r="E47" s="6">
        <f>IF(COUNTIF(I47:XFD47,"&gt;"&amp;0)=0,,HLOOKUP(COUNTIF(I47:XFD47,"&gt;"&amp;0)-1,I$1:XFD47,A47+1,FALSE))</f>
        <v>1563</v>
      </c>
      <c r="F47" s="7">
        <f>IF(COUNTIF(I47:XFD47,"&gt;"&amp;0)=0,,HLOOKUP(COUNTIF(I47:XFD47,"&gt;"&amp;0)-MIN($F$1+1,COUNTIF(I47:XFD47,"&gt;"&amp;0)),I$1:XFD47,A47+1,FALSE))</f>
        <v>1012</v>
      </c>
      <c r="G47" s="8">
        <f t="shared" si="15"/>
        <v>1.0908265330788094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</row>
    <row r="48" spans="1:48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6"/>
        <v>Indonesia</v>
      </c>
      <c r="D48" s="6">
        <f t="shared" si="17"/>
        <v>1528</v>
      </c>
      <c r="E48" s="6">
        <f>IF(COUNTIF(I48:XFD48,"&gt;"&amp;0)=0,,HLOOKUP(COUNTIF(I48:XFD48,"&gt;"&amp;0)-1,I$1:XFD48,A48+1,FALSE))</f>
        <v>1528</v>
      </c>
      <c r="F48" s="7">
        <f>IF(COUNTIF(I48:XFD48,"&gt;"&amp;0)=0,,HLOOKUP(COUNTIF(I48:XFD48,"&gt;"&amp;0)-MIN($F$1+1,COUNTIF(I48:XFD48,"&gt;"&amp;0)),I$1:XFD48,A48+1,FALSE))</f>
        <v>893</v>
      </c>
      <c r="G48" s="8">
        <f t="shared" si="15"/>
        <v>1.1134081066979442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</row>
    <row r="49" spans="1:40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6"/>
        <v>Finland</v>
      </c>
      <c r="D49" s="6">
        <f t="shared" si="17"/>
        <v>1418</v>
      </c>
      <c r="E49" s="6">
        <f>IF(COUNTIF(I49:XFD49,"&gt;"&amp;0)=0,,HLOOKUP(COUNTIF(I49:XFD49,"&gt;"&amp;0)-1,I$1:XFD49,A49+1,FALSE))</f>
        <v>1418</v>
      </c>
      <c r="F49" s="7">
        <f>IF(COUNTIF(I49:XFD49,"&gt;"&amp;0)=0,,HLOOKUP(COUNTIF(I49:XFD49,"&gt;"&amp;0)-MIN($F$1+1,COUNTIF(I49:XFD49,"&gt;"&amp;0)),I$1:XFD49,A49+1,FALSE))</f>
        <v>958</v>
      </c>
      <c r="G49" s="8">
        <f t="shared" si="15"/>
        <v>1.0815887076332715</v>
      </c>
      <c r="H49" s="13" t="s">
        <v>54</v>
      </c>
      <c r="I49" s="9">
        <v>155</v>
      </c>
      <c r="J49" s="9">
        <v>225</v>
      </c>
      <c r="K49" s="9">
        <v>244</v>
      </c>
      <c r="L49" s="9">
        <v>277</v>
      </c>
      <c r="M49" s="9">
        <v>321</v>
      </c>
      <c r="N49" s="9">
        <v>336</v>
      </c>
      <c r="O49" s="9">
        <v>400</v>
      </c>
      <c r="P49" s="9">
        <v>450</v>
      </c>
      <c r="Q49" s="9">
        <v>523</v>
      </c>
      <c r="R49" s="9">
        <v>626</v>
      </c>
      <c r="S49" s="9">
        <v>700</v>
      </c>
      <c r="T49" s="9">
        <v>792</v>
      </c>
      <c r="U49" s="9">
        <v>880</v>
      </c>
      <c r="V49" s="9">
        <v>958</v>
      </c>
      <c r="W49" s="9">
        <v>1041</v>
      </c>
      <c r="X49" s="9">
        <v>1167</v>
      </c>
      <c r="Y49" s="9">
        <v>1240</v>
      </c>
      <c r="Z49" s="9">
        <v>1352</v>
      </c>
      <c r="AA49" s="9">
        <v>1418</v>
      </c>
    </row>
    <row r="50" spans="1:40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6"/>
        <v>India</v>
      </c>
      <c r="D50" s="6">
        <f t="shared" si="17"/>
        <v>1397</v>
      </c>
      <c r="E50" s="6">
        <f>IF(COUNTIF(I50:XFD50,"&gt;"&amp;0)=0,,HLOOKUP(COUNTIF(I50:XFD50,"&gt;"&amp;0)-1,I$1:XFD50,A50+1,FALSE))</f>
        <v>1397</v>
      </c>
      <c r="F50" s="7">
        <f>IF(COUNTIF(I50:XFD50,"&gt;"&amp;0)=0,,HLOOKUP(COUNTIF(I50:XFD50,"&gt;"&amp;0)-MIN($F$1+1,COUNTIF(I50:XFD50,"&gt;"&amp;0)),I$1:XFD50,A50+1,FALSE))</f>
        <v>727</v>
      </c>
      <c r="G50" s="8">
        <f t="shared" si="15"/>
        <v>1.1395474117538333</v>
      </c>
      <c r="H50" s="13" t="s">
        <v>57</v>
      </c>
      <c r="I50" s="9">
        <v>102</v>
      </c>
      <c r="J50" s="9">
        <v>113</v>
      </c>
      <c r="K50" s="9">
        <v>119</v>
      </c>
      <c r="L50" s="9">
        <v>142</v>
      </c>
      <c r="M50" s="9">
        <v>156</v>
      </c>
      <c r="N50" s="9">
        <v>194</v>
      </c>
      <c r="O50" s="9">
        <v>244</v>
      </c>
      <c r="P50" s="9">
        <v>330</v>
      </c>
      <c r="Q50" s="9">
        <v>396</v>
      </c>
      <c r="R50" s="9">
        <v>499</v>
      </c>
      <c r="S50" s="9">
        <v>536</v>
      </c>
      <c r="T50" s="9">
        <v>657</v>
      </c>
      <c r="U50" s="9">
        <v>727</v>
      </c>
      <c r="V50" s="9">
        <v>887</v>
      </c>
      <c r="W50" s="9">
        <v>987</v>
      </c>
      <c r="X50" s="9">
        <v>1024</v>
      </c>
      <c r="Y50" s="9">
        <v>1251</v>
      </c>
      <c r="Z50" s="9">
        <v>1397</v>
      </c>
    </row>
    <row r="51" spans="1:40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6"/>
        <v>South Africa</v>
      </c>
      <c r="D51" s="6">
        <f t="shared" si="17"/>
        <v>1353</v>
      </c>
      <c r="E51" s="6">
        <f>IF(COUNTIF(I51:XFD51,"&gt;"&amp;0)=0,,HLOOKUP(COUNTIF(I51:XFD51,"&gt;"&amp;0)-1,I$1:XFD51,A51+1,FALSE))</f>
        <v>1353</v>
      </c>
      <c r="F51" s="7">
        <f>IF(COUNTIF(I51:XFD51,"&gt;"&amp;0)=0,,HLOOKUP(COUNTIF(I51:XFD51,"&gt;"&amp;0)-MIN($F$1+1,COUNTIF(I51:XFD51,"&gt;"&amp;0)),I$1:XFD51,A51+1,FALSE))</f>
        <v>927</v>
      </c>
      <c r="G51" s="8">
        <f t="shared" si="15"/>
        <v>1.0785582682632917</v>
      </c>
      <c r="H51" s="13" t="s">
        <v>145</v>
      </c>
      <c r="I51" s="9">
        <v>116</v>
      </c>
      <c r="J51" s="9">
        <v>150</v>
      </c>
      <c r="K51" s="9">
        <v>202</v>
      </c>
      <c r="L51" s="9">
        <v>240</v>
      </c>
      <c r="M51" s="9">
        <v>274</v>
      </c>
      <c r="N51" s="9">
        <v>402</v>
      </c>
      <c r="O51" s="9">
        <v>554</v>
      </c>
      <c r="P51" s="9">
        <v>709</v>
      </c>
      <c r="Q51" s="9">
        <v>927</v>
      </c>
      <c r="R51" s="9">
        <v>1170</v>
      </c>
      <c r="S51" s="9">
        <v>1187</v>
      </c>
      <c r="T51" s="9">
        <v>1280</v>
      </c>
      <c r="U51" s="9">
        <v>1326</v>
      </c>
      <c r="V51" s="9">
        <v>1353</v>
      </c>
    </row>
    <row r="52" spans="1:40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6"/>
        <v>Greece</v>
      </c>
      <c r="D52" s="6">
        <f t="shared" si="17"/>
        <v>1314</v>
      </c>
      <c r="E52" s="6">
        <f>IF(COUNTIF(I52:XFD52,"&gt;"&amp;0)=0,,HLOOKUP(COUNTIF(I52:XFD52,"&gt;"&amp;0)-1,I$1:XFD52,A52+1,FALSE))</f>
        <v>1314</v>
      </c>
      <c r="F52" s="7">
        <f>IF(COUNTIF(I52:XFD52,"&gt;"&amp;0)=0,,HLOOKUP(COUNTIF(I52:XFD52,"&gt;"&amp;0)-MIN($F$1+1,COUNTIF(I52:XFD52,"&gt;"&amp;0)),I$1:XFD52,A52+1,FALSE))</f>
        <v>892</v>
      </c>
      <c r="G52" s="8">
        <f t="shared" si="15"/>
        <v>1.080553071495846</v>
      </c>
      <c r="H52" s="13" t="s">
        <v>83</v>
      </c>
      <c r="I52" s="9">
        <v>190</v>
      </c>
      <c r="J52" s="9">
        <v>228</v>
      </c>
      <c r="K52" s="9">
        <v>331</v>
      </c>
      <c r="L52" s="9">
        <v>331</v>
      </c>
      <c r="M52" s="9">
        <v>387</v>
      </c>
      <c r="N52" s="9">
        <v>418</v>
      </c>
      <c r="O52" s="9">
        <v>418</v>
      </c>
      <c r="P52" s="9">
        <v>495</v>
      </c>
      <c r="Q52" s="9">
        <v>530</v>
      </c>
      <c r="R52" s="9">
        <v>624</v>
      </c>
      <c r="S52" s="9">
        <v>695</v>
      </c>
      <c r="T52" s="9">
        <v>743</v>
      </c>
      <c r="U52" s="9">
        <v>821</v>
      </c>
      <c r="V52" s="9">
        <v>892</v>
      </c>
      <c r="W52" s="9">
        <v>966</v>
      </c>
      <c r="X52" s="9">
        <v>1061</v>
      </c>
      <c r="Y52" s="9">
        <v>1156</v>
      </c>
      <c r="Z52" s="9">
        <v>1212</v>
      </c>
      <c r="AA52" s="9">
        <v>1314</v>
      </c>
    </row>
    <row r="53" spans="1:40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6"/>
        <v>Panama</v>
      </c>
      <c r="D53" s="6">
        <f t="shared" si="17"/>
        <v>1181</v>
      </c>
      <c r="E53" s="6">
        <f>IF(COUNTIF(I53:XFD53,"&gt;"&amp;0)=0,,HLOOKUP(COUNTIF(I53:XFD53,"&gt;"&amp;0)-1,I$1:XFD53,A53+1,FALSE))</f>
        <v>1181</v>
      </c>
      <c r="F53" s="7">
        <f>IF(COUNTIF(I53:XFD53,"&gt;"&amp;0)=0,,HLOOKUP(COUNTIF(I53:XFD53,"&gt;"&amp;0)-MIN($F$1+1,COUNTIF(I53:XFD53,"&gt;"&amp;0)),I$1:XFD53,A53+1,FALSE))</f>
        <v>558</v>
      </c>
      <c r="G53" s="8">
        <f t="shared" si="15"/>
        <v>1.1617779773450874</v>
      </c>
      <c r="H53" s="13" t="s">
        <v>283</v>
      </c>
      <c r="I53" s="9">
        <v>109</v>
      </c>
      <c r="J53" s="9">
        <v>137</v>
      </c>
      <c r="K53" s="9">
        <v>200</v>
      </c>
      <c r="L53" s="9">
        <v>313</v>
      </c>
      <c r="M53" s="9">
        <v>345</v>
      </c>
      <c r="N53" s="9">
        <v>345</v>
      </c>
      <c r="O53" s="9">
        <v>443</v>
      </c>
      <c r="P53" s="9">
        <v>558</v>
      </c>
      <c r="Q53" s="9">
        <v>674</v>
      </c>
      <c r="R53" s="9">
        <v>786</v>
      </c>
      <c r="S53" s="9">
        <v>901</v>
      </c>
      <c r="T53" s="9">
        <v>989</v>
      </c>
      <c r="U53" s="9">
        <v>1181</v>
      </c>
    </row>
    <row r="54" spans="1:40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6"/>
        <v>Iceland</v>
      </c>
      <c r="D54" s="6">
        <f t="shared" si="17"/>
        <v>1135</v>
      </c>
      <c r="E54" s="6">
        <f>IF(COUNTIF(I54:XFD54,"&gt;"&amp;0)=0,,HLOOKUP(COUNTIF(I54:XFD54,"&gt;"&amp;0)-1,I$1:XFD54,A54+1,FALSE))</f>
        <v>1135</v>
      </c>
      <c r="F54" s="7">
        <f>IF(COUNTIF(I54:XFD54,"&gt;"&amp;0)=0,,HLOOKUP(COUNTIF(I54:XFD54,"&gt;"&amp;0)-MIN($F$1+1,COUNTIF(I54:XFD54,"&gt;"&amp;0)),I$1:XFD54,A54+1,FALSE))</f>
        <v>802</v>
      </c>
      <c r="G54" s="8">
        <f t="shared" si="15"/>
        <v>1.0719247501292282</v>
      </c>
      <c r="H54" s="13" t="s">
        <v>92</v>
      </c>
      <c r="I54" s="9">
        <v>103</v>
      </c>
      <c r="J54" s="9">
        <v>134</v>
      </c>
      <c r="K54" s="9">
        <v>156</v>
      </c>
      <c r="L54" s="9">
        <v>171</v>
      </c>
      <c r="M54" s="9">
        <v>180</v>
      </c>
      <c r="N54" s="9">
        <v>220</v>
      </c>
      <c r="O54" s="9">
        <v>250</v>
      </c>
      <c r="P54" s="9">
        <v>330</v>
      </c>
      <c r="Q54" s="9">
        <v>409</v>
      </c>
      <c r="R54" s="9">
        <v>473</v>
      </c>
      <c r="S54" s="9">
        <v>568</v>
      </c>
      <c r="T54" s="9">
        <v>588</v>
      </c>
      <c r="U54" s="9">
        <v>648</v>
      </c>
      <c r="V54" s="9">
        <v>737</v>
      </c>
      <c r="W54" s="9">
        <v>802</v>
      </c>
      <c r="X54" s="9">
        <v>890</v>
      </c>
      <c r="Y54" s="9">
        <v>963</v>
      </c>
      <c r="Z54" s="9">
        <v>1020</v>
      </c>
      <c r="AA54" s="9">
        <v>1086</v>
      </c>
      <c r="AB54" s="9">
        <v>1135</v>
      </c>
    </row>
    <row r="55" spans="1:40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6"/>
        <v>Dominican Republic</v>
      </c>
      <c r="D55" s="6">
        <f t="shared" si="17"/>
        <v>1109</v>
      </c>
      <c r="E55" s="6">
        <f>IF(COUNTIF(I55:XFD55,"&gt;"&amp;0)=0,,HLOOKUP(COUNTIF(I55:XFD55,"&gt;"&amp;0)-1,I$1:XFD55,A55+1,FALSE))</f>
        <v>1109</v>
      </c>
      <c r="F55" s="7">
        <f>IF(COUNTIF(I55:XFD55,"&gt;"&amp;0)=0,,HLOOKUP(COUNTIF(I55:XFD55,"&gt;"&amp;0)-MIN($F$1+1,COUNTIF(I55:XFD55,"&gt;"&amp;0)),I$1:XFD55,A55+1,FALSE))</f>
        <v>488</v>
      </c>
      <c r="G55" s="8">
        <f t="shared" si="15"/>
        <v>1.1784260784374749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</row>
    <row r="56" spans="1:40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6"/>
        <v>Mexico</v>
      </c>
      <c r="D56" s="6">
        <f t="shared" si="17"/>
        <v>1094</v>
      </c>
      <c r="E56" s="6">
        <f>IF(COUNTIF(I56:XFD56,"&gt;"&amp;0)=0,,HLOOKUP(COUNTIF(I56:XFD56,"&gt;"&amp;0)-1,I$1:XFD56,A56+1,FALSE))</f>
        <v>1094</v>
      </c>
      <c r="F56" s="7">
        <f>IF(COUNTIF(I56:XFD56,"&gt;"&amp;0)=0,,HLOOKUP(COUNTIF(I56:XFD56,"&gt;"&amp;0)-MIN($F$1+1,COUNTIF(I56:XFD56,"&gt;"&amp;0)),I$1:XFD56,A56+1,FALSE))</f>
        <v>475</v>
      </c>
      <c r="G56" s="8">
        <f t="shared" si="15"/>
        <v>1.1815843835511046</v>
      </c>
      <c r="H56" s="13" t="s">
        <v>94</v>
      </c>
      <c r="I56" s="9">
        <v>118</v>
      </c>
      <c r="J56" s="9">
        <v>164</v>
      </c>
      <c r="K56" s="9">
        <v>203</v>
      </c>
      <c r="L56" s="9">
        <v>251</v>
      </c>
      <c r="M56" s="9">
        <v>316</v>
      </c>
      <c r="N56" s="9">
        <v>367</v>
      </c>
      <c r="O56" s="9">
        <v>405</v>
      </c>
      <c r="P56" s="9">
        <v>475</v>
      </c>
      <c r="Q56" s="9">
        <v>585</v>
      </c>
      <c r="R56" s="9">
        <v>717</v>
      </c>
      <c r="S56" s="9">
        <v>848</v>
      </c>
      <c r="T56" s="9">
        <v>993</v>
      </c>
      <c r="U56" s="9">
        <v>1094</v>
      </c>
    </row>
    <row r="57" spans="1:40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6"/>
        <v>Peru</v>
      </c>
      <c r="D57" s="6">
        <f t="shared" si="17"/>
        <v>1065</v>
      </c>
      <c r="E57" s="6">
        <f>IF(COUNTIF(I57:XFD57,"&gt;"&amp;0)=0,,HLOOKUP(COUNTIF(I57:XFD57,"&gt;"&amp;0)-1,I$1:XFD57,A57+1,FALSE))</f>
        <v>1065</v>
      </c>
      <c r="F57" s="7">
        <f>IF(COUNTIF(I57:XFD57,"&gt;"&amp;0)=0,,HLOOKUP(COUNTIF(I57:XFD57,"&gt;"&amp;0)-MIN($F$1+1,COUNTIF(I57:XFD57,"&gt;"&amp;0)),I$1:XFD57,A57+1,FALSE))</f>
        <v>580</v>
      </c>
      <c r="G57" s="8">
        <f t="shared" si="15"/>
        <v>1.1292349803612398</v>
      </c>
      <c r="H57" s="13" t="s">
        <v>160</v>
      </c>
      <c r="I57" s="9">
        <v>117</v>
      </c>
      <c r="J57" s="9">
        <v>145</v>
      </c>
      <c r="K57" s="9">
        <v>234</v>
      </c>
      <c r="L57" s="9">
        <v>234</v>
      </c>
      <c r="M57" s="9">
        <v>318</v>
      </c>
      <c r="N57" s="9">
        <v>363</v>
      </c>
      <c r="O57" s="9">
        <v>395</v>
      </c>
      <c r="P57" s="9">
        <v>416</v>
      </c>
      <c r="Q57" s="9">
        <v>480</v>
      </c>
      <c r="R57" s="9">
        <v>580</v>
      </c>
      <c r="S57" s="9">
        <v>635</v>
      </c>
      <c r="T57" s="9">
        <v>671</v>
      </c>
      <c r="U57" s="9">
        <v>852</v>
      </c>
      <c r="V57" s="9">
        <v>950</v>
      </c>
      <c r="W57" s="9">
        <v>1065</v>
      </c>
    </row>
    <row r="58" spans="1:40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6"/>
        <v>Argentina</v>
      </c>
      <c r="D58" s="6">
        <f t="shared" si="17"/>
        <v>1054</v>
      </c>
      <c r="E58" s="6">
        <f>IF(COUNTIF(I58:XFD58,"&gt;"&amp;0)=0,,HLOOKUP(COUNTIF(I58:XFD58,"&gt;"&amp;0)-1,I$1:XFD58,A58+1,FALSE))</f>
        <v>1054</v>
      </c>
      <c r="F58" s="7">
        <f>IF(COUNTIF(I58:XFD58,"&gt;"&amp;0)=0,,HLOOKUP(COUNTIF(I58:XFD58,"&gt;"&amp;0)-MIN($F$1+1,COUNTIF(I58:XFD58,"&gt;"&amp;0)),I$1:XFD58,A58+1,FALSE))</f>
        <v>502</v>
      </c>
      <c r="G58" s="8">
        <f t="shared" si="15"/>
        <v>1.1599182423271317</v>
      </c>
      <c r="H58" s="13" t="s">
        <v>123</v>
      </c>
      <c r="I58" s="9">
        <v>128</v>
      </c>
      <c r="J58" s="9">
        <v>158</v>
      </c>
      <c r="K58" s="9">
        <v>266</v>
      </c>
      <c r="L58" s="9">
        <v>301</v>
      </c>
      <c r="M58" s="9">
        <v>387</v>
      </c>
      <c r="N58" s="9">
        <v>387</v>
      </c>
      <c r="O58" s="9">
        <v>502</v>
      </c>
      <c r="P58" s="9">
        <v>589</v>
      </c>
      <c r="Q58" s="9">
        <v>690</v>
      </c>
      <c r="R58" s="9">
        <v>745</v>
      </c>
      <c r="S58" s="9">
        <v>820</v>
      </c>
      <c r="T58" s="9">
        <v>1054</v>
      </c>
    </row>
    <row r="59" spans="1:40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6"/>
        <v>Singapore</v>
      </c>
      <c r="D59" s="6">
        <f t="shared" si="17"/>
        <v>926</v>
      </c>
      <c r="E59" s="6">
        <f>IF(COUNTIF(I59:XFD59,"&gt;"&amp;0)=0,,HLOOKUP(COUNTIF(I59:XFD59,"&gt;"&amp;0)-1,I$1:XFD59,A59+1,FALSE))</f>
        <v>926</v>
      </c>
      <c r="F59" s="7">
        <f>IF(COUNTIF(I59:XFD59,"&gt;"&amp;0)=0,,HLOOKUP(COUNTIF(I59:XFD59,"&gt;"&amp;0)-MIN($F$1+1,COUNTIF(I59:XFD59,"&gt;"&amp;0)),I$1:XFD59,A59+1,FALSE))</f>
        <v>683</v>
      </c>
      <c r="G59" s="8">
        <f t="shared" si="15"/>
        <v>1.0627669900632073</v>
      </c>
      <c r="H59" s="13" t="s">
        <v>40</v>
      </c>
      <c r="I59" s="9">
        <v>102</v>
      </c>
      <c r="J59" s="9">
        <v>106</v>
      </c>
      <c r="K59" s="9">
        <v>108</v>
      </c>
      <c r="L59" s="9">
        <v>110</v>
      </c>
      <c r="M59" s="9">
        <v>110</v>
      </c>
      <c r="N59" s="9">
        <v>117</v>
      </c>
      <c r="O59" s="9">
        <v>130</v>
      </c>
      <c r="P59" s="9">
        <v>138</v>
      </c>
      <c r="Q59" s="9">
        <v>150</v>
      </c>
      <c r="R59" s="9">
        <v>150</v>
      </c>
      <c r="S59" s="9">
        <v>160</v>
      </c>
      <c r="T59" s="9">
        <v>178</v>
      </c>
      <c r="U59" s="9">
        <v>178</v>
      </c>
      <c r="V59" s="9">
        <v>200</v>
      </c>
      <c r="W59" s="9">
        <v>212</v>
      </c>
      <c r="X59" s="9">
        <v>226</v>
      </c>
      <c r="Y59" s="9">
        <v>243</v>
      </c>
      <c r="Z59" s="9">
        <v>266</v>
      </c>
      <c r="AA59" s="9">
        <v>313</v>
      </c>
      <c r="AB59" s="9">
        <v>345</v>
      </c>
      <c r="AC59" s="9">
        <v>385</v>
      </c>
      <c r="AD59" s="9">
        <v>432</v>
      </c>
      <c r="AE59" s="9">
        <v>455</v>
      </c>
      <c r="AF59" s="9">
        <v>509</v>
      </c>
      <c r="AG59" s="9">
        <v>558</v>
      </c>
      <c r="AH59" s="9">
        <v>631</v>
      </c>
      <c r="AI59" s="9">
        <v>683</v>
      </c>
      <c r="AJ59" s="9">
        <v>732</v>
      </c>
      <c r="AK59" s="9">
        <v>802</v>
      </c>
      <c r="AL59" s="9">
        <v>844</v>
      </c>
      <c r="AM59" s="9">
        <v>879</v>
      </c>
      <c r="AN59" s="9">
        <v>926</v>
      </c>
    </row>
    <row r="60" spans="1:40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6"/>
        <v>Colombia</v>
      </c>
      <c r="D60" s="6">
        <f t="shared" si="17"/>
        <v>906</v>
      </c>
      <c r="E60" s="6">
        <f>IF(COUNTIF(I60:XFD60,"&gt;"&amp;0)=0,,HLOOKUP(COUNTIF(I60:XFD60,"&gt;"&amp;0)-1,I$1:XFD60,A60+1,FALSE))</f>
        <v>906</v>
      </c>
      <c r="F60" s="7">
        <f>IF(COUNTIF(I60:XFD60,"&gt;"&amp;0)=0,,HLOOKUP(COUNTIF(I60:XFD60,"&gt;"&amp;0)-MIN($F$1+1,COUNTIF(I60:XFD60,"&gt;"&amp;0)),I$1:XFD60,A60+1,FALSE))</f>
        <v>491</v>
      </c>
      <c r="G60" s="8">
        <f t="shared" si="15"/>
        <v>1.130340636637611</v>
      </c>
      <c r="H60" s="13" t="s">
        <v>158</v>
      </c>
      <c r="I60" s="9">
        <v>102</v>
      </c>
      <c r="J60" s="9">
        <v>128</v>
      </c>
      <c r="K60" s="9">
        <v>196</v>
      </c>
      <c r="L60" s="9">
        <v>231</v>
      </c>
      <c r="M60" s="9">
        <v>277</v>
      </c>
      <c r="N60" s="9">
        <v>378</v>
      </c>
      <c r="O60" s="9">
        <v>470</v>
      </c>
      <c r="P60" s="9">
        <v>491</v>
      </c>
      <c r="Q60" s="9">
        <v>539</v>
      </c>
      <c r="R60" s="9">
        <v>608</v>
      </c>
      <c r="S60" s="9">
        <v>702</v>
      </c>
      <c r="T60" s="9">
        <v>798</v>
      </c>
      <c r="U60" s="9">
        <v>906</v>
      </c>
    </row>
    <row r="61" spans="1:40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6"/>
        <v>Serbia</v>
      </c>
      <c r="D61" s="6">
        <f t="shared" si="17"/>
        <v>900</v>
      </c>
      <c r="E61" s="6">
        <f>IF(COUNTIF(I61:XFD61,"&gt;"&amp;0)=0,,HLOOKUP(COUNTIF(I61:XFD61,"&gt;"&amp;0)-1,I$1:XFD61,A61+1,FALSE))</f>
        <v>900</v>
      </c>
      <c r="F61" s="7">
        <f>IF(COUNTIF(I61:XFD61,"&gt;"&amp;0)=0,,HLOOKUP(COUNTIF(I61:XFD61,"&gt;"&amp;0)-MIN($F$1+1,COUNTIF(I61:XFD61,"&gt;"&amp;0)),I$1:XFD61,A61+1,FALSE))</f>
        <v>384</v>
      </c>
      <c r="G61" s="8">
        <f t="shared" si="15"/>
        <v>1.1857203048896559</v>
      </c>
      <c r="H61" s="13" t="s">
        <v>161</v>
      </c>
      <c r="I61" s="9">
        <v>103</v>
      </c>
      <c r="J61" s="9">
        <v>135</v>
      </c>
      <c r="K61" s="9">
        <v>171</v>
      </c>
      <c r="L61" s="9">
        <v>222</v>
      </c>
      <c r="M61" s="9">
        <v>249</v>
      </c>
      <c r="N61" s="9">
        <v>303</v>
      </c>
      <c r="O61" s="9">
        <v>384</v>
      </c>
      <c r="P61" s="9">
        <v>384</v>
      </c>
      <c r="Q61" s="9">
        <v>457</v>
      </c>
      <c r="R61" s="9">
        <v>659</v>
      </c>
      <c r="S61" s="9">
        <v>741</v>
      </c>
      <c r="T61" s="9">
        <v>785</v>
      </c>
      <c r="U61" s="9">
        <v>900</v>
      </c>
    </row>
    <row r="62" spans="1:40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6"/>
        <v>Croatia</v>
      </c>
      <c r="D62" s="6">
        <f t="shared" si="17"/>
        <v>867</v>
      </c>
      <c r="E62" s="6">
        <f>IF(COUNTIF(I62:XFD62,"&gt;"&amp;0)=0,,HLOOKUP(COUNTIF(I62:XFD62,"&gt;"&amp;0)-1,I$1:XFD62,A62+1,FALSE))</f>
        <v>867</v>
      </c>
      <c r="F62" s="7">
        <f>IF(COUNTIF(I62:XFD62,"&gt;"&amp;0)=0,,HLOOKUP(COUNTIF(I62:XFD62,"&gt;"&amp;0)-MIN($F$1+1,COUNTIF(I62:XFD62,"&gt;"&amp;0)),I$1:XFD62,A62+1,FALSE))</f>
        <v>495</v>
      </c>
      <c r="G62" s="8">
        <f t="shared" si="15"/>
        <v>1.1186205146823636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  <c r="Q62" s="9">
        <v>586</v>
      </c>
      <c r="R62" s="9">
        <v>657</v>
      </c>
      <c r="S62" s="9">
        <v>713</v>
      </c>
      <c r="T62" s="9">
        <v>790</v>
      </c>
      <c r="U62" s="9">
        <v>867</v>
      </c>
    </row>
    <row r="63" spans="1:40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6"/>
        <v>Slovenia</v>
      </c>
      <c r="D63" s="6">
        <f t="shared" si="17"/>
        <v>802</v>
      </c>
      <c r="E63" s="6">
        <f>IF(COUNTIF(I63:XFD63,"&gt;"&amp;0)=0,,HLOOKUP(COUNTIF(I63:XFD63,"&gt;"&amp;0)-1,I$1:XFD63,A63+1,FALSE))</f>
        <v>802</v>
      </c>
      <c r="F63" s="7">
        <f>IF(COUNTIF(I63:XFD63,"&gt;"&amp;0)=0,,HLOOKUP(COUNTIF(I63:XFD63,"&gt;"&amp;0)-MIN($F$1+1,COUNTIF(I63:XFD63,"&gt;"&amp;0)),I$1:XFD63,A63+1,FALSE))</f>
        <v>562</v>
      </c>
      <c r="G63" s="8">
        <f t="shared" si="15"/>
        <v>1.073711514567222</v>
      </c>
      <c r="H63" s="13" t="s">
        <v>141</v>
      </c>
      <c r="I63" s="9">
        <v>141</v>
      </c>
      <c r="J63" s="9">
        <v>181</v>
      </c>
      <c r="K63" s="9">
        <v>219</v>
      </c>
      <c r="L63" s="9">
        <v>253</v>
      </c>
      <c r="M63" s="9">
        <v>275</v>
      </c>
      <c r="N63" s="9">
        <v>275</v>
      </c>
      <c r="O63" s="9">
        <v>286</v>
      </c>
      <c r="P63" s="9">
        <v>341</v>
      </c>
      <c r="Q63" s="9">
        <v>383</v>
      </c>
      <c r="R63" s="9">
        <v>414</v>
      </c>
      <c r="S63" s="9">
        <v>442</v>
      </c>
      <c r="T63" s="9">
        <v>480</v>
      </c>
      <c r="U63" s="9">
        <v>528</v>
      </c>
      <c r="V63" s="9">
        <v>562</v>
      </c>
      <c r="W63" s="9">
        <v>632</v>
      </c>
      <c r="X63" s="9">
        <v>684</v>
      </c>
      <c r="Y63" s="9">
        <v>730</v>
      </c>
      <c r="Z63" s="9">
        <v>756</v>
      </c>
      <c r="AA63" s="9">
        <v>802</v>
      </c>
    </row>
    <row r="64" spans="1:40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6"/>
        <v>Qatar</v>
      </c>
      <c r="D64" s="6">
        <f t="shared" si="17"/>
        <v>781</v>
      </c>
      <c r="E64" s="6">
        <f>IF(COUNTIF(I64:XFD64,"&gt;"&amp;0)=0,,HLOOKUP(COUNTIF(I64:XFD64,"&gt;"&amp;0)-1,I$1:XFD64,A64+1,FALSE))</f>
        <v>781</v>
      </c>
      <c r="F64" s="7">
        <f>IF(COUNTIF(I64:XFD64,"&gt;"&amp;0)=0,,HLOOKUP(COUNTIF(I64:XFD64,"&gt;"&amp;0)-MIN($F$1+1,COUNTIF(I64:XFD64,"&gt;"&amp;0)),I$1:XFD64,A64+1,FALSE))</f>
        <v>549</v>
      </c>
      <c r="G64" s="8">
        <f t="shared" si="15"/>
        <v>1.0730395708423877</v>
      </c>
      <c r="H64" s="13" t="s">
        <v>101</v>
      </c>
      <c r="I64" s="9">
        <v>262</v>
      </c>
      <c r="J64" s="9">
        <v>262</v>
      </c>
      <c r="K64" s="9">
        <v>320</v>
      </c>
      <c r="L64" s="9">
        <v>337</v>
      </c>
      <c r="M64" s="9">
        <v>401</v>
      </c>
      <c r="N64" s="9">
        <v>439</v>
      </c>
      <c r="O64" s="9">
        <v>439</v>
      </c>
      <c r="P64" s="9">
        <v>452</v>
      </c>
      <c r="Q64" s="9">
        <v>460</v>
      </c>
      <c r="R64" s="9">
        <v>470</v>
      </c>
      <c r="S64" s="9">
        <v>481</v>
      </c>
      <c r="T64" s="9">
        <v>494</v>
      </c>
      <c r="U64" s="9">
        <v>501</v>
      </c>
      <c r="V64" s="9">
        <v>526</v>
      </c>
      <c r="W64" s="9">
        <v>537</v>
      </c>
      <c r="X64" s="9">
        <v>549</v>
      </c>
      <c r="Y64" s="9">
        <v>562</v>
      </c>
      <c r="Z64" s="9">
        <v>590</v>
      </c>
      <c r="AA64" s="9">
        <v>634</v>
      </c>
      <c r="AB64" s="9">
        <v>693</v>
      </c>
      <c r="AC64" s="9">
        <v>781</v>
      </c>
    </row>
    <row r="65" spans="1:30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6"/>
        <v>Estonia</v>
      </c>
      <c r="D65" s="6">
        <f t="shared" si="17"/>
        <v>745</v>
      </c>
      <c r="E65" s="6">
        <f>IF(COUNTIF(I65:XFD65,"&gt;"&amp;0)=0,,HLOOKUP(COUNTIF(I65:XFD65,"&gt;"&amp;0)-1,I$1:XFD65,A65+1,FALSE))</f>
        <v>745</v>
      </c>
      <c r="F65" s="7">
        <f>IF(COUNTIF(I65:XFD65,"&gt;"&amp;0)=0,,HLOOKUP(COUNTIF(I65:XFD65,"&gt;"&amp;0)-MIN($F$1+1,COUNTIF(I65:XFD65,"&gt;"&amp;0)),I$1:XFD65,A65+1,FALSE))</f>
        <v>538</v>
      </c>
      <c r="G65" s="8">
        <f t="shared" si="15"/>
        <v>1.0672712224640417</v>
      </c>
      <c r="H65" s="13" t="s">
        <v>88</v>
      </c>
      <c r="I65" s="9">
        <v>115</v>
      </c>
      <c r="J65" s="9">
        <v>171</v>
      </c>
      <c r="K65" s="9">
        <v>205</v>
      </c>
      <c r="L65" s="9">
        <v>225</v>
      </c>
      <c r="M65" s="9">
        <v>258</v>
      </c>
      <c r="N65" s="9">
        <v>267</v>
      </c>
      <c r="O65" s="9">
        <v>283</v>
      </c>
      <c r="P65" s="9">
        <v>306</v>
      </c>
      <c r="Q65" s="9">
        <v>326</v>
      </c>
      <c r="R65" s="9">
        <v>352</v>
      </c>
      <c r="S65" s="9">
        <v>369</v>
      </c>
      <c r="T65" s="9">
        <v>404</v>
      </c>
      <c r="U65" s="9">
        <v>538</v>
      </c>
      <c r="V65" s="9">
        <v>575</v>
      </c>
      <c r="W65" s="9">
        <v>645</v>
      </c>
      <c r="X65" s="9">
        <v>679</v>
      </c>
      <c r="Y65" s="9">
        <v>715</v>
      </c>
      <c r="Z65" s="9">
        <v>745</v>
      </c>
    </row>
    <row r="66" spans="1:30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6"/>
        <v>Algeria</v>
      </c>
      <c r="D66" s="6">
        <f t="shared" si="17"/>
        <v>716</v>
      </c>
      <c r="E66" s="6">
        <f>IF(COUNTIF(I66:XFD66,"&gt;"&amp;0)=0,,HLOOKUP(COUNTIF(I66:XFD66,"&gt;"&amp;0)-1,I$1:XFD66,A66+1,FALSE))</f>
        <v>716</v>
      </c>
      <c r="F66" s="7">
        <f>IF(COUNTIF(I66:XFD66,"&gt;"&amp;0)=0,,HLOOKUP(COUNTIF(I66:XFD66,"&gt;"&amp;0)-MIN($F$1+1,COUNTIF(I66:XFD66,"&gt;"&amp;0)),I$1:XFD66,A66+1,FALSE))</f>
        <v>367</v>
      </c>
      <c r="G66" s="8">
        <f t="shared" ref="G66:G97" si="18">IF(COUNTIF(I66:XFD66,"&gt;"&amp;0)=0,,(E66/F66)^(1/MIN(COUNTIF(I66:XFD66,"&gt;"&amp;0)-1,$F$1)))</f>
        <v>1.143008319891323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</row>
    <row r="67" spans="1:30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6"/>
        <v>Egypt</v>
      </c>
      <c r="D67" s="6">
        <f t="shared" si="17"/>
        <v>710</v>
      </c>
      <c r="E67" s="6">
        <f>IF(COUNTIF(I67:XFD67,"&gt;"&amp;0)=0,,HLOOKUP(COUNTIF(I67:XFD67,"&gt;"&amp;0)-1,I$1:XFD67,A67+1,FALSE))</f>
        <v>710</v>
      </c>
      <c r="F67" s="7">
        <f>IF(COUNTIF(I67:XFD67,"&gt;"&amp;0)=0,,HLOOKUP(COUNTIF(I67:XFD67,"&gt;"&amp;0)-MIN($F$1+1,COUNTIF(I67:XFD67,"&gt;"&amp;0)),I$1:XFD67,A67+1,FALSE))</f>
        <v>495</v>
      </c>
      <c r="G67" s="8">
        <f t="shared" si="18"/>
        <v>1.0748073556706184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</row>
    <row r="68" spans="1:30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6"/>
        <v>Iraq</v>
      </c>
      <c r="D68" s="6">
        <f t="shared" si="17"/>
        <v>694</v>
      </c>
      <c r="E68" s="6">
        <f>IF(COUNTIF(I68:XFD68,"&gt;"&amp;0)=0,,HLOOKUP(COUNTIF(I68:XFD68,"&gt;"&amp;0)-1,I$1:XFD68,A68+1,FALSE))</f>
        <v>694</v>
      </c>
      <c r="F68" s="7">
        <f>IF(COUNTIF(I68:XFD68,"&gt;"&amp;0)=0,,HLOOKUP(COUNTIF(I68:XFD68,"&gt;"&amp;0)-MIN($F$1+1,COUNTIF(I68:XFD68,"&gt;"&amp;0)),I$1:XFD68,A68+1,FALSE))</f>
        <v>382</v>
      </c>
      <c r="G68" s="8">
        <f t="shared" si="18"/>
        <v>1.1268321293120642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  <c r="W68" s="9">
        <v>458</v>
      </c>
      <c r="X68" s="9">
        <v>506</v>
      </c>
      <c r="Y68" s="9">
        <v>547</v>
      </c>
      <c r="Z68" s="9">
        <v>630</v>
      </c>
      <c r="AA68" s="9">
        <v>694</v>
      </c>
    </row>
    <row r="69" spans="1:30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ref="C69:C100" si="19">IF(H69="","",H69)</f>
        <v>United Arab Emirates</v>
      </c>
      <c r="D69" s="6">
        <f t="shared" ref="D69:D100" si="20">MAX(I69:JF69)</f>
        <v>664</v>
      </c>
      <c r="E69" s="6">
        <f>IF(COUNTIF(I69:XFD69,"&gt;"&amp;0)=0,,HLOOKUP(COUNTIF(I69:XFD69,"&gt;"&amp;0)-1,I$1:XFD69,A69+1,FALSE))</f>
        <v>664</v>
      </c>
      <c r="F69" s="7">
        <f>IF(COUNTIF(I69:XFD69,"&gt;"&amp;0)=0,,HLOOKUP(COUNTIF(I69:XFD69,"&gt;"&amp;0)-MIN($F$1+1,COUNTIF(I69:XFD69,"&gt;"&amp;0)),I$1:XFD69,A69+1,FALSE))</f>
        <v>333</v>
      </c>
      <c r="G69" s="8">
        <f t="shared" si="18"/>
        <v>1.1480076158593551</v>
      </c>
      <c r="H69" s="13" t="s">
        <v>55</v>
      </c>
      <c r="I69" s="9">
        <v>113</v>
      </c>
      <c r="J69" s="9">
        <v>140</v>
      </c>
      <c r="K69" s="9">
        <v>140</v>
      </c>
      <c r="L69" s="9">
        <v>153</v>
      </c>
      <c r="M69" s="9">
        <v>153</v>
      </c>
      <c r="N69" s="9">
        <v>198</v>
      </c>
      <c r="O69" s="9">
        <v>248</v>
      </c>
      <c r="P69" s="9">
        <v>333</v>
      </c>
      <c r="Q69" s="9">
        <v>333</v>
      </c>
      <c r="R69" s="9">
        <v>405</v>
      </c>
      <c r="S69" s="9">
        <v>468</v>
      </c>
      <c r="T69" s="9">
        <v>570</v>
      </c>
      <c r="U69" s="9">
        <v>611</v>
      </c>
      <c r="V69" s="9">
        <v>664</v>
      </c>
    </row>
    <row r="70" spans="1:30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si="19"/>
        <v>New Zealand</v>
      </c>
      <c r="D70" s="6">
        <f t="shared" si="20"/>
        <v>647</v>
      </c>
      <c r="E70" s="6">
        <f>IF(COUNTIF(I70:XFD70,"&gt;"&amp;0)=0,,HLOOKUP(COUNTIF(I70:XFD70,"&gt;"&amp;0)-1,I$1:XFD70,A70+1,FALSE))</f>
        <v>647</v>
      </c>
      <c r="F70" s="7">
        <f>IF(COUNTIF(I70:XFD70,"&gt;"&amp;0)=0,,HLOOKUP(COUNTIF(I70:XFD70,"&gt;"&amp;0)-MIN($F$1+1,COUNTIF(I70:XFD70,"&gt;"&amp;0)),I$1:XFD70,A70+1,FALSE))</f>
        <v>283</v>
      </c>
      <c r="G70" s="8">
        <f t="shared" si="18"/>
        <v>1.179841230937023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</row>
    <row r="71" spans="1:30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9"/>
        <v>Ukraine</v>
      </c>
      <c r="D71" s="6">
        <f t="shared" si="20"/>
        <v>645</v>
      </c>
      <c r="E71" s="6">
        <f>IF(COUNTIF(I71:XFD71,"&gt;"&amp;0)=0,,HLOOKUP(COUNTIF(I71:XFD71,"&gt;"&amp;0)-1,I$1:XFD71,A71+1,FALSE))</f>
        <v>645</v>
      </c>
      <c r="F71" s="7">
        <f>IF(COUNTIF(I71:XFD71,"&gt;"&amp;0)=0,,HLOOKUP(COUNTIF(I71:XFD71,"&gt;"&amp;0)-MIN($F$1+1,COUNTIF(I71:XFD71,"&gt;"&amp;0)),I$1:XFD71,A71+1,FALSE))</f>
        <v>196</v>
      </c>
      <c r="G71" s="8">
        <f t="shared" si="18"/>
        <v>1.268997389391521</v>
      </c>
      <c r="H71" s="13" t="s">
        <v>129</v>
      </c>
      <c r="I71" s="9">
        <v>145</v>
      </c>
      <c r="J71" s="9">
        <v>196</v>
      </c>
      <c r="K71" s="9">
        <v>310</v>
      </c>
      <c r="L71" s="9">
        <v>356</v>
      </c>
      <c r="M71" s="9">
        <v>475</v>
      </c>
      <c r="N71" s="9">
        <v>548</v>
      </c>
      <c r="O71" s="9">
        <v>645</v>
      </c>
    </row>
    <row r="72" spans="1:30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9"/>
        <v>Morocco</v>
      </c>
      <c r="D72" s="6">
        <f t="shared" si="20"/>
        <v>617</v>
      </c>
      <c r="E72" s="6">
        <f>IF(COUNTIF(I72:XFD72,"&gt;"&amp;0)=0,,HLOOKUP(COUNTIF(I72:XFD72,"&gt;"&amp;0)-1,I$1:XFD72,A72+1,FALSE))</f>
        <v>617</v>
      </c>
      <c r="F72" s="7">
        <f>IF(COUNTIF(I72:XFD72,"&gt;"&amp;0)=0,,HLOOKUP(COUNTIF(I72:XFD72,"&gt;"&amp;0)-MIN($F$1+1,COUNTIF(I72:XFD72,"&gt;"&amp;0)),I$1:XFD72,A72+1,FALSE))</f>
        <v>275</v>
      </c>
      <c r="G72" s="8">
        <f t="shared" si="18"/>
        <v>1.1754130118103778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</row>
    <row r="73" spans="1:30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9"/>
        <v>Bahrain</v>
      </c>
      <c r="D73" s="6">
        <f t="shared" si="20"/>
        <v>567</v>
      </c>
      <c r="E73" s="6">
        <f>IF(COUNTIF(I73:XFD73,"&gt;"&amp;0)=0,,HLOOKUP(COUNTIF(I73:XFD73,"&gt;"&amp;0)-1,I$1:XFD73,A73+1,FALSE))</f>
        <v>567</v>
      </c>
      <c r="F73" s="7">
        <f>IF(COUNTIF(I73:XFD73,"&gt;"&amp;0)=0,,HLOOKUP(COUNTIF(I73:XFD73,"&gt;"&amp;0)-MIN($F$1+1,COUNTIF(I73:XFD73,"&gt;"&amp;0)),I$1:XFD73,A73+1,FALSE))</f>
        <v>458</v>
      </c>
      <c r="G73" s="8">
        <f t="shared" si="18"/>
        <v>1.0436226981735182</v>
      </c>
      <c r="H73" s="13" t="s">
        <v>73</v>
      </c>
      <c r="I73" s="9">
        <v>110</v>
      </c>
      <c r="J73" s="9">
        <v>195</v>
      </c>
      <c r="K73" s="9">
        <v>195</v>
      </c>
      <c r="L73" s="9">
        <v>195</v>
      </c>
      <c r="M73" s="9">
        <v>210</v>
      </c>
      <c r="N73" s="9">
        <v>214</v>
      </c>
      <c r="O73" s="9">
        <v>214</v>
      </c>
      <c r="P73" s="9">
        <v>228</v>
      </c>
      <c r="Q73" s="9">
        <v>256</v>
      </c>
      <c r="R73" s="9">
        <v>278</v>
      </c>
      <c r="S73" s="9">
        <v>285</v>
      </c>
      <c r="T73" s="9">
        <v>305</v>
      </c>
      <c r="U73" s="9">
        <v>334</v>
      </c>
      <c r="V73" s="9">
        <v>377</v>
      </c>
      <c r="W73" s="9">
        <v>392</v>
      </c>
      <c r="X73" s="9">
        <v>419</v>
      </c>
      <c r="Y73" s="9">
        <v>458</v>
      </c>
      <c r="Z73" s="9">
        <v>466</v>
      </c>
      <c r="AA73" s="9">
        <v>476</v>
      </c>
      <c r="AB73" s="9">
        <v>499</v>
      </c>
      <c r="AC73" s="9">
        <v>515</v>
      </c>
      <c r="AD73" s="9">
        <v>567</v>
      </c>
    </row>
    <row r="74" spans="1:30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9"/>
        <v>Lithuania</v>
      </c>
      <c r="D74" s="6">
        <f t="shared" si="20"/>
        <v>537</v>
      </c>
      <c r="E74" s="6">
        <f>IF(COUNTIF(I74:XFD74,"&gt;"&amp;0)=0,,HLOOKUP(COUNTIF(I74:XFD74,"&gt;"&amp;0)-1,I$1:XFD74,A74+1,FALSE))</f>
        <v>537</v>
      </c>
      <c r="F74" s="7">
        <f>IF(COUNTIF(I74:XFD74,"&gt;"&amp;0)=0,,HLOOKUP(COUNTIF(I74:XFD74,"&gt;"&amp;0)-MIN($F$1+1,COUNTIF(I74:XFD74,"&gt;"&amp;0)),I$1:XFD74,A74+1,FALSE))</f>
        <v>299</v>
      </c>
      <c r="G74" s="8">
        <f t="shared" si="18"/>
        <v>1.1242441061966082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</row>
    <row r="75" spans="1:30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9"/>
        <v>Armenia</v>
      </c>
      <c r="D75" s="6">
        <f t="shared" si="20"/>
        <v>532</v>
      </c>
      <c r="E75" s="6">
        <f>IF(COUNTIF(I75:XFD75,"&gt;"&amp;0)=0,,HLOOKUP(COUNTIF(I75:XFD75,"&gt;"&amp;0)-1,I$1:XFD75,A75+1,FALSE))</f>
        <v>532</v>
      </c>
      <c r="F75" s="7">
        <f>IF(COUNTIF(I75:XFD75,"&gt;"&amp;0)=0,,HLOOKUP(COUNTIF(I75:XFD75,"&gt;"&amp;0)-MIN($F$1+1,COUNTIF(I75:XFD75,"&gt;"&amp;0)),I$1:XFD75,A75+1,FALSE))</f>
        <v>290</v>
      </c>
      <c r="G75" s="8">
        <f t="shared" si="18"/>
        <v>1.1290228377611877</v>
      </c>
      <c r="H75" s="13" t="s">
        <v>105</v>
      </c>
      <c r="I75" s="9">
        <v>115</v>
      </c>
      <c r="J75" s="9">
        <v>136</v>
      </c>
      <c r="K75" s="9">
        <v>160</v>
      </c>
      <c r="L75" s="9">
        <v>194</v>
      </c>
      <c r="M75" s="9">
        <v>235</v>
      </c>
      <c r="N75" s="9">
        <v>249</v>
      </c>
      <c r="O75" s="9">
        <v>265</v>
      </c>
      <c r="P75" s="9">
        <v>290</v>
      </c>
      <c r="Q75" s="9">
        <v>329</v>
      </c>
      <c r="R75" s="9">
        <v>407</v>
      </c>
      <c r="S75" s="9">
        <v>424</v>
      </c>
      <c r="T75" s="9">
        <v>482</v>
      </c>
      <c r="U75" s="9">
        <v>532</v>
      </c>
    </row>
    <row r="76" spans="1:30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9"/>
        <v>Hungary</v>
      </c>
      <c r="D76" s="6">
        <f t="shared" si="20"/>
        <v>492</v>
      </c>
      <c r="E76" s="6">
        <f>IF(COUNTIF(I76:XFD76,"&gt;"&amp;0)=0,,HLOOKUP(COUNTIF(I76:XFD76,"&gt;"&amp;0)-1,I$1:XFD76,A76+1,FALSE))</f>
        <v>492</v>
      </c>
      <c r="F76" s="7">
        <f>IF(COUNTIF(I76:XFD76,"&gt;"&amp;0)=0,,HLOOKUP(COUNTIF(I76:XFD76,"&gt;"&amp;0)-MIN($F$1+1,COUNTIF(I76:XFD76,"&gt;"&amp;0)),I$1:XFD76,A76+1,FALSE))</f>
        <v>261</v>
      </c>
      <c r="G76" s="8">
        <f t="shared" si="18"/>
        <v>1.1351804917218276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</row>
    <row r="77" spans="1:30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9"/>
        <v>Lebanon</v>
      </c>
      <c r="D77" s="6">
        <f t="shared" si="20"/>
        <v>470</v>
      </c>
      <c r="E77" s="6">
        <f>IF(COUNTIF(I77:XFD77,"&gt;"&amp;0)=0,,HLOOKUP(COUNTIF(I77:XFD77,"&gt;"&amp;0)-1,I$1:XFD77,A77+1,FALSE))</f>
        <v>470</v>
      </c>
      <c r="F77" s="7">
        <f>IF(COUNTIF(I77:XFD77,"&gt;"&amp;0)=0,,HLOOKUP(COUNTIF(I77:XFD77,"&gt;"&amp;0)-MIN($F$1+1,COUNTIF(I77:XFD77,"&gt;"&amp;0)),I$1:XFD77,A77+1,FALSE))</f>
        <v>368</v>
      </c>
      <c r="G77" s="8">
        <f t="shared" si="18"/>
        <v>1.0501467867536938</v>
      </c>
      <c r="H77" s="13" t="s">
        <v>67</v>
      </c>
      <c r="I77" s="9">
        <v>110</v>
      </c>
      <c r="J77" s="9">
        <v>110</v>
      </c>
      <c r="K77" s="9">
        <v>120</v>
      </c>
      <c r="L77" s="9">
        <v>133</v>
      </c>
      <c r="M77" s="9">
        <v>157</v>
      </c>
      <c r="N77" s="9">
        <v>163</v>
      </c>
      <c r="O77" s="9">
        <v>187</v>
      </c>
      <c r="P77" s="9">
        <v>248</v>
      </c>
      <c r="Q77" s="9">
        <v>267</v>
      </c>
      <c r="R77" s="9">
        <v>318</v>
      </c>
      <c r="S77" s="9">
        <v>333</v>
      </c>
      <c r="T77" s="9">
        <v>368</v>
      </c>
      <c r="U77" s="9">
        <v>391</v>
      </c>
      <c r="V77" s="9">
        <v>412</v>
      </c>
      <c r="W77" s="9">
        <v>438</v>
      </c>
      <c r="X77" s="9">
        <v>446</v>
      </c>
      <c r="Y77" s="9">
        <v>470</v>
      </c>
    </row>
    <row r="78" spans="1:30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9"/>
        <v>Bosnia and Herzegovina</v>
      </c>
      <c r="D78" s="6">
        <f t="shared" si="20"/>
        <v>420</v>
      </c>
      <c r="E78" s="6">
        <f>IF(COUNTIF(I78:XFD78,"&gt;"&amp;0)=0,,HLOOKUP(COUNTIF(I78:XFD78,"&gt;"&amp;0)-1,I$1:XFD78,A78+1,FALSE))</f>
        <v>420</v>
      </c>
      <c r="F78" s="7">
        <f>IF(COUNTIF(I78:XFD78,"&gt;"&amp;0)=0,,HLOOKUP(COUNTIF(I78:XFD78,"&gt;"&amp;0)-MIN($F$1+1,COUNTIF(I78:XFD78,"&gt;"&amp;0)),I$1:XFD78,A78+1,FALSE))</f>
        <v>191</v>
      </c>
      <c r="G78" s="8">
        <f t="shared" si="18"/>
        <v>1.1706934395826023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</row>
    <row r="79" spans="1:30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9"/>
        <v>Bulgaria</v>
      </c>
      <c r="D79" s="6">
        <f t="shared" si="20"/>
        <v>399</v>
      </c>
      <c r="E79" s="6">
        <f>IF(COUNTIF(I79:XFD79,"&gt;"&amp;0)=0,,HLOOKUP(COUNTIF(I79:XFD79,"&gt;"&amp;0)-1,I$1:XFD79,A79+1,FALSE))</f>
        <v>399</v>
      </c>
      <c r="F79" s="7">
        <f>IF(COUNTIF(I79:XFD79,"&gt;"&amp;0)=0,,HLOOKUP(COUNTIF(I79:XFD79,"&gt;"&amp;0)-MIN($F$1+1,COUNTIF(I79:XFD79,"&gt;"&amp;0)),I$1:XFD79,A79+1,FALSE))</f>
        <v>264</v>
      </c>
      <c r="G79" s="8">
        <f t="shared" si="18"/>
        <v>1.0861099535491676</v>
      </c>
      <c r="H79" s="13" t="s">
        <v>199</v>
      </c>
      <c r="I79" s="9">
        <v>127</v>
      </c>
      <c r="J79" s="9">
        <v>163</v>
      </c>
      <c r="K79" s="9">
        <v>187</v>
      </c>
      <c r="L79" s="9">
        <v>201</v>
      </c>
      <c r="M79" s="9">
        <v>218</v>
      </c>
      <c r="N79" s="9">
        <v>242</v>
      </c>
      <c r="O79" s="9">
        <v>264</v>
      </c>
      <c r="P79" s="9">
        <v>293</v>
      </c>
      <c r="Q79" s="9">
        <v>331</v>
      </c>
      <c r="R79" s="9">
        <v>346</v>
      </c>
      <c r="S79" s="9">
        <v>359</v>
      </c>
      <c r="T79" s="9">
        <v>399</v>
      </c>
    </row>
    <row r="80" spans="1:30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9"/>
        <v>Latvia</v>
      </c>
      <c r="D80" s="6">
        <f t="shared" si="20"/>
        <v>398</v>
      </c>
      <c r="E80" s="6">
        <f>IF(COUNTIF(I80:XFD80,"&gt;"&amp;0)=0,,HLOOKUP(COUNTIF(I80:XFD80,"&gt;"&amp;0)-1,I$1:XFD80,A80+1,FALSE))</f>
        <v>398</v>
      </c>
      <c r="F80" s="7">
        <f>IF(COUNTIF(I80:XFD80,"&gt;"&amp;0)=0,,HLOOKUP(COUNTIF(I80:XFD80,"&gt;"&amp;0)-MIN($F$1+1,COUNTIF(I80:XFD80,"&gt;"&amp;0)),I$1:XFD80,A80+1,FALSE))</f>
        <v>244</v>
      </c>
      <c r="G80" s="8">
        <f t="shared" si="18"/>
        <v>1.1028048036206048</v>
      </c>
      <c r="H80" s="13" t="s">
        <v>111</v>
      </c>
      <c r="I80" s="9">
        <v>111</v>
      </c>
      <c r="J80" s="9">
        <v>124</v>
      </c>
      <c r="K80" s="9">
        <v>139</v>
      </c>
      <c r="L80" s="9">
        <v>180</v>
      </c>
      <c r="M80" s="9">
        <v>197</v>
      </c>
      <c r="N80" s="9">
        <v>221</v>
      </c>
      <c r="O80" s="9">
        <v>244</v>
      </c>
      <c r="P80" s="9">
        <v>280</v>
      </c>
      <c r="Q80" s="9">
        <v>305</v>
      </c>
      <c r="R80" s="9">
        <v>347</v>
      </c>
      <c r="S80" s="9">
        <v>376</v>
      </c>
      <c r="T80" s="9">
        <v>398</v>
      </c>
    </row>
    <row r="81" spans="1:26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9"/>
        <v>Tunisia</v>
      </c>
      <c r="D81" s="6">
        <f t="shared" si="20"/>
        <v>394</v>
      </c>
      <c r="E81" s="6">
        <f>IF(COUNTIF(I81:XFD81,"&gt;"&amp;0)=0,,HLOOKUP(COUNTIF(I81:XFD81,"&gt;"&amp;0)-1,I$1:XFD81,A81+1,FALSE))</f>
        <v>394</v>
      </c>
      <c r="F81" s="7">
        <f>IF(COUNTIF(I81:XFD81,"&gt;"&amp;0)=0,,HLOOKUP(COUNTIF(I81:XFD81,"&gt;"&amp;0)-MIN($F$1+1,COUNTIF(I81:XFD81,"&gt;"&amp;0)),I$1:XFD81,A81+1,FALSE))</f>
        <v>197</v>
      </c>
      <c r="G81" s="8">
        <f t="shared" si="18"/>
        <v>1.1486983549970351</v>
      </c>
      <c r="H81" s="13" t="s">
        <v>138</v>
      </c>
      <c r="I81" s="9">
        <v>114</v>
      </c>
      <c r="J81" s="9">
        <v>173</v>
      </c>
      <c r="K81" s="9">
        <v>197</v>
      </c>
      <c r="L81" s="9">
        <v>227</v>
      </c>
      <c r="M81" s="9">
        <v>278</v>
      </c>
      <c r="N81" s="9">
        <v>312</v>
      </c>
      <c r="O81" s="9">
        <v>312</v>
      </c>
      <c r="P81" s="9">
        <v>394</v>
      </c>
    </row>
    <row r="82" spans="1:26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9"/>
        <v>Andorra</v>
      </c>
      <c r="D82" s="6">
        <f t="shared" si="20"/>
        <v>376</v>
      </c>
      <c r="E82" s="6">
        <f>IF(COUNTIF(I82:XFD82,"&gt;"&amp;0)=0,,HLOOKUP(COUNTIF(I82:XFD82,"&gt;"&amp;0)-1,I$1:XFD82,A82+1,FALSE))</f>
        <v>376</v>
      </c>
      <c r="F82" s="7">
        <f>IF(COUNTIF(I82:XFD82,"&gt;"&amp;0)=0,,HLOOKUP(COUNTIF(I82:XFD82,"&gt;"&amp;0)-MIN($F$1+1,COUNTIF(I82:XFD82,"&gt;"&amp;0)),I$1:XFD82,A82+1,FALSE))</f>
        <v>224</v>
      </c>
      <c r="G82" s="8">
        <f t="shared" si="18"/>
        <v>1.1091440794805394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  <c r="N82" s="9">
        <v>267</v>
      </c>
      <c r="O82" s="9">
        <v>308</v>
      </c>
      <c r="P82" s="9">
        <v>334</v>
      </c>
      <c r="Q82" s="9">
        <v>370</v>
      </c>
      <c r="R82" s="9">
        <v>376</v>
      </c>
    </row>
    <row r="83" spans="1:26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9"/>
        <v>Slovakia</v>
      </c>
      <c r="D83" s="6">
        <f t="shared" si="20"/>
        <v>363</v>
      </c>
      <c r="E83" s="6">
        <f>IF(COUNTIF(I83:XFD83,"&gt;"&amp;0)=0,,HLOOKUP(COUNTIF(I83:XFD83,"&gt;"&amp;0)-1,I$1:XFD83,A83+1,FALSE))</f>
        <v>363</v>
      </c>
      <c r="F83" s="7">
        <f>IF(COUNTIF(I83:XFD83,"&gt;"&amp;0)=0,,HLOOKUP(COUNTIF(I83:XFD83,"&gt;"&amp;0)-MIN($F$1+1,COUNTIF(I83:XFD83,"&gt;"&amp;0)),I$1:XFD83,A83+1,FALSE))</f>
        <v>226</v>
      </c>
      <c r="G83" s="8">
        <f t="shared" si="18"/>
        <v>1.099409884259599</v>
      </c>
      <c r="H83" s="13" t="s">
        <v>162</v>
      </c>
      <c r="I83" s="9">
        <v>105</v>
      </c>
      <c r="J83" s="9">
        <v>123</v>
      </c>
      <c r="K83" s="9">
        <v>137</v>
      </c>
      <c r="L83" s="9">
        <v>178</v>
      </c>
      <c r="M83" s="9">
        <v>185</v>
      </c>
      <c r="N83" s="9">
        <v>186</v>
      </c>
      <c r="O83" s="9">
        <v>204</v>
      </c>
      <c r="P83" s="9">
        <v>216</v>
      </c>
      <c r="Q83" s="9">
        <v>226</v>
      </c>
      <c r="R83" s="9">
        <v>269</v>
      </c>
      <c r="S83" s="9">
        <v>292</v>
      </c>
      <c r="T83" s="9">
        <v>314</v>
      </c>
      <c r="U83" s="9">
        <v>336</v>
      </c>
      <c r="V83" s="9">
        <v>363</v>
      </c>
    </row>
    <row r="84" spans="1:26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9"/>
        <v>Moldova</v>
      </c>
      <c r="D84" s="6">
        <f t="shared" si="20"/>
        <v>353</v>
      </c>
      <c r="E84" s="6">
        <f>IF(COUNTIF(I84:XFD84,"&gt;"&amp;0)=0,,HLOOKUP(COUNTIF(I84:XFD84,"&gt;"&amp;0)-1,I$1:XFD84,A84+1,FALSE))</f>
        <v>353</v>
      </c>
      <c r="F84" s="7">
        <f>IF(COUNTIF(I84:XFD84,"&gt;"&amp;0)=0,,HLOOKUP(COUNTIF(I84:XFD84,"&gt;"&amp;0)-MIN($F$1+1,COUNTIF(I84:XFD84,"&gt;"&amp;0)),I$1:XFD84,A84+1,FALSE))</f>
        <v>177</v>
      </c>
      <c r="G84" s="8">
        <f t="shared" si="18"/>
        <v>1.1480486383170696</v>
      </c>
      <c r="H84" s="13" t="s">
        <v>345</v>
      </c>
      <c r="I84" s="9">
        <v>109</v>
      </c>
      <c r="J84" s="9">
        <v>125</v>
      </c>
      <c r="K84" s="9">
        <v>149</v>
      </c>
      <c r="L84" s="9">
        <v>177</v>
      </c>
      <c r="M84" s="9">
        <v>199</v>
      </c>
      <c r="N84" s="9">
        <v>231</v>
      </c>
      <c r="O84" s="9">
        <v>263</v>
      </c>
      <c r="P84" s="9">
        <v>298</v>
      </c>
      <c r="Q84" s="9">
        <v>353</v>
      </c>
    </row>
    <row r="85" spans="1:26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9"/>
        <v>Costa Rica</v>
      </c>
      <c r="D85" s="6">
        <f t="shared" si="20"/>
        <v>347</v>
      </c>
      <c r="E85" s="6">
        <f>IF(COUNTIF(I85:XFD85,"&gt;"&amp;0)=0,,HLOOKUP(COUNTIF(I85:XFD85,"&gt;"&amp;0)-1,I$1:XFD85,A85+1,FALSE))</f>
        <v>347</v>
      </c>
      <c r="F85" s="7">
        <f>IF(COUNTIF(I85:XFD85,"&gt;"&amp;0)=0,,HLOOKUP(COUNTIF(I85:XFD85,"&gt;"&amp;0)-MIN($F$1+1,COUNTIF(I85:XFD85,"&gt;"&amp;0)),I$1:XFD85,A85+1,FALSE))</f>
        <v>231</v>
      </c>
      <c r="G85" s="8">
        <f t="shared" si="18"/>
        <v>1.0847845695685134</v>
      </c>
      <c r="H85" s="13" t="s">
        <v>159</v>
      </c>
      <c r="I85" s="9">
        <v>117</v>
      </c>
      <c r="J85" s="9">
        <v>134</v>
      </c>
      <c r="K85" s="9">
        <v>158</v>
      </c>
      <c r="L85" s="9">
        <v>177</v>
      </c>
      <c r="M85" s="9">
        <v>201</v>
      </c>
      <c r="N85" s="9">
        <v>231</v>
      </c>
      <c r="O85" s="9">
        <v>263</v>
      </c>
      <c r="P85" s="9">
        <v>295</v>
      </c>
      <c r="Q85" s="9">
        <v>314</v>
      </c>
      <c r="R85" s="9">
        <v>330</v>
      </c>
      <c r="S85" s="9">
        <v>347</v>
      </c>
    </row>
    <row r="86" spans="1:26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9"/>
        <v>Kazakhstan</v>
      </c>
      <c r="D86" s="6">
        <f t="shared" si="20"/>
        <v>343</v>
      </c>
      <c r="E86" s="6">
        <f>IF(COUNTIF(I86:XFD86,"&gt;"&amp;0)=0,,HLOOKUP(COUNTIF(I86:XFD86,"&gt;"&amp;0)-1,I$1:XFD86,A86+1,FALSE))</f>
        <v>343</v>
      </c>
      <c r="F86" s="7">
        <f>IF(COUNTIF(I86:XFD86,"&gt;"&amp;0)=0,,HLOOKUP(COUNTIF(I86:XFD86,"&gt;"&amp;0)-MIN($F$1+1,COUNTIF(I86:XFD86,"&gt;"&amp;0)),I$1:XFD86,A86+1,FALSE))</f>
        <v>111</v>
      </c>
      <c r="G86" s="8">
        <f t="shared" si="18"/>
        <v>1.2531245208776778</v>
      </c>
      <c r="H86" s="13" t="s">
        <v>413</v>
      </c>
      <c r="I86" s="9">
        <v>111</v>
      </c>
      <c r="J86" s="9">
        <v>150</v>
      </c>
      <c r="K86" s="9">
        <v>228</v>
      </c>
      <c r="L86" s="9">
        <v>284</v>
      </c>
      <c r="M86" s="9">
        <v>302</v>
      </c>
      <c r="N86" s="9">
        <v>343</v>
      </c>
    </row>
    <row r="87" spans="1:26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9"/>
        <v>North Macedonia</v>
      </c>
      <c r="D87" s="6">
        <f t="shared" si="20"/>
        <v>329</v>
      </c>
      <c r="E87" s="6">
        <f>IF(COUNTIF(I87:XFD87,"&gt;"&amp;0)=0,,HLOOKUP(COUNTIF(I87:XFD87,"&gt;"&amp;0)-1,I$1:XFD87,A87+1,FALSE))</f>
        <v>329</v>
      </c>
      <c r="F87" s="7">
        <f>IF(COUNTIF(I87:XFD87,"&gt;"&amp;0)=0,,HLOOKUP(COUNTIF(I87:XFD87,"&gt;"&amp;0)-MIN($F$1+1,COUNTIF(I87:XFD87,"&gt;"&amp;0)),I$1:XFD87,A87+1,FALSE))</f>
        <v>201</v>
      </c>
      <c r="G87" s="8">
        <f t="shared" si="18"/>
        <v>1.1035702089190449</v>
      </c>
      <c r="H87" s="13" t="s">
        <v>84</v>
      </c>
      <c r="I87" s="9">
        <v>115</v>
      </c>
      <c r="J87" s="9">
        <v>136</v>
      </c>
      <c r="K87" s="9">
        <v>148</v>
      </c>
      <c r="L87" s="9">
        <v>177</v>
      </c>
      <c r="M87" s="9">
        <v>201</v>
      </c>
      <c r="N87" s="9">
        <v>219</v>
      </c>
      <c r="O87" s="9">
        <v>241</v>
      </c>
      <c r="P87" s="9">
        <v>259</v>
      </c>
      <c r="Q87" s="9">
        <v>285</v>
      </c>
      <c r="R87" s="9">
        <v>329</v>
      </c>
    </row>
    <row r="88" spans="1:26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9"/>
        <v>Taiwan*</v>
      </c>
      <c r="D88" s="6">
        <f t="shared" si="20"/>
        <v>322</v>
      </c>
      <c r="E88" s="6">
        <f>IF(COUNTIF(I88:XFD88,"&gt;"&amp;0)=0,,HLOOKUP(COUNTIF(I88:XFD88,"&gt;"&amp;0)-1,I$1:XFD88,A88+1,FALSE))</f>
        <v>322</v>
      </c>
      <c r="F88" s="7">
        <f>IF(COUNTIF(I88:XFD88,"&gt;"&amp;0)=0,,HLOOKUP(COUNTIF(I88:XFD88,"&gt;"&amp;0)-MIN($F$1+1,COUNTIF(I88:XFD88,"&gt;"&amp;0)),I$1:XFD88,A88+1,FALSE))</f>
        <v>252</v>
      </c>
      <c r="G88" s="8">
        <f t="shared" si="18"/>
        <v>1.0502460726386826</v>
      </c>
      <c r="H88" s="13" t="s">
        <v>342</v>
      </c>
      <c r="I88" s="9">
        <v>100</v>
      </c>
      <c r="J88" s="9">
        <v>108</v>
      </c>
      <c r="K88" s="9">
        <v>135</v>
      </c>
      <c r="L88" s="9">
        <v>153</v>
      </c>
      <c r="M88" s="9">
        <v>169</v>
      </c>
      <c r="N88" s="9">
        <v>195</v>
      </c>
      <c r="O88" s="9">
        <v>215</v>
      </c>
      <c r="P88" s="9">
        <v>235</v>
      </c>
      <c r="Q88" s="9">
        <v>252</v>
      </c>
      <c r="R88" s="9">
        <v>267</v>
      </c>
      <c r="S88" s="9">
        <v>283</v>
      </c>
      <c r="T88" s="9">
        <v>298</v>
      </c>
      <c r="U88" s="9">
        <v>306</v>
      </c>
      <c r="V88" s="9">
        <v>322</v>
      </c>
    </row>
    <row r="89" spans="1:26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9"/>
        <v>Azerbaijan</v>
      </c>
      <c r="D89" s="6">
        <f t="shared" si="20"/>
        <v>298</v>
      </c>
      <c r="E89" s="6">
        <f>IF(COUNTIF(I89:XFD89,"&gt;"&amp;0)=0,,HLOOKUP(COUNTIF(I89:XFD89,"&gt;"&amp;0)-1,I$1:XFD89,A89+1,FALSE))</f>
        <v>298</v>
      </c>
      <c r="F89" s="7">
        <f>IF(COUNTIF(I89:XFD89,"&gt;"&amp;0)=0,,HLOOKUP(COUNTIF(I89:XFD89,"&gt;"&amp;0)-MIN($F$1+1,COUNTIF(I89:XFD89,"&gt;"&amp;0)),I$1:XFD89,A89+1,FALSE))</f>
        <v>122</v>
      </c>
      <c r="G89" s="8">
        <f t="shared" si="18"/>
        <v>1.1955597531070836</v>
      </c>
      <c r="H89" s="13" t="s">
        <v>104</v>
      </c>
      <c r="I89" s="9">
        <v>122</v>
      </c>
      <c r="J89" s="9">
        <v>165</v>
      </c>
      <c r="K89" s="9">
        <v>182</v>
      </c>
      <c r="L89" s="9">
        <v>209</v>
      </c>
      <c r="M89" s="9">
        <v>273</v>
      </c>
      <c r="N89" s="9">
        <v>298</v>
      </c>
    </row>
    <row r="90" spans="1:26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9"/>
        <v>Kuwait</v>
      </c>
      <c r="D90" s="6">
        <f t="shared" si="20"/>
        <v>289</v>
      </c>
      <c r="E90" s="6">
        <f>IF(COUNTIF(I90:XFD90,"&gt;"&amp;0)=0,,HLOOKUP(COUNTIF(I90:XFD90,"&gt;"&amp;0)-1,I$1:XFD90,A90+1,FALSE))</f>
        <v>289</v>
      </c>
      <c r="F90" s="7">
        <f>IF(COUNTIF(I90:XFD90,"&gt;"&amp;0)=0,,HLOOKUP(COUNTIF(I90:XFD90,"&gt;"&amp;0)-MIN($F$1+1,COUNTIF(I90:XFD90,"&gt;"&amp;0)),I$1:XFD90,A90+1,FALSE))</f>
        <v>208</v>
      </c>
      <c r="G90" s="8">
        <f t="shared" si="18"/>
        <v>1.067989299915628</v>
      </c>
      <c r="H90" s="13" t="s">
        <v>74</v>
      </c>
      <c r="I90" s="9">
        <v>104</v>
      </c>
      <c r="J90" s="9">
        <v>112</v>
      </c>
      <c r="K90" s="9">
        <v>123</v>
      </c>
      <c r="L90" s="9">
        <v>130</v>
      </c>
      <c r="M90" s="9">
        <v>142</v>
      </c>
      <c r="N90" s="9">
        <v>148</v>
      </c>
      <c r="O90" s="9">
        <v>159</v>
      </c>
      <c r="P90" s="9">
        <v>176</v>
      </c>
      <c r="Q90" s="9">
        <v>188</v>
      </c>
      <c r="R90" s="9">
        <v>189</v>
      </c>
      <c r="S90" s="9">
        <v>191</v>
      </c>
      <c r="T90" s="9">
        <v>195</v>
      </c>
      <c r="U90" s="9">
        <v>208</v>
      </c>
      <c r="V90" s="9">
        <v>225</v>
      </c>
      <c r="W90" s="9">
        <v>235</v>
      </c>
      <c r="X90" s="9">
        <v>255</v>
      </c>
      <c r="Y90" s="9">
        <v>266</v>
      </c>
      <c r="Z90" s="9">
        <v>289</v>
      </c>
    </row>
    <row r="91" spans="1:26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9"/>
        <v>Jordan</v>
      </c>
      <c r="D91" s="6">
        <f t="shared" si="20"/>
        <v>274</v>
      </c>
      <c r="E91" s="6">
        <f>IF(COUNTIF(I91:XFD91,"&gt;"&amp;0)=0,,HLOOKUP(COUNTIF(I91:XFD91,"&gt;"&amp;0)-1,I$1:XFD91,A91+1,FALSE))</f>
        <v>274</v>
      </c>
      <c r="F91" s="7">
        <f>IF(COUNTIF(I91:XFD91,"&gt;"&amp;0)=0,,HLOOKUP(COUNTIF(I91:XFD91,"&gt;"&amp;0)-MIN($F$1+1,COUNTIF(I91:XFD91,"&gt;"&amp;0)),I$1:XFD91,A91+1,FALSE))</f>
        <v>212</v>
      </c>
      <c r="G91" s="8">
        <f t="shared" si="18"/>
        <v>1.0526474442834142</v>
      </c>
      <c r="H91" s="13" t="s">
        <v>125</v>
      </c>
      <c r="I91" s="9">
        <v>112</v>
      </c>
      <c r="J91" s="9">
        <v>127</v>
      </c>
      <c r="K91" s="9">
        <v>154</v>
      </c>
      <c r="L91" s="9">
        <v>172</v>
      </c>
      <c r="M91" s="9">
        <v>212</v>
      </c>
      <c r="N91" s="9">
        <v>235</v>
      </c>
      <c r="O91" s="9">
        <v>246</v>
      </c>
      <c r="P91" s="9">
        <v>259</v>
      </c>
      <c r="Q91" s="9">
        <v>268</v>
      </c>
      <c r="R91" s="9">
        <v>274</v>
      </c>
    </row>
    <row r="92" spans="1:26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9"/>
        <v>Cyprus</v>
      </c>
      <c r="D92" s="6">
        <f t="shared" si="20"/>
        <v>262</v>
      </c>
      <c r="E92" s="6">
        <f>IF(COUNTIF(I92:XFD92,"&gt;"&amp;0)=0,,HLOOKUP(COUNTIF(I92:XFD92,"&gt;"&amp;0)-1,I$1:XFD92,A92+1,FALSE))</f>
        <v>262</v>
      </c>
      <c r="F92" s="7">
        <f>IF(COUNTIF(I92:XFD92,"&gt;"&amp;0)=0,,HLOOKUP(COUNTIF(I92:XFD92,"&gt;"&amp;0)-MIN($F$1+1,COUNTIF(I92:XFD92,"&gt;"&amp;0)),I$1:XFD92,A92+1,FALSE))</f>
        <v>146</v>
      </c>
      <c r="G92" s="8">
        <f t="shared" si="18"/>
        <v>1.1240605008597082</v>
      </c>
      <c r="H92" s="13" t="s">
        <v>231</v>
      </c>
      <c r="I92" s="9">
        <v>116</v>
      </c>
      <c r="J92" s="9">
        <v>124</v>
      </c>
      <c r="K92" s="9">
        <v>132</v>
      </c>
      <c r="L92" s="9">
        <v>146</v>
      </c>
      <c r="M92" s="9">
        <v>162</v>
      </c>
      <c r="N92" s="9">
        <v>179</v>
      </c>
      <c r="O92" s="9">
        <v>214</v>
      </c>
      <c r="P92" s="9">
        <v>230</v>
      </c>
      <c r="Q92" s="9">
        <v>262</v>
      </c>
    </row>
    <row r="93" spans="1:26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9"/>
        <v>Burkina Faso</v>
      </c>
      <c r="D93" s="6">
        <f t="shared" si="20"/>
        <v>261</v>
      </c>
      <c r="E93" s="6">
        <f>IF(COUNTIF(I93:XFD93,"&gt;"&amp;0)=0,,HLOOKUP(COUNTIF(I93:XFD93,"&gt;"&amp;0)-1,I$1:XFD93,A93+1,FALSE))</f>
        <v>261</v>
      </c>
      <c r="F93" s="7">
        <f>IF(COUNTIF(I93:XFD93,"&gt;"&amp;0)=0,,HLOOKUP(COUNTIF(I93:XFD93,"&gt;"&amp;0)-MIN($F$1+1,COUNTIF(I93:XFD93,"&gt;"&amp;0)),I$1:XFD93,A93+1,FALSE))</f>
        <v>152</v>
      </c>
      <c r="G93" s="8">
        <f t="shared" si="18"/>
        <v>1.1141903273271696</v>
      </c>
      <c r="H93" s="13" t="s">
        <v>279</v>
      </c>
      <c r="I93" s="9">
        <v>114</v>
      </c>
      <c r="J93" s="9">
        <v>146</v>
      </c>
      <c r="K93" s="9">
        <v>152</v>
      </c>
      <c r="L93" s="9">
        <v>180</v>
      </c>
      <c r="M93" s="9">
        <v>207</v>
      </c>
      <c r="N93" s="9">
        <v>222</v>
      </c>
      <c r="O93" s="9">
        <v>246</v>
      </c>
      <c r="P93" s="9">
        <v>261</v>
      </c>
    </row>
    <row r="94" spans="1:26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9"/>
        <v>Albania</v>
      </c>
      <c r="D94" s="6">
        <f t="shared" si="20"/>
        <v>243</v>
      </c>
      <c r="E94" s="6">
        <f>IF(COUNTIF(I94:XFD94,"&gt;"&amp;0)=0,,HLOOKUP(COUNTIF(I94:XFD94,"&gt;"&amp;0)-1,I$1:XFD94,A94+1,FALSE))</f>
        <v>243</v>
      </c>
      <c r="F94" s="7">
        <f>IF(COUNTIF(I94:XFD94,"&gt;"&amp;0)=0,,HLOOKUP(COUNTIF(I94:XFD94,"&gt;"&amp;0)-MIN($F$1+1,COUNTIF(I94:XFD94,"&gt;"&amp;0)),I$1:XFD94,A94+1,FALSE))</f>
        <v>174</v>
      </c>
      <c r="G94" s="8">
        <f t="shared" si="18"/>
        <v>1.0690829541787212</v>
      </c>
      <c r="H94" s="13" t="s">
        <v>230</v>
      </c>
      <c r="I94" s="9">
        <v>104</v>
      </c>
      <c r="J94" s="9">
        <v>123</v>
      </c>
      <c r="K94" s="9">
        <v>146</v>
      </c>
      <c r="L94" s="9">
        <v>174</v>
      </c>
      <c r="M94" s="9">
        <v>186</v>
      </c>
      <c r="N94" s="9">
        <v>197</v>
      </c>
      <c r="O94" s="9">
        <v>212</v>
      </c>
      <c r="P94" s="9">
        <v>223</v>
      </c>
      <c r="Q94" s="9">
        <v>243</v>
      </c>
    </row>
    <row r="95" spans="1:26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9"/>
        <v>San Marino</v>
      </c>
      <c r="D95" s="6">
        <f t="shared" si="20"/>
        <v>236</v>
      </c>
      <c r="E95" s="6">
        <f>IF(COUNTIF(I95:XFD95,"&gt;"&amp;0)=0,,HLOOKUP(COUNTIF(I95:XFD95,"&gt;"&amp;0)-1,I$1:XFD95,A95+1,FALSE))</f>
        <v>236</v>
      </c>
      <c r="F95" s="7">
        <f>IF(COUNTIF(I95:XFD95,"&gt;"&amp;0)=0,,HLOOKUP(COUNTIF(I95:XFD95,"&gt;"&amp;0)-MIN($F$1+1,COUNTIF(I95:XFD95,"&gt;"&amp;0)),I$1:XFD95,A95+1,FALSE))</f>
        <v>208</v>
      </c>
      <c r="G95" s="8">
        <f t="shared" si="18"/>
        <v>1.025580450076665</v>
      </c>
      <c r="H95" s="13" t="s">
        <v>90</v>
      </c>
      <c r="I95" s="9">
        <v>101</v>
      </c>
      <c r="J95" s="9">
        <v>109</v>
      </c>
      <c r="K95" s="9">
        <v>109</v>
      </c>
      <c r="L95" s="9">
        <v>119</v>
      </c>
      <c r="M95" s="9">
        <v>119</v>
      </c>
      <c r="N95" s="9">
        <v>144</v>
      </c>
      <c r="O95" s="9">
        <v>144</v>
      </c>
      <c r="P95" s="9">
        <v>175</v>
      </c>
      <c r="Q95" s="9">
        <v>187</v>
      </c>
      <c r="R95" s="9">
        <v>187</v>
      </c>
      <c r="S95" s="9">
        <v>208</v>
      </c>
      <c r="T95" s="9">
        <v>208</v>
      </c>
      <c r="U95" s="9">
        <v>223</v>
      </c>
      <c r="V95" s="9">
        <v>224</v>
      </c>
      <c r="W95" s="9">
        <v>224</v>
      </c>
      <c r="X95" s="9">
        <v>230</v>
      </c>
      <c r="Y95" s="9">
        <v>236</v>
      </c>
    </row>
    <row r="96" spans="1:26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9"/>
        <v>Vietnam</v>
      </c>
      <c r="D96" s="6">
        <f t="shared" si="20"/>
        <v>212</v>
      </c>
      <c r="E96" s="6">
        <f>IF(COUNTIF(I96:XFD96,"&gt;"&amp;0)=0,,HLOOKUP(COUNTIF(I96:XFD96,"&gt;"&amp;0)-1,I$1:XFD96,A96+1,FALSE))</f>
        <v>212</v>
      </c>
      <c r="F96" s="7">
        <f>IF(COUNTIF(I96:XFD96,"&gt;"&amp;0)=0,,HLOOKUP(COUNTIF(I96:XFD96,"&gt;"&amp;0)-MIN($F$1+1,COUNTIF(I96:XFD96,"&gt;"&amp;0)),I$1:XFD96,A96+1,FALSE))</f>
        <v>153</v>
      </c>
      <c r="G96" s="8">
        <f t="shared" si="18"/>
        <v>1.0674041476450216</v>
      </c>
      <c r="H96" s="13" t="s">
        <v>343</v>
      </c>
      <c r="I96" s="9">
        <v>113</v>
      </c>
      <c r="J96" s="9">
        <v>123</v>
      </c>
      <c r="K96" s="9">
        <v>134</v>
      </c>
      <c r="L96" s="9">
        <v>141</v>
      </c>
      <c r="M96" s="9">
        <v>153</v>
      </c>
      <c r="N96" s="9">
        <v>163</v>
      </c>
      <c r="O96" s="9">
        <v>174</v>
      </c>
      <c r="P96" s="9">
        <v>188</v>
      </c>
      <c r="Q96" s="9">
        <v>203</v>
      </c>
      <c r="R96" s="9">
        <v>212</v>
      </c>
    </row>
    <row r="97" spans="1:1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9"/>
        <v>Cameroon</v>
      </c>
      <c r="D97" s="6">
        <f t="shared" si="20"/>
        <v>193</v>
      </c>
      <c r="E97" s="6">
        <f>IF(COUNTIF(I97:XFD97,"&gt;"&amp;0)=0,,HLOOKUP(COUNTIF(I97:XFD97,"&gt;"&amp;0)-1,I$1:XFD97,A97+1,FALSE))</f>
        <v>193</v>
      </c>
      <c r="F97" s="7">
        <f>IF(COUNTIF(I97:XFD97,"&gt;"&amp;0)=0,,HLOOKUP(COUNTIF(I97:XFD97,"&gt;"&amp;0)-MIN($F$1+1,COUNTIF(I97:XFD97,"&gt;"&amp;0)),I$1:XFD97,A97+1,FALSE))</f>
        <v>139</v>
      </c>
      <c r="G97" s="8">
        <f t="shared" si="18"/>
        <v>1.1783417198050374</v>
      </c>
      <c r="H97" s="13" t="s">
        <v>157</v>
      </c>
      <c r="I97" s="9">
        <v>139</v>
      </c>
      <c r="J97" s="9">
        <v>139</v>
      </c>
      <c r="K97" s="9">
        <v>193</v>
      </c>
    </row>
    <row r="98" spans="1:1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9"/>
        <v>Oman</v>
      </c>
      <c r="D98" s="6">
        <f t="shared" si="20"/>
        <v>192</v>
      </c>
      <c r="E98" s="6">
        <f>IF(COUNTIF(I98:XFD98,"&gt;"&amp;0)=0,,HLOOKUP(COUNTIF(I98:XFD98,"&gt;"&amp;0)-1,I$1:XFD98,A98+1,FALSE))</f>
        <v>192</v>
      </c>
      <c r="F98" s="7">
        <f>IF(COUNTIF(I98:XFD98,"&gt;"&amp;0)=0,,HLOOKUP(COUNTIF(I98:XFD98,"&gt;"&amp;0)-MIN($F$1+1,COUNTIF(I98:XFD98,"&gt;"&amp;0)),I$1:XFD98,A98+1,FALSE))</f>
        <v>109</v>
      </c>
      <c r="G98" s="8">
        <f t="shared" ref="G98:G129" si="21">IF(COUNTIF(I98:XFD98,"&gt;"&amp;0)=0,,(E98/F98)^(1/MIN(COUNTIF(I98:XFD98,"&gt;"&amp;0)-1,$F$1)))</f>
        <v>1.1198889156802219</v>
      </c>
      <c r="H98" s="13" t="s">
        <v>71</v>
      </c>
      <c r="I98" s="9">
        <v>109</v>
      </c>
      <c r="J98" s="9">
        <v>131</v>
      </c>
      <c r="K98" s="9">
        <v>152</v>
      </c>
      <c r="L98" s="9">
        <v>167</v>
      </c>
      <c r="M98" s="9">
        <v>179</v>
      </c>
      <c r="N98" s="9">
        <v>192</v>
      </c>
    </row>
    <row r="99" spans="1:1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9"/>
        <v>Cuba</v>
      </c>
      <c r="D99" s="6">
        <f t="shared" si="20"/>
        <v>186</v>
      </c>
      <c r="E99" s="6">
        <f>IF(COUNTIF(I99:XFD99,"&gt;"&amp;0)=0,,HLOOKUP(COUNTIF(I99:XFD99,"&gt;"&amp;0)-1,I$1:XFD99,A99+1,FALSE))</f>
        <v>186</v>
      </c>
      <c r="F99" s="7">
        <f>IF(COUNTIF(I99:XFD99,"&gt;"&amp;0)=0,,HLOOKUP(COUNTIF(I99:XFD99,"&gt;"&amp;0)-MIN($F$1+1,COUNTIF(I99:XFD99,"&gt;"&amp;0)),I$1:XFD99,A99+1,FALSE))</f>
        <v>119</v>
      </c>
      <c r="G99" s="8">
        <f t="shared" si="21"/>
        <v>1.1605272103321789</v>
      </c>
      <c r="H99" s="13" t="s">
        <v>410</v>
      </c>
      <c r="I99" s="9">
        <v>119</v>
      </c>
      <c r="J99" s="9">
        <v>139</v>
      </c>
      <c r="K99" s="9">
        <v>170</v>
      </c>
      <c r="L99" s="9">
        <v>186</v>
      </c>
    </row>
    <row r="100" spans="1:1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9"/>
        <v>Cote d'Ivoire</v>
      </c>
      <c r="D100" s="6">
        <f t="shared" si="20"/>
        <v>179</v>
      </c>
      <c r="E100" s="6">
        <f>IF(COUNTIF(I100:XFD100,"&gt;"&amp;0)=0,,HLOOKUP(COUNTIF(I100:XFD100,"&gt;"&amp;0)-1,I$1:XFD100,A100+1,FALSE))</f>
        <v>179</v>
      </c>
      <c r="F100" s="7">
        <f>IF(COUNTIF(I100:XFD100,"&gt;"&amp;0)=0,,HLOOKUP(COUNTIF(I100:XFD100,"&gt;"&amp;0)-MIN($F$1+1,COUNTIF(I100:XFD100,"&gt;"&amp;0)),I$1:XFD100,A100+1,FALSE))</f>
        <v>101</v>
      </c>
      <c r="G100" s="8">
        <f t="shared" si="21"/>
        <v>1.153806322159681</v>
      </c>
      <c r="H100" s="13" t="s">
        <v>352</v>
      </c>
      <c r="I100" s="9">
        <v>101</v>
      </c>
      <c r="J100" s="9">
        <v>101</v>
      </c>
      <c r="K100" s="9">
        <v>165</v>
      </c>
      <c r="L100" s="9">
        <v>168</v>
      </c>
      <c r="M100" s="9">
        <v>179</v>
      </c>
    </row>
    <row r="101" spans="1:1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ref="C101:C132" si="22">IF(H101="","",H101)</f>
        <v>Senegal</v>
      </c>
      <c r="D101" s="6">
        <f t="shared" ref="D101:D132" si="23">MAX(I101:JF101)</f>
        <v>175</v>
      </c>
      <c r="E101" s="6">
        <f>IF(COUNTIF(I101:XFD101,"&gt;"&amp;0)=0,,HLOOKUP(COUNTIF(I101:XFD101,"&gt;"&amp;0)-1,I$1:XFD101,A101+1,FALSE))</f>
        <v>175</v>
      </c>
      <c r="F101" s="7">
        <f>IF(COUNTIF(I101:XFD101,"&gt;"&amp;0)=0,,HLOOKUP(COUNTIF(I101:XFD101,"&gt;"&amp;0)-MIN($F$1+1,COUNTIF(I101:XFD101,"&gt;"&amp;0)),I$1:XFD101,A101+1,FALSE))</f>
        <v>105</v>
      </c>
      <c r="G101" s="8">
        <f t="shared" si="21"/>
        <v>1.1075663432482901</v>
      </c>
      <c r="H101" s="13" t="s">
        <v>114</v>
      </c>
      <c r="I101" s="9">
        <v>105</v>
      </c>
      <c r="J101" s="9">
        <v>119</v>
      </c>
      <c r="K101" s="9">
        <v>130</v>
      </c>
      <c r="L101" s="9">
        <v>142</v>
      </c>
      <c r="M101" s="9">
        <v>162</v>
      </c>
      <c r="N101" s="9">
        <v>175</v>
      </c>
    </row>
    <row r="102" spans="1:1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22"/>
        <v>Afghanistan</v>
      </c>
      <c r="D102" s="6">
        <f t="shared" si="23"/>
        <v>174</v>
      </c>
      <c r="E102" s="6">
        <f>IF(COUNTIF(I102:XFD102,"&gt;"&amp;0)=0,,HLOOKUP(COUNTIF(I102:XFD102,"&gt;"&amp;0)-1,I$1:XFD102,A102+1,FALSE))</f>
        <v>174</v>
      </c>
      <c r="F102" s="7">
        <f>IF(COUNTIF(I102:XFD102,"&gt;"&amp;0)=0,,HLOOKUP(COUNTIF(I102:XFD102,"&gt;"&amp;0)-MIN($F$1+1,COUNTIF(I102:XFD102,"&gt;"&amp;0)),I$1:XFD102,A102+1,FALSE))</f>
        <v>110</v>
      </c>
      <c r="G102" s="8">
        <f t="shared" si="21"/>
        <v>1.1214738226757683</v>
      </c>
      <c r="H102" s="13" t="s">
        <v>72</v>
      </c>
      <c r="I102" s="9">
        <v>110</v>
      </c>
      <c r="J102" s="9">
        <v>110</v>
      </c>
      <c r="K102" s="9">
        <v>120</v>
      </c>
      <c r="L102" s="9">
        <v>170</v>
      </c>
      <c r="M102" s="9">
        <v>174</v>
      </c>
    </row>
    <row r="103" spans="1:1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22"/>
        <v>Malta</v>
      </c>
      <c r="D103" s="6">
        <f t="shared" si="23"/>
        <v>169</v>
      </c>
      <c r="E103" s="6">
        <f>IF(COUNTIF(I103:XFD103,"&gt;"&amp;0)=0,,HLOOKUP(COUNTIF(I103:XFD103,"&gt;"&amp;0)-1,I$1:XFD103,A103+1,FALSE))</f>
        <v>169</v>
      </c>
      <c r="F103" s="7">
        <f>IF(COUNTIF(I103:XFD103,"&gt;"&amp;0)=0,,HLOOKUP(COUNTIF(I103:XFD103,"&gt;"&amp;0)-MIN($F$1+1,COUNTIF(I103:XFD103,"&gt;"&amp;0)),I$1:XFD103,A103+1,FALSE))</f>
        <v>134</v>
      </c>
      <c r="G103" s="8">
        <f t="shared" si="21"/>
        <v>1.04750566717917</v>
      </c>
      <c r="H103" s="13" t="s">
        <v>177</v>
      </c>
      <c r="I103" s="9">
        <v>107</v>
      </c>
      <c r="J103" s="9">
        <v>110</v>
      </c>
      <c r="K103" s="9">
        <v>129</v>
      </c>
      <c r="L103" s="9">
        <v>134</v>
      </c>
      <c r="M103" s="9">
        <v>139</v>
      </c>
      <c r="N103" s="9">
        <v>149</v>
      </c>
      <c r="O103" s="9">
        <v>151</v>
      </c>
      <c r="P103" s="9">
        <v>156</v>
      </c>
      <c r="Q103" s="9">
        <v>169</v>
      </c>
    </row>
    <row r="104" spans="1:1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22"/>
        <v>Belarus</v>
      </c>
      <c r="D104" s="6">
        <f t="shared" si="23"/>
        <v>152</v>
      </c>
      <c r="E104" s="6">
        <f>IF(COUNTIF(I104:XFD104,"&gt;"&amp;0)=0,,HLOOKUP(COUNTIF(I104:XFD104,"&gt;"&amp;0)-1,I$1:XFD104,A104+1,FALSE))</f>
        <v>152</v>
      </c>
      <c r="F104" s="7">
        <f>IF(COUNTIF(I104:XFD104,"&gt;"&amp;0)=0,,HLOOKUP(COUNTIF(I104:XFD104,"&gt;"&amp;0)-MIN($F$1+1,COUNTIF(I104:XFD104,"&gt;"&amp;0)),I$1:XFD104,A104+1,FALSE))</f>
        <v>152</v>
      </c>
      <c r="G104" s="8">
        <f t="shared" si="21"/>
        <v>1</v>
      </c>
      <c r="H104" s="13" t="s">
        <v>91</v>
      </c>
      <c r="I104" s="9">
        <v>152</v>
      </c>
      <c r="J104" s="9">
        <v>152</v>
      </c>
    </row>
    <row r="105" spans="1:1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22"/>
        <v>Sri Lanka</v>
      </c>
      <c r="D105" s="6">
        <f t="shared" si="23"/>
        <v>143</v>
      </c>
      <c r="E105" s="6">
        <f>IF(COUNTIF(I105:XFD105,"&gt;"&amp;0)=0,,HLOOKUP(COUNTIF(I105:XFD105,"&gt;"&amp;0)-1,I$1:XFD105,A105+1,FALSE))</f>
        <v>143</v>
      </c>
      <c r="F105" s="7">
        <f>IF(COUNTIF(I105:XFD105,"&gt;"&amp;0)=0,,HLOOKUP(COUNTIF(I105:XFD105,"&gt;"&amp;0)-MIN($F$1+1,COUNTIF(I105:XFD105,"&gt;"&amp;0)),I$1:XFD105,A105+1,FALSE))</f>
        <v>106</v>
      </c>
      <c r="G105" s="8">
        <f t="shared" si="21"/>
        <v>1.061710309361088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  <c r="O105" s="9">
        <v>122</v>
      </c>
      <c r="P105" s="9">
        <v>143</v>
      </c>
    </row>
    <row r="106" spans="1:1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22"/>
        <v>Honduras</v>
      </c>
      <c r="D106" s="6">
        <f t="shared" si="23"/>
        <v>141</v>
      </c>
      <c r="E106" s="6">
        <f>IF(COUNTIF(I106:XFD106,"&gt;"&amp;0)=0,,HLOOKUP(COUNTIF(I106:XFD106,"&gt;"&amp;0)-1,I$1:XFD106,A106+1,FALSE))</f>
        <v>141</v>
      </c>
      <c r="F106" s="7">
        <f>IF(COUNTIF(I106:XFD106,"&gt;"&amp;0)=0,,HLOOKUP(COUNTIF(I106:XFD106,"&gt;"&amp;0)-MIN($F$1+1,COUNTIF(I106:XFD106,"&gt;"&amp;0)),I$1:XFD106,A106+1,FALSE))</f>
        <v>110</v>
      </c>
      <c r="G106" s="8">
        <f t="shared" si="21"/>
        <v>1.1321740951895083</v>
      </c>
      <c r="H106" s="13" t="s">
        <v>348</v>
      </c>
      <c r="I106" s="9">
        <v>110</v>
      </c>
      <c r="J106" s="9">
        <v>139</v>
      </c>
      <c r="K106" s="9">
        <v>141</v>
      </c>
    </row>
    <row r="107" spans="1:1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22"/>
        <v>Nigeria</v>
      </c>
      <c r="D107" s="6">
        <f t="shared" si="23"/>
        <v>135</v>
      </c>
      <c r="E107" s="6">
        <f>IF(COUNTIF(I107:XFD107,"&gt;"&amp;0)=0,,HLOOKUP(COUNTIF(I107:XFD107,"&gt;"&amp;0)-1,I$1:XFD107,A107+1,FALSE))</f>
        <v>135</v>
      </c>
      <c r="F107" s="7">
        <f>IF(COUNTIF(I107:XFD107,"&gt;"&amp;0)=0,,HLOOKUP(COUNTIF(I107:XFD107,"&gt;"&amp;0)-MIN($F$1+1,COUNTIF(I107:XFD107,"&gt;"&amp;0)),I$1:XFD107,A107+1,FALSE))</f>
        <v>111</v>
      </c>
      <c r="G107" s="8">
        <f t="shared" si="21"/>
        <v>1.1028219331407116</v>
      </c>
      <c r="H107" s="13" t="s">
        <v>96</v>
      </c>
      <c r="I107" s="9">
        <v>111</v>
      </c>
      <c r="J107" s="9">
        <v>131</v>
      </c>
      <c r="K107" s="9">
        <v>135</v>
      </c>
    </row>
    <row r="108" spans="1:1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22"/>
        <v>Brunei</v>
      </c>
      <c r="D108" s="6">
        <f t="shared" si="23"/>
        <v>129</v>
      </c>
      <c r="E108" s="6">
        <f>IF(COUNTIF(I108:XFD108,"&gt;"&amp;0)=0,,HLOOKUP(COUNTIF(I108:XFD108,"&gt;"&amp;0)-1,I$1:XFD108,A108+1,FALSE))</f>
        <v>129</v>
      </c>
      <c r="F108" s="7">
        <f>IF(COUNTIF(I108:XFD108,"&gt;"&amp;0)=0,,HLOOKUP(COUNTIF(I108:XFD108,"&gt;"&amp;0)-MIN($F$1+1,COUNTIF(I108:XFD108,"&gt;"&amp;0)),I$1:XFD108,A108+1,FALSE))</f>
        <v>114</v>
      </c>
      <c r="G108" s="8">
        <f t="shared" si="21"/>
        <v>1.0250309335349035</v>
      </c>
      <c r="H108" s="13" t="s">
        <v>233</v>
      </c>
      <c r="I108" s="9">
        <v>104</v>
      </c>
      <c r="J108" s="9">
        <v>109</v>
      </c>
      <c r="K108" s="9">
        <v>114</v>
      </c>
      <c r="L108" s="9">
        <v>115</v>
      </c>
      <c r="M108" s="9">
        <v>120</v>
      </c>
      <c r="N108" s="9">
        <v>126</v>
      </c>
      <c r="O108" s="9">
        <v>127</v>
      </c>
      <c r="P108" s="9">
        <v>129</v>
      </c>
    </row>
    <row r="109" spans="1:1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22"/>
        <v>Georgia</v>
      </c>
      <c r="D109" s="6">
        <f t="shared" si="23"/>
        <v>110</v>
      </c>
      <c r="E109" s="6">
        <f>IF(COUNTIF(I109:XFD109,"&gt;"&amp;0)=0,,HLOOKUP(COUNTIF(I109:XFD109,"&gt;"&amp;0)-1,I$1:XFD109,A109+1,FALSE))</f>
        <v>110</v>
      </c>
      <c r="F109" s="7">
        <f>IF(COUNTIF(I109:XFD109,"&gt;"&amp;0)=0,,HLOOKUP(COUNTIF(I109:XFD109,"&gt;"&amp;0)-MIN($F$1+1,COUNTIF(I109:XFD109,"&gt;"&amp;0)),I$1:XFD109,A109+1,FALSE))</f>
        <v>103</v>
      </c>
      <c r="G109" s="8">
        <f t="shared" si="21"/>
        <v>1.0679611650485437</v>
      </c>
      <c r="H109" s="13" t="s">
        <v>82</v>
      </c>
      <c r="I109" s="9">
        <v>103</v>
      </c>
      <c r="J109" s="9">
        <v>110</v>
      </c>
    </row>
    <row r="110" spans="1:1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22"/>
        <v>Cambodia</v>
      </c>
      <c r="D110" s="6">
        <f t="shared" si="23"/>
        <v>109</v>
      </c>
      <c r="E110" s="6">
        <f>IF(COUNTIF(I110:XFD110,"&gt;"&amp;0)=0,,HLOOKUP(COUNTIF(I110:XFD110,"&gt;"&amp;0)-1,I$1:XFD110,A110+1,FALSE))</f>
        <v>109</v>
      </c>
      <c r="F110" s="7">
        <f>IF(COUNTIF(I110:XFD110,"&gt;"&amp;0)=0,,HLOOKUP(COUNTIF(I110:XFD110,"&gt;"&amp;0)-MIN($F$1+1,COUNTIF(I110:XFD110,"&gt;"&amp;0)),I$1:XFD110,A110+1,FALSE))</f>
        <v>103</v>
      </c>
      <c r="G110" s="8">
        <f t="shared" si="21"/>
        <v>1.0287139676238803</v>
      </c>
      <c r="H110" s="13" t="s">
        <v>51</v>
      </c>
      <c r="I110" s="9">
        <v>103</v>
      </c>
      <c r="J110" s="9">
        <v>107</v>
      </c>
      <c r="K110" s="9">
        <v>109</v>
      </c>
    </row>
    <row r="111" spans="1:1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22"/>
        <v>Bolivia</v>
      </c>
      <c r="D111" s="6">
        <f t="shared" si="23"/>
        <v>107</v>
      </c>
      <c r="E111" s="6">
        <f>IF(COUNTIF(I111:XFD111,"&gt;"&amp;0)=0,,HLOOKUP(COUNTIF(I111:XFD111,"&gt;"&amp;0)-1,I$1:XFD111,A111+1,FALSE))</f>
        <v>107</v>
      </c>
      <c r="F111" s="7">
        <f>IF(COUNTIF(I111:XFD111,"&gt;"&amp;0)=0,,HLOOKUP(COUNTIF(I111:XFD111,"&gt;"&amp;0)-MIN($F$1+1,COUNTIF(I111:XFD111,"&gt;"&amp;0)),I$1:XFD111,A111+1,FALSE))</f>
        <v>107</v>
      </c>
      <c r="G111" s="8" t="e">
        <f t="shared" si="21"/>
        <v>#DIV/0!</v>
      </c>
      <c r="H111" s="13" t="s">
        <v>346</v>
      </c>
      <c r="I111" s="9">
        <v>107</v>
      </c>
    </row>
    <row r="112" spans="1:1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22"/>
        <v/>
      </c>
      <c r="D112" s="6">
        <f t="shared" si="23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1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22"/>
        <v/>
      </c>
      <c r="D113" s="6">
        <f t="shared" si="23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1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22"/>
        <v/>
      </c>
      <c r="D114" s="6">
        <f t="shared" si="23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1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22"/>
        <v/>
      </c>
      <c r="D115" s="6">
        <f t="shared" si="23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1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22"/>
        <v/>
      </c>
      <c r="D116" s="6">
        <f t="shared" si="23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1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22"/>
        <v/>
      </c>
      <c r="D117" s="6">
        <f t="shared" si="23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1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22"/>
        <v/>
      </c>
      <c r="D118" s="6">
        <f t="shared" si="23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1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22"/>
        <v/>
      </c>
      <c r="D119" s="6">
        <f t="shared" si="23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1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22"/>
        <v/>
      </c>
      <c r="D120" s="6">
        <f t="shared" si="23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1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22"/>
        <v/>
      </c>
      <c r="D121" s="6">
        <f t="shared" si="23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1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22"/>
        <v/>
      </c>
      <c r="D122" s="6">
        <f t="shared" si="23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1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22"/>
        <v/>
      </c>
      <c r="D123" s="6">
        <f t="shared" si="23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1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22"/>
        <v/>
      </c>
      <c r="D124" s="6">
        <f t="shared" si="23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1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22"/>
        <v/>
      </c>
      <c r="D125" s="6">
        <f t="shared" si="23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1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22"/>
        <v/>
      </c>
      <c r="D126" s="6">
        <f t="shared" si="23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1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22"/>
        <v/>
      </c>
      <c r="D127" s="6">
        <f t="shared" si="23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1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22"/>
        <v/>
      </c>
      <c r="D128" s="6">
        <f t="shared" si="23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1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22"/>
        <v/>
      </c>
      <c r="D129" s="6">
        <f t="shared" si="23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1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22"/>
        <v/>
      </c>
      <c r="D130" s="6">
        <f t="shared" si="23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4">IF(COUNTIF(I130:XFD130,"&gt;"&amp;0)=0,,(E130/F130)^(1/MIN(COUNTIF(I130:XFD130,"&gt;"&amp;0)-1,$F$1)))</f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22"/>
        <v/>
      </c>
      <c r="D131" s="6">
        <f t="shared" si="23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4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22"/>
        <v/>
      </c>
      <c r="D132" s="6">
        <f t="shared" si="23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4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ref="C133:C164" si="25">IF(H133="","",H133)</f>
        <v/>
      </c>
      <c r="D133" s="6">
        <f t="shared" ref="D133:D164" si="26"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4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si="25"/>
        <v/>
      </c>
      <c r="D134" s="6">
        <f t="shared" si="26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4"/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25"/>
        <v/>
      </c>
      <c r="D135" s="6">
        <f t="shared" si="26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4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25"/>
        <v/>
      </c>
      <c r="D136" s="6">
        <f t="shared" si="26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4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25"/>
        <v/>
      </c>
      <c r="D137" s="6">
        <f t="shared" si="26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4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25"/>
        <v/>
      </c>
      <c r="D138" s="6">
        <f t="shared" si="26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4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25"/>
        <v/>
      </c>
      <c r="D139" s="6">
        <f t="shared" si="26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4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25"/>
        <v/>
      </c>
      <c r="D140" s="6">
        <f t="shared" si="26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4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25"/>
        <v/>
      </c>
      <c r="D141" s="6">
        <f t="shared" si="26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4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25"/>
        <v/>
      </c>
      <c r="D142" s="6">
        <f t="shared" si="26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4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25"/>
        <v/>
      </c>
      <c r="D143" s="6">
        <f t="shared" si="26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4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25"/>
        <v/>
      </c>
      <c r="D144" s="6">
        <f t="shared" si="26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4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25"/>
        <v/>
      </c>
      <c r="D145" s="6">
        <f t="shared" si="26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4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25"/>
        <v/>
      </c>
      <c r="D146" s="6">
        <f t="shared" si="26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4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25"/>
        <v/>
      </c>
      <c r="D147" s="6">
        <f t="shared" si="26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4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25"/>
        <v/>
      </c>
      <c r="D148" s="6">
        <f t="shared" si="26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4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25"/>
        <v/>
      </c>
      <c r="D149" s="6">
        <f t="shared" si="26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4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25"/>
        <v/>
      </c>
      <c r="D150" s="6">
        <f t="shared" si="26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4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25"/>
        <v/>
      </c>
      <c r="D151" s="6">
        <f t="shared" si="26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4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25"/>
        <v/>
      </c>
      <c r="D152" s="6">
        <f t="shared" si="26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4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25"/>
        <v/>
      </c>
      <c r="D153" s="6">
        <f t="shared" si="26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4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25"/>
        <v/>
      </c>
      <c r="D154" s="6">
        <f t="shared" si="26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4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25"/>
        <v/>
      </c>
      <c r="D155" s="6">
        <f t="shared" si="26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4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25"/>
        <v/>
      </c>
      <c r="D156" s="6">
        <f t="shared" si="26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4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25"/>
        <v/>
      </c>
      <c r="D157" s="6">
        <f t="shared" si="26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4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25"/>
        <v/>
      </c>
      <c r="D158" s="6">
        <f t="shared" si="26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4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25"/>
        <v/>
      </c>
      <c r="D159" s="6">
        <f t="shared" si="26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4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25"/>
        <v/>
      </c>
      <c r="D160" s="6">
        <f t="shared" si="26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4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25"/>
        <v/>
      </c>
      <c r="D161" s="6">
        <f t="shared" si="26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4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25"/>
        <v/>
      </c>
      <c r="D162" s="6">
        <f t="shared" si="26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7">IF(COUNTIF(I162:XFD162,"&gt;"&amp;0)=0,,(E162/F162)^(1/MIN(COUNTIF(I162:XFD162,"&gt;"&amp;0)-1,$F$1)))</f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25"/>
        <v/>
      </c>
      <c r="D163" s="6">
        <f t="shared" si="26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7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25"/>
        <v/>
      </c>
      <c r="D164" s="6">
        <f t="shared" si="26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7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ref="C165:C200" si="28">IF(H165="","",H165)</f>
        <v/>
      </c>
      <c r="D165" s="6">
        <f t="shared" ref="D165:D200" si="29"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7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28"/>
        <v/>
      </c>
      <c r="D166" s="6">
        <f t="shared" si="29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7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28"/>
        <v/>
      </c>
      <c r="D167" s="6">
        <f t="shared" si="29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7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28"/>
        <v/>
      </c>
      <c r="D168" s="6">
        <f t="shared" si="29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7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28"/>
        <v/>
      </c>
      <c r="D169" s="6">
        <f t="shared" si="29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7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28"/>
        <v/>
      </c>
      <c r="D170" s="6">
        <f t="shared" si="29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7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28"/>
        <v/>
      </c>
      <c r="D171" s="6">
        <f t="shared" si="29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7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28"/>
        <v/>
      </c>
      <c r="D172" s="6">
        <f t="shared" si="29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7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28"/>
        <v/>
      </c>
      <c r="D173" s="6">
        <f t="shared" si="29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7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28"/>
        <v/>
      </c>
      <c r="D174" s="6">
        <f t="shared" si="29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7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28"/>
        <v/>
      </c>
      <c r="D175" s="6">
        <f t="shared" si="29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7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28"/>
        <v/>
      </c>
      <c r="D176" s="6">
        <f t="shared" si="29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7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28"/>
        <v/>
      </c>
      <c r="D177" s="6">
        <f t="shared" si="29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7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28"/>
        <v/>
      </c>
      <c r="D178" s="6">
        <f t="shared" si="29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7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28"/>
        <v/>
      </c>
      <c r="D179" s="6">
        <f t="shared" si="29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7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28"/>
        <v/>
      </c>
      <c r="D180" s="6">
        <f t="shared" si="29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7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28"/>
        <v/>
      </c>
      <c r="D181" s="6">
        <f t="shared" si="29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7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28"/>
        <v/>
      </c>
      <c r="D182" s="6">
        <f t="shared" si="29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7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28"/>
        <v/>
      </c>
      <c r="D183" s="6">
        <f t="shared" si="29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7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28"/>
        <v/>
      </c>
      <c r="D184" s="6">
        <f t="shared" si="29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7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28"/>
        <v/>
      </c>
      <c r="D185" s="6">
        <f t="shared" si="29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7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28"/>
        <v/>
      </c>
      <c r="D186" s="6">
        <f t="shared" si="29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7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28"/>
        <v/>
      </c>
      <c r="D187" s="6">
        <f t="shared" si="29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7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28"/>
        <v/>
      </c>
      <c r="D188" s="6">
        <f t="shared" si="29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7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28"/>
        <v/>
      </c>
      <c r="D189" s="6">
        <f t="shared" si="29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7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28"/>
        <v/>
      </c>
      <c r="D190" s="6">
        <f t="shared" si="29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7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28"/>
        <v/>
      </c>
      <c r="D191" s="6">
        <f t="shared" si="29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7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28"/>
        <v/>
      </c>
      <c r="D192" s="6">
        <f t="shared" si="29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7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28"/>
        <v/>
      </c>
      <c r="D193" s="6">
        <f t="shared" si="29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7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28"/>
        <v/>
      </c>
      <c r="D194" s="6">
        <f t="shared" si="29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00" si="30">IF(COUNTIF(I194:XFD194,"&gt;"&amp;0)=0,,(E194/F194)^(1/MIN(COUNTIF(I194:XFD194,"&gt;"&amp;0)-1,$F$1)))</f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28"/>
        <v/>
      </c>
      <c r="D195" s="6">
        <f t="shared" si="29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0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28"/>
        <v/>
      </c>
      <c r="D196" s="6">
        <f t="shared" si="29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0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28"/>
        <v/>
      </c>
      <c r="D197" s="6">
        <f t="shared" si="29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0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si="28"/>
        <v/>
      </c>
      <c r="D198" s="6">
        <f t="shared" si="29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0"/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8"/>
        <v/>
      </c>
      <c r="D199" s="6">
        <f t="shared" si="2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0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8"/>
        <v/>
      </c>
      <c r="D200" s="6">
        <f t="shared" si="2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0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 t="shared" ref="G2:G33" si="6">IF(COUNTIF(I2:XFD2,"&gt;"&amp;0)=0,,(E2/F2)^(1/MIN(COUNTIF(I2:XFD2,"&gt;"&amp;0)-1,$F$1)))</f>
        <v>1.4</v>
      </c>
      <c r="H2" s="15" t="s">
        <v>430</v>
      </c>
      <c r="I2" s="9">
        <v>10</v>
      </c>
      <c r="J2" s="10">
        <f t="shared" ref="J2:AO2" si="7">I2*1.4</f>
        <v>14</v>
      </c>
      <c r="K2" s="10">
        <f t="shared" si="7"/>
        <v>19.599999999999998</v>
      </c>
      <c r="L2" s="10">
        <f t="shared" si="7"/>
        <v>27.439999999999994</v>
      </c>
      <c r="M2" s="10">
        <f t="shared" si="7"/>
        <v>38.41599999999999</v>
      </c>
      <c r="N2" s="10">
        <f t="shared" si="7"/>
        <v>53.782399999999981</v>
      </c>
      <c r="O2" s="10">
        <f t="shared" si="7"/>
        <v>75.295359999999974</v>
      </c>
      <c r="P2" s="10">
        <f t="shared" si="7"/>
        <v>105.41350399999996</v>
      </c>
      <c r="Q2" s="10">
        <f t="shared" si="7"/>
        <v>147.57890559999993</v>
      </c>
      <c r="R2" s="10">
        <f t="shared" si="7"/>
        <v>206.6104678399999</v>
      </c>
      <c r="S2" s="10">
        <f t="shared" si="7"/>
        <v>289.25465497599981</v>
      </c>
      <c r="T2" s="10">
        <f t="shared" si="7"/>
        <v>404.9565169663997</v>
      </c>
      <c r="U2" s="10">
        <f t="shared" si="7"/>
        <v>566.93912375295952</v>
      </c>
      <c r="V2" s="10">
        <f t="shared" si="7"/>
        <v>793.71477325414332</v>
      </c>
      <c r="W2" s="10">
        <f t="shared" si="7"/>
        <v>1111.2006825558005</v>
      </c>
      <c r="X2" s="10">
        <f t="shared" si="7"/>
        <v>1555.6809555781206</v>
      </c>
      <c r="Y2" s="10">
        <f t="shared" si="7"/>
        <v>2177.9533378093688</v>
      </c>
      <c r="Z2" s="10">
        <f t="shared" si="7"/>
        <v>3049.1346729331162</v>
      </c>
      <c r="AA2" s="10">
        <f t="shared" si="7"/>
        <v>4268.7885421063629</v>
      </c>
      <c r="AB2" s="10">
        <f t="shared" si="7"/>
        <v>5976.3039589489081</v>
      </c>
      <c r="AC2" s="10">
        <f t="shared" si="7"/>
        <v>8366.8255425284715</v>
      </c>
      <c r="AD2" s="10">
        <f t="shared" si="7"/>
        <v>11713.555759539859</v>
      </c>
      <c r="AE2" s="10">
        <f t="shared" si="7"/>
        <v>16398.9780633558</v>
      </c>
      <c r="AF2" s="10">
        <f t="shared" si="7"/>
        <v>22958.56928869812</v>
      </c>
      <c r="AG2" s="10">
        <f t="shared" si="7"/>
        <v>32141.997004177367</v>
      </c>
      <c r="AH2" s="10">
        <f t="shared" si="7"/>
        <v>44998.795805848313</v>
      </c>
      <c r="AI2" s="10">
        <f t="shared" si="7"/>
        <v>62998.314128187631</v>
      </c>
      <c r="AJ2" s="10">
        <f t="shared" si="7"/>
        <v>88197.639779462683</v>
      </c>
      <c r="AK2" s="10">
        <f t="shared" si="7"/>
        <v>123476.69569124775</v>
      </c>
      <c r="AL2" s="10">
        <f t="shared" si="7"/>
        <v>172867.37396774683</v>
      </c>
      <c r="AM2" s="10">
        <f t="shared" si="7"/>
        <v>242014.32355484553</v>
      </c>
      <c r="AN2" s="10">
        <f t="shared" si="7"/>
        <v>338820.05297678371</v>
      </c>
      <c r="AO2" s="10">
        <f t="shared" si="7"/>
        <v>474348.07416749717</v>
      </c>
      <c r="AP2" s="10">
        <f t="shared" ref="AP2:BH2" si="8">AO2*1.4</f>
        <v>664087.30383449595</v>
      </c>
      <c r="AQ2" s="10">
        <f t="shared" si="8"/>
        <v>929722.22536829428</v>
      </c>
      <c r="AR2" s="10">
        <f t="shared" si="8"/>
        <v>1301611.1155156118</v>
      </c>
      <c r="AS2" s="10">
        <f t="shared" si="8"/>
        <v>1822255.5617218565</v>
      </c>
      <c r="AT2" s="10">
        <f t="shared" si="8"/>
        <v>2551157.786410599</v>
      </c>
      <c r="AU2" s="10">
        <f t="shared" si="8"/>
        <v>3571620.9009748385</v>
      </c>
      <c r="AV2" s="10">
        <f t="shared" si="8"/>
        <v>5000269.2613647738</v>
      </c>
      <c r="AW2" s="10">
        <f t="shared" si="8"/>
        <v>7000376.9659106834</v>
      </c>
      <c r="AX2" s="10">
        <f t="shared" si="8"/>
        <v>9800527.7522749566</v>
      </c>
      <c r="AY2" s="10">
        <f t="shared" si="8"/>
        <v>13720738.853184938</v>
      </c>
      <c r="AZ2" s="10">
        <f t="shared" si="8"/>
        <v>19209034.394458912</v>
      </c>
      <c r="BA2" s="10">
        <f t="shared" si="8"/>
        <v>26892648.152242474</v>
      </c>
      <c r="BB2" s="10">
        <f t="shared" si="8"/>
        <v>37649707.413139462</v>
      </c>
      <c r="BC2" s="10">
        <f t="shared" si="8"/>
        <v>52709590.378395244</v>
      </c>
      <c r="BD2" s="10">
        <f t="shared" si="8"/>
        <v>73793426.529753342</v>
      </c>
      <c r="BE2" s="10">
        <f t="shared" si="8"/>
        <v>103310797.14165467</v>
      </c>
      <c r="BF2" s="10">
        <f t="shared" si="8"/>
        <v>144635115.99831653</v>
      </c>
      <c r="BG2" s="10">
        <f t="shared" si="8"/>
        <v>202489162.39764312</v>
      </c>
      <c r="BH2" s="10">
        <f t="shared" si="8"/>
        <v>283484827.35670036</v>
      </c>
    </row>
    <row r="3" spans="1:307" x14ac:dyDescent="0.25">
      <c r="A3" s="9">
        <f t="shared" si="5"/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 t="shared" si="6"/>
        <v>1.3</v>
      </c>
      <c r="H3" s="15" t="s">
        <v>431</v>
      </c>
      <c r="I3" s="9">
        <v>10</v>
      </c>
      <c r="J3" s="10">
        <f t="shared" ref="J3:AO3" si="9">I3*1.3</f>
        <v>13</v>
      </c>
      <c r="K3" s="10">
        <f t="shared" si="9"/>
        <v>16.900000000000002</v>
      </c>
      <c r="L3" s="10">
        <f t="shared" si="9"/>
        <v>21.970000000000002</v>
      </c>
      <c r="M3" s="10">
        <f t="shared" si="9"/>
        <v>28.561000000000003</v>
      </c>
      <c r="N3" s="10">
        <f t="shared" si="9"/>
        <v>37.129300000000008</v>
      </c>
      <c r="O3" s="10">
        <f t="shared" si="9"/>
        <v>48.268090000000015</v>
      </c>
      <c r="P3" s="10">
        <f t="shared" si="9"/>
        <v>62.748517000000021</v>
      </c>
      <c r="Q3" s="10">
        <f t="shared" si="9"/>
        <v>81.573072100000033</v>
      </c>
      <c r="R3" s="10">
        <f t="shared" si="9"/>
        <v>106.04499373000004</v>
      </c>
      <c r="S3" s="10">
        <f t="shared" si="9"/>
        <v>137.85849184900007</v>
      </c>
      <c r="T3" s="10">
        <f t="shared" si="9"/>
        <v>179.21603940370011</v>
      </c>
      <c r="U3" s="10">
        <f t="shared" si="9"/>
        <v>232.98085122481015</v>
      </c>
      <c r="V3" s="10">
        <f t="shared" si="9"/>
        <v>302.87510659225319</v>
      </c>
      <c r="W3" s="10">
        <f t="shared" si="9"/>
        <v>393.73763856992917</v>
      </c>
      <c r="X3" s="10">
        <f t="shared" si="9"/>
        <v>511.85893014090794</v>
      </c>
      <c r="Y3" s="10">
        <f t="shared" si="9"/>
        <v>665.4166091831803</v>
      </c>
      <c r="Z3" s="10">
        <f t="shared" si="9"/>
        <v>865.04159193813439</v>
      </c>
      <c r="AA3" s="10">
        <f t="shared" si="9"/>
        <v>1124.5540695195748</v>
      </c>
      <c r="AB3" s="10">
        <f t="shared" si="9"/>
        <v>1461.9202903754474</v>
      </c>
      <c r="AC3" s="10">
        <f t="shared" si="9"/>
        <v>1900.4963774880816</v>
      </c>
      <c r="AD3" s="10">
        <f t="shared" si="9"/>
        <v>2470.645290734506</v>
      </c>
      <c r="AE3" s="10">
        <f t="shared" si="9"/>
        <v>3211.8388779548582</v>
      </c>
      <c r="AF3" s="10">
        <f t="shared" si="9"/>
        <v>4175.3905413413158</v>
      </c>
      <c r="AG3" s="10">
        <f t="shared" si="9"/>
        <v>5428.0077037437104</v>
      </c>
      <c r="AH3" s="10">
        <f t="shared" si="9"/>
        <v>7056.410014866824</v>
      </c>
      <c r="AI3" s="10">
        <f t="shared" si="9"/>
        <v>9173.3330193268721</v>
      </c>
      <c r="AJ3" s="10">
        <f t="shared" si="9"/>
        <v>11925.332925124934</v>
      </c>
      <c r="AK3" s="10">
        <f t="shared" si="9"/>
        <v>15502.932802662415</v>
      </c>
      <c r="AL3" s="10">
        <f t="shared" si="9"/>
        <v>20153.81264346114</v>
      </c>
      <c r="AM3" s="10">
        <f t="shared" si="9"/>
        <v>26199.956436499484</v>
      </c>
      <c r="AN3" s="10">
        <f t="shared" si="9"/>
        <v>34059.943367449334</v>
      </c>
      <c r="AO3" s="10">
        <f t="shared" si="9"/>
        <v>44277.926377684133</v>
      </c>
      <c r="AP3" s="10">
        <f t="shared" ref="AP3:BH3" si="10">AO3*1.3</f>
        <v>57561.304290989377</v>
      </c>
      <c r="AQ3" s="10">
        <f t="shared" si="10"/>
        <v>74829.695578286191</v>
      </c>
      <c r="AR3" s="10">
        <f t="shared" si="10"/>
        <v>97278.604251772049</v>
      </c>
      <c r="AS3" s="10">
        <f t="shared" si="10"/>
        <v>126462.18552730366</v>
      </c>
      <c r="AT3" s="10">
        <f t="shared" si="10"/>
        <v>164400.84118549476</v>
      </c>
      <c r="AU3" s="10">
        <f t="shared" si="10"/>
        <v>213721.0935411432</v>
      </c>
      <c r="AV3" s="10">
        <f t="shared" si="10"/>
        <v>277837.42160348617</v>
      </c>
      <c r="AW3" s="10">
        <f t="shared" si="10"/>
        <v>361188.64808453206</v>
      </c>
      <c r="AX3" s="10">
        <f t="shared" si="10"/>
        <v>469545.24250989169</v>
      </c>
      <c r="AY3" s="10">
        <f t="shared" si="10"/>
        <v>610408.81526285922</v>
      </c>
      <c r="AZ3" s="10">
        <f t="shared" si="10"/>
        <v>793531.45984171703</v>
      </c>
      <c r="BA3" s="10">
        <f t="shared" si="10"/>
        <v>1031590.8977942322</v>
      </c>
      <c r="BB3" s="10">
        <f t="shared" si="10"/>
        <v>1341068.167132502</v>
      </c>
      <c r="BC3" s="10">
        <f t="shared" si="10"/>
        <v>1743388.6172722527</v>
      </c>
      <c r="BD3" s="10">
        <f t="shared" si="10"/>
        <v>2266405.2024539285</v>
      </c>
      <c r="BE3" s="10">
        <f t="shared" si="10"/>
        <v>2946326.7631901074</v>
      </c>
      <c r="BF3" s="10">
        <f t="shared" si="10"/>
        <v>3830224.7921471396</v>
      </c>
      <c r="BG3" s="10">
        <f t="shared" si="10"/>
        <v>4979292.2297912817</v>
      </c>
      <c r="BH3" s="10">
        <f t="shared" si="10"/>
        <v>6473079.8987286668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 t="shared" si="6"/>
        <v>1.2</v>
      </c>
      <c r="H4" s="15" t="s">
        <v>621</v>
      </c>
      <c r="I4" s="9">
        <v>10</v>
      </c>
      <c r="J4" s="10">
        <f t="shared" ref="J4:AO4" si="11">I4*1.2</f>
        <v>12</v>
      </c>
      <c r="K4" s="10">
        <f t="shared" si="11"/>
        <v>14.399999999999999</v>
      </c>
      <c r="L4" s="10">
        <f t="shared" si="11"/>
        <v>17.279999999999998</v>
      </c>
      <c r="M4" s="10">
        <f t="shared" si="11"/>
        <v>20.735999999999997</v>
      </c>
      <c r="N4" s="10">
        <f t="shared" si="11"/>
        <v>24.883199999999995</v>
      </c>
      <c r="O4" s="10">
        <f t="shared" si="11"/>
        <v>29.859839999999991</v>
      </c>
      <c r="P4" s="10">
        <f t="shared" si="11"/>
        <v>35.831807999999988</v>
      </c>
      <c r="Q4" s="10">
        <f t="shared" si="11"/>
        <v>42.998169599999983</v>
      </c>
      <c r="R4" s="10">
        <f t="shared" si="11"/>
        <v>51.597803519999978</v>
      </c>
      <c r="S4" s="10">
        <f t="shared" si="11"/>
        <v>61.917364223999968</v>
      </c>
      <c r="T4" s="10">
        <f t="shared" si="11"/>
        <v>74.300837068799964</v>
      </c>
      <c r="U4" s="10">
        <f t="shared" si="11"/>
        <v>89.16100448255996</v>
      </c>
      <c r="V4" s="10">
        <f t="shared" si="11"/>
        <v>106.99320537907195</v>
      </c>
      <c r="W4" s="10">
        <f t="shared" si="11"/>
        <v>128.39184645488635</v>
      </c>
      <c r="X4" s="10">
        <f t="shared" si="11"/>
        <v>154.07021574586361</v>
      </c>
      <c r="Y4" s="10">
        <f t="shared" si="11"/>
        <v>184.88425889503631</v>
      </c>
      <c r="Z4" s="10">
        <f t="shared" si="11"/>
        <v>221.86111067404357</v>
      </c>
      <c r="AA4" s="10">
        <f t="shared" si="11"/>
        <v>266.23333280885225</v>
      </c>
      <c r="AB4" s="10">
        <f t="shared" si="11"/>
        <v>319.47999937062269</v>
      </c>
      <c r="AC4" s="10">
        <f t="shared" si="11"/>
        <v>383.37599924474722</v>
      </c>
      <c r="AD4" s="10">
        <f t="shared" si="11"/>
        <v>460.05119909369665</v>
      </c>
      <c r="AE4" s="10">
        <f t="shared" si="11"/>
        <v>552.06143891243596</v>
      </c>
      <c r="AF4" s="10">
        <f t="shared" si="11"/>
        <v>662.47372669492313</v>
      </c>
      <c r="AG4" s="10">
        <f t="shared" si="11"/>
        <v>794.96847203390769</v>
      </c>
      <c r="AH4" s="10">
        <f t="shared" si="11"/>
        <v>953.9621664406892</v>
      </c>
      <c r="AI4" s="10">
        <f t="shared" si="11"/>
        <v>1144.7545997288271</v>
      </c>
      <c r="AJ4" s="10">
        <f t="shared" si="11"/>
        <v>1373.7055196745926</v>
      </c>
      <c r="AK4" s="10">
        <f t="shared" si="11"/>
        <v>1648.4466236095111</v>
      </c>
      <c r="AL4" s="10">
        <f t="shared" si="11"/>
        <v>1978.1359483314131</v>
      </c>
      <c r="AM4" s="10">
        <f t="shared" si="11"/>
        <v>2373.7631379976956</v>
      </c>
      <c r="AN4" s="10">
        <f t="shared" si="11"/>
        <v>2848.5157655972348</v>
      </c>
      <c r="AO4" s="10">
        <f t="shared" si="11"/>
        <v>3418.2189187166819</v>
      </c>
      <c r="AP4" s="10">
        <f t="shared" ref="AP4:BH4" si="12">AO4*1.2</f>
        <v>4101.8627024600182</v>
      </c>
      <c r="AQ4" s="10">
        <f t="shared" si="12"/>
        <v>4922.2352429520215</v>
      </c>
      <c r="AR4" s="10">
        <f t="shared" si="12"/>
        <v>5906.6822915424254</v>
      </c>
      <c r="AS4" s="10">
        <f t="shared" si="12"/>
        <v>7088.0187498509104</v>
      </c>
      <c r="AT4" s="10">
        <f t="shared" si="12"/>
        <v>8505.6224998210928</v>
      </c>
      <c r="AU4" s="10">
        <f t="shared" si="12"/>
        <v>10206.746999785311</v>
      </c>
      <c r="AV4" s="10">
        <f t="shared" si="12"/>
        <v>12248.096399742373</v>
      </c>
      <c r="AW4" s="10">
        <f t="shared" si="12"/>
        <v>14697.715679690848</v>
      </c>
      <c r="AX4" s="10">
        <f t="shared" si="12"/>
        <v>17637.258815629015</v>
      </c>
      <c r="AY4" s="10">
        <f t="shared" si="12"/>
        <v>21164.710578754817</v>
      </c>
      <c r="AZ4" s="10">
        <f t="shared" si="12"/>
        <v>25397.652694505781</v>
      </c>
      <c r="BA4" s="10">
        <f t="shared" si="12"/>
        <v>30477.183233406937</v>
      </c>
      <c r="BB4" s="10">
        <f t="shared" si="12"/>
        <v>36572.619880088321</v>
      </c>
      <c r="BC4" s="10">
        <f t="shared" si="12"/>
        <v>43887.143856105984</v>
      </c>
      <c r="BD4" s="10">
        <f t="shared" si="12"/>
        <v>52664.572627327179</v>
      </c>
      <c r="BE4" s="10">
        <f t="shared" si="12"/>
        <v>63197.487152792615</v>
      </c>
      <c r="BF4" s="10">
        <f t="shared" si="12"/>
        <v>75836.984583351135</v>
      </c>
      <c r="BG4" s="10">
        <f t="shared" si="12"/>
        <v>91004.381500021365</v>
      </c>
      <c r="BH4" s="10">
        <f t="shared" si="12"/>
        <v>109205.25780002563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Italy</v>
      </c>
      <c r="D5" s="6">
        <f t="shared" ref="D5:D36" si="14">MAX(I5:BD5)</f>
        <v>12428</v>
      </c>
      <c r="E5" s="6">
        <f>IF(COUNTIF(I5:XFD5,"&gt;"&amp;0)=0,,HLOOKUP(COUNTIF(I5:XFD5,"&gt;"&amp;0)-1,I$1:XFD5,A5+1,FALSE))</f>
        <v>12428</v>
      </c>
      <c r="F5" s="7">
        <f>IF(COUNTIF(I5:XFD5,"&gt;"&amp;0)=0,,HLOOKUP(COUNTIF(I5:XFD5,"&gt;"&amp;0)-MIN($F$1+1,COUNTIF(I5:XFD5,"&gt;"&amp;0)),I$1:XFD5,A5+1,FALSE))</f>
        <v>8215</v>
      </c>
      <c r="G5" s="8">
        <f t="shared" si="6"/>
        <v>1.0863224014215505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si="13"/>
        <v>Spain</v>
      </c>
      <c r="D6" s="6">
        <f t="shared" si="14"/>
        <v>8464</v>
      </c>
      <c r="E6" s="6">
        <f>IF(COUNTIF(I6:XFD6,"&gt;"&amp;0)=0,,HLOOKUP(COUNTIF(I6:XFD6,"&gt;"&amp;0)-1,I$1:XFD6,A6+1,FALSE))</f>
        <v>8464</v>
      </c>
      <c r="F6" s="7">
        <f>IF(COUNTIF(I6:XFD6,"&gt;"&amp;0)=0,,HLOOKUP(COUNTIF(I6:XFD6,"&gt;"&amp;0)-MIN($F$1+1,COUNTIF(I6:XFD6,"&gt;"&amp;0)),I$1:XFD6,A6+1,FALSE))</f>
        <v>4365</v>
      </c>
      <c r="G6" s="8">
        <f t="shared" si="6"/>
        <v>1.1416113589586856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13"/>
        <v>US</v>
      </c>
      <c r="D7" s="6">
        <f t="shared" si="14"/>
        <v>3873</v>
      </c>
      <c r="E7" s="6">
        <f>IF(COUNTIF(I7:XFD7,"&gt;"&amp;0)=0,,HLOOKUP(COUNTIF(I7:XFD7,"&gt;"&amp;0)-1,I$1:XFD7,A7+1,FALSE))</f>
        <v>3873</v>
      </c>
      <c r="F7" s="7">
        <f>IF(COUNTIF(I7:XFD7,"&gt;"&amp;0)=0,,HLOOKUP(COUNTIF(I7:XFD7,"&gt;"&amp;0)-MIN($F$1+1,COUNTIF(I7:XFD7,"&gt;"&amp;0)),I$1:XFD7,A7+1,FALSE))</f>
        <v>1209</v>
      </c>
      <c r="G7" s="8">
        <f t="shared" si="6"/>
        <v>1.2621885589813064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13"/>
        <v>France</v>
      </c>
      <c r="D8" s="6">
        <f t="shared" si="14"/>
        <v>3532</v>
      </c>
      <c r="E8" s="6">
        <f>IF(COUNTIF(I8:XFD8,"&gt;"&amp;0)=0,,HLOOKUP(COUNTIF(I8:XFD8,"&gt;"&amp;0)-1,I$1:XFD8,A8+1,FALSE))</f>
        <v>3532</v>
      </c>
      <c r="F8" s="7">
        <f>IF(COUNTIF(I8:XFD8,"&gt;"&amp;0)=0,,HLOOKUP(COUNTIF(I8:XFD8,"&gt;"&amp;0)-MIN($F$1+1,COUNTIF(I8:XFD8,"&gt;"&amp;0)),I$1:XFD8,A8+1,FALSE))</f>
        <v>1698</v>
      </c>
      <c r="G8" s="8">
        <f t="shared" si="6"/>
        <v>1.1577548308282204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13"/>
        <v>China</v>
      </c>
      <c r="D9" s="6">
        <f t="shared" si="14"/>
        <v>3123</v>
      </c>
      <c r="E9" s="6">
        <f>IF(COUNTIF(I9:XFD9,"&gt;"&amp;0)=0,,HLOOKUP(COUNTIF(I9:XFD9,"&gt;"&amp;0)-1,I$1:XFD9,A9+1,FALSE))</f>
        <v>3309</v>
      </c>
      <c r="F9" s="7">
        <f>IF(COUNTIF(I9:XFD9,"&gt;"&amp;0)=0,,HLOOKUP(COUNTIF(I9:XFD9,"&gt;"&amp;0)-MIN($F$1+1,COUNTIF(I9:XFD9,"&gt;"&amp;0)),I$1:XFD9,A9+1,FALSE))</f>
        <v>3291</v>
      </c>
      <c r="G9" s="8">
        <f t="shared" si="6"/>
        <v>1.0010915070563666</v>
      </c>
      <c r="H9" s="13" t="s">
        <v>337</v>
      </c>
      <c r="I9" s="9">
        <v>17</v>
      </c>
      <c r="J9" s="9">
        <v>18</v>
      </c>
      <c r="K9" s="9">
        <v>26</v>
      </c>
      <c r="L9" s="9">
        <v>42</v>
      </c>
      <c r="M9" s="9">
        <v>56</v>
      </c>
      <c r="N9" s="9">
        <v>82</v>
      </c>
      <c r="O9" s="9">
        <v>131</v>
      </c>
      <c r="P9" s="9">
        <v>133</v>
      </c>
      <c r="Q9" s="9">
        <v>171</v>
      </c>
      <c r="R9" s="9">
        <v>213</v>
      </c>
      <c r="S9" s="9">
        <v>259</v>
      </c>
      <c r="T9" s="9">
        <v>361</v>
      </c>
      <c r="U9" s="9">
        <v>425</v>
      </c>
      <c r="V9" s="9">
        <v>491</v>
      </c>
      <c r="W9" s="9">
        <v>563</v>
      </c>
      <c r="X9" s="9">
        <v>633</v>
      </c>
      <c r="Y9" s="9">
        <v>718</v>
      </c>
      <c r="Z9" s="9">
        <v>805</v>
      </c>
      <c r="AA9" s="9">
        <v>905</v>
      </c>
      <c r="AB9" s="9">
        <v>1012</v>
      </c>
      <c r="AC9" s="9">
        <v>1112</v>
      </c>
      <c r="AD9" s="9">
        <v>1117</v>
      </c>
      <c r="AE9" s="9">
        <v>1369</v>
      </c>
      <c r="AF9" s="9">
        <v>1521</v>
      </c>
      <c r="AG9" s="9">
        <v>1663</v>
      </c>
      <c r="AH9" s="9">
        <v>1766</v>
      </c>
      <c r="AI9" s="9">
        <v>1864</v>
      </c>
      <c r="AJ9" s="9">
        <v>2003</v>
      </c>
      <c r="AK9" s="9">
        <v>2116</v>
      </c>
      <c r="AL9" s="9">
        <v>2238</v>
      </c>
      <c r="AM9" s="9">
        <v>2238</v>
      </c>
      <c r="AN9" s="9">
        <v>2443</v>
      </c>
      <c r="AO9" s="9">
        <v>2445</v>
      </c>
      <c r="AP9" s="9">
        <v>2595</v>
      </c>
      <c r="AQ9" s="9">
        <v>2665</v>
      </c>
      <c r="AR9" s="9">
        <v>2717</v>
      </c>
      <c r="AS9" s="9">
        <v>2746</v>
      </c>
      <c r="AT9" s="9">
        <v>2790</v>
      </c>
      <c r="AU9" s="9">
        <v>2837</v>
      </c>
      <c r="AV9" s="9">
        <v>2872</v>
      </c>
      <c r="AW9" s="9">
        <v>2914</v>
      </c>
      <c r="AX9" s="9">
        <v>2947</v>
      </c>
      <c r="AY9" s="9">
        <v>2983</v>
      </c>
      <c r="AZ9" s="9">
        <v>3015</v>
      </c>
      <c r="BA9" s="9">
        <v>3044</v>
      </c>
      <c r="BB9" s="9">
        <v>3072</v>
      </c>
      <c r="BC9" s="9">
        <v>3100</v>
      </c>
      <c r="BD9" s="9">
        <v>3123</v>
      </c>
      <c r="BE9" s="9">
        <v>3139</v>
      </c>
      <c r="BF9" s="9">
        <v>3161</v>
      </c>
      <c r="BG9" s="9">
        <v>3172</v>
      </c>
      <c r="BH9" s="9">
        <v>3180</v>
      </c>
      <c r="BI9" s="9">
        <v>3193</v>
      </c>
      <c r="BJ9" s="9">
        <v>3203</v>
      </c>
      <c r="BK9" s="9">
        <v>3217</v>
      </c>
      <c r="BL9" s="9">
        <v>3230</v>
      </c>
      <c r="BM9" s="9">
        <v>3241</v>
      </c>
      <c r="BN9" s="9">
        <v>3249</v>
      </c>
      <c r="BO9" s="9">
        <v>3253</v>
      </c>
      <c r="BP9" s="9">
        <v>3259</v>
      </c>
      <c r="BQ9" s="9">
        <v>3274</v>
      </c>
      <c r="BR9" s="9">
        <v>3274</v>
      </c>
      <c r="BS9" s="9">
        <v>3281</v>
      </c>
      <c r="BT9" s="9">
        <v>3285</v>
      </c>
      <c r="BU9" s="9">
        <v>3291</v>
      </c>
      <c r="BV9" s="9">
        <v>3296</v>
      </c>
      <c r="BW9" s="9">
        <v>3299</v>
      </c>
      <c r="BX9" s="9">
        <v>3304</v>
      </c>
      <c r="BY9" s="9">
        <v>3308</v>
      </c>
      <c r="BZ9" s="9">
        <v>3309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13"/>
        <v>United Kingdom</v>
      </c>
      <c r="D10" s="6">
        <f t="shared" si="14"/>
        <v>1793</v>
      </c>
      <c r="E10" s="6">
        <f>IF(COUNTIF(I10:XFD10,"&gt;"&amp;0)=0,,HLOOKUP(COUNTIF(I10:XFD10,"&gt;"&amp;0)-1,I$1:XFD10,A10+1,FALSE))</f>
        <v>1793</v>
      </c>
      <c r="F10" s="7">
        <f>IF(COUNTIF(I10:XFD10,"&gt;"&amp;0)=0,,HLOOKUP(COUNTIF(I10:XFD10,"&gt;"&amp;0)-MIN($F$1+1,COUNTIF(I10:XFD10,"&gt;"&amp;0)),I$1:XFD10,A10+1,FALSE))</f>
        <v>580</v>
      </c>
      <c r="G10" s="8">
        <f t="shared" si="6"/>
        <v>1.2532290669539139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  <c r="Z10" s="9">
        <v>1021</v>
      </c>
      <c r="AA10" s="9">
        <v>1231</v>
      </c>
      <c r="AB10" s="9">
        <v>1411</v>
      </c>
      <c r="AC10" s="9">
        <v>1793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13"/>
        <v>Germany</v>
      </c>
      <c r="D11" s="6">
        <f t="shared" si="14"/>
        <v>775</v>
      </c>
      <c r="E11" s="6">
        <f>IF(COUNTIF(I11:XFD11,"&gt;"&amp;0)=0,,HLOOKUP(COUNTIF(I11:XFD11,"&gt;"&amp;0)-1,I$1:XFD11,A11+1,FALSE))</f>
        <v>775</v>
      </c>
      <c r="F11" s="7">
        <f>IF(COUNTIF(I11:XFD11,"&gt;"&amp;0)=0,,HLOOKUP(COUNTIF(I11:XFD11,"&gt;"&amp;0)-MIN($F$1+1,COUNTIF(I11:XFD11,"&gt;"&amp;0)),I$1:XFD11,A11+1,FALSE))</f>
        <v>267</v>
      </c>
      <c r="G11" s="8">
        <f t="shared" si="6"/>
        <v>1.2375367032225479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13"/>
        <v>Europe</v>
      </c>
      <c r="D12" s="6">
        <f t="shared" si="14"/>
        <v>30471</v>
      </c>
      <c r="E12" s="6">
        <f>IF(COUNTIF(I12:XFD12,"&gt;"&amp;0)=0,,HLOOKUP(COUNTIF(I12:XFD12,"&gt;"&amp;0)-1,I$1:XFD12,A12+1,FALSE))</f>
        <v>30471</v>
      </c>
      <c r="F12" s="7">
        <f>IF(COUNTIF(I12:XFD12,"&gt;"&amp;0)=0,,HLOOKUP(COUNTIF(I12:XFD12,"&gt;"&amp;0)-MIN($F$1+1,COUNTIF(I12:XFD12,"&gt;"&amp;0)),I$1:XFD12,A12+1,FALSE))</f>
        <v>16470</v>
      </c>
      <c r="G12" s="8">
        <f t="shared" si="6"/>
        <v>1.1309375437800169</v>
      </c>
      <c r="H12" s="13" t="s">
        <v>608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  <c r="AS12" s="9">
        <v>30471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13"/>
        <v>North America</v>
      </c>
      <c r="D13" s="6">
        <f t="shared" si="14"/>
        <v>4041</v>
      </c>
      <c r="E13" s="6">
        <f>IF(COUNTIF(I13:XFD13,"&gt;"&amp;0)=0,,HLOOKUP(COUNTIF(I13:XFD13,"&gt;"&amp;0)-1,I$1:XFD13,A13+1,FALSE))</f>
        <v>4041</v>
      </c>
      <c r="F13" s="7">
        <f>IF(COUNTIF(I13:XFD13,"&gt;"&amp;0)=0,,HLOOKUP(COUNTIF(I13:XFD13,"&gt;"&amp;0)-MIN($F$1+1,COUNTIF(I13:XFD13,"&gt;"&amp;0)),I$1:XFD13,A13+1,FALSE))</f>
        <v>1266</v>
      </c>
      <c r="G13" s="8">
        <f t="shared" si="6"/>
        <v>1.2612786052084932</v>
      </c>
      <c r="H13" s="13" t="s">
        <v>610</v>
      </c>
      <c r="I13" s="9">
        <v>11</v>
      </c>
      <c r="J13" s="9">
        <v>12</v>
      </c>
      <c r="K13" s="9">
        <v>14</v>
      </c>
      <c r="L13" s="9">
        <v>17</v>
      </c>
      <c r="M13" s="9">
        <v>21</v>
      </c>
      <c r="N13" s="9">
        <v>23</v>
      </c>
      <c r="O13" s="9">
        <v>29</v>
      </c>
      <c r="P13" s="9">
        <v>38</v>
      </c>
      <c r="Q13" s="9">
        <v>42</v>
      </c>
      <c r="R13" s="9">
        <v>49</v>
      </c>
      <c r="S13" s="9">
        <v>56</v>
      </c>
      <c r="T13" s="9">
        <v>65</v>
      </c>
      <c r="U13" s="9">
        <v>90</v>
      </c>
      <c r="V13" s="9">
        <v>114</v>
      </c>
      <c r="W13" s="9">
        <v>128</v>
      </c>
      <c r="X13" s="9">
        <v>214</v>
      </c>
      <c r="Y13" s="9">
        <v>261</v>
      </c>
      <c r="Z13" s="9">
        <v>333</v>
      </c>
      <c r="AA13" s="9">
        <v>447</v>
      </c>
      <c r="AB13" s="9">
        <v>595</v>
      </c>
      <c r="AC13" s="9">
        <v>746</v>
      </c>
      <c r="AD13" s="9">
        <v>989</v>
      </c>
      <c r="AE13" s="9">
        <v>1266</v>
      </c>
      <c r="AF13" s="9">
        <v>1657</v>
      </c>
      <c r="AG13" s="9">
        <v>2119</v>
      </c>
      <c r="AH13" s="9">
        <v>2570</v>
      </c>
      <c r="AI13" s="9">
        <v>3109</v>
      </c>
      <c r="AJ13" s="9">
        <v>4041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13"/>
        <v>World</v>
      </c>
      <c r="D14" s="6">
        <f t="shared" si="14"/>
        <v>3982</v>
      </c>
      <c r="E14" s="6">
        <f>IF(COUNTIF(I14:XFD14,"&gt;"&amp;0)=0,,HLOOKUP(COUNTIF(I14:XFD14,"&gt;"&amp;0)-1,I$1:XFD14,A14+1,FALSE))</f>
        <v>42054</v>
      </c>
      <c r="F14" s="7">
        <f>IF(COUNTIF(I14:XFD14,"&gt;"&amp;0)=0,,HLOOKUP(COUNTIF(I14:XFD14,"&gt;"&amp;0)-MIN($F$1+1,COUNTIF(I14:XFD14,"&gt;"&amp;0)),I$1:XFD14,A14+1,FALSE))</f>
        <v>23944</v>
      </c>
      <c r="G14" s="8">
        <f t="shared" si="6"/>
        <v>1.1192371612690697</v>
      </c>
      <c r="H14" s="13" t="s">
        <v>605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1666</v>
      </c>
      <c r="AH14" s="9">
        <v>1770</v>
      </c>
      <c r="AI14" s="9">
        <v>1868</v>
      </c>
      <c r="AJ14" s="9">
        <v>2007</v>
      </c>
      <c r="AK14" s="9">
        <v>2122</v>
      </c>
      <c r="AL14" s="9">
        <v>2245</v>
      </c>
      <c r="AM14" s="9">
        <v>2249</v>
      </c>
      <c r="AN14" s="9">
        <v>2456</v>
      </c>
      <c r="AO14" s="9">
        <v>2466</v>
      </c>
      <c r="AP14" s="9">
        <v>2626</v>
      </c>
      <c r="AQ14" s="9">
        <v>2705</v>
      </c>
      <c r="AR14" s="9">
        <v>2766</v>
      </c>
      <c r="AS14" s="9">
        <v>2810</v>
      </c>
      <c r="AT14" s="9">
        <v>2866</v>
      </c>
      <c r="AU14" s="9">
        <v>2935</v>
      </c>
      <c r="AV14" s="9">
        <v>2990</v>
      </c>
      <c r="AW14" s="9">
        <v>3079</v>
      </c>
      <c r="AX14" s="9">
        <v>3154</v>
      </c>
      <c r="AY14" s="9">
        <v>3248</v>
      </c>
      <c r="AZ14" s="9">
        <v>3342</v>
      </c>
      <c r="BA14" s="9">
        <v>3454</v>
      </c>
      <c r="BB14" s="9">
        <v>3552</v>
      </c>
      <c r="BC14" s="9">
        <v>3796</v>
      </c>
      <c r="BD14" s="9">
        <v>3982</v>
      </c>
      <c r="BE14" s="9">
        <v>4256</v>
      </c>
      <c r="BF14" s="9">
        <v>4608</v>
      </c>
      <c r="BG14" s="9">
        <v>4948</v>
      </c>
      <c r="BH14" s="9">
        <v>5400</v>
      </c>
      <c r="BI14" s="9">
        <v>5812</v>
      </c>
      <c r="BJ14" s="9">
        <v>6483</v>
      </c>
      <c r="BK14" s="9">
        <v>7118</v>
      </c>
      <c r="BL14" s="9">
        <v>7938</v>
      </c>
      <c r="BM14" s="9">
        <v>8872</v>
      </c>
      <c r="BN14" s="9">
        <v>9987</v>
      </c>
      <c r="BO14" s="9">
        <v>11290</v>
      </c>
      <c r="BP14" s="9">
        <v>12961</v>
      </c>
      <c r="BQ14" s="9">
        <v>14638</v>
      </c>
      <c r="BR14" s="9">
        <v>16488</v>
      </c>
      <c r="BS14" s="9">
        <v>18605</v>
      </c>
      <c r="BT14" s="9">
        <v>21157</v>
      </c>
      <c r="BU14" s="9">
        <v>23944</v>
      </c>
      <c r="BV14" s="9">
        <v>27168</v>
      </c>
      <c r="BW14" s="9">
        <v>30618</v>
      </c>
      <c r="BX14" s="9">
        <v>33885</v>
      </c>
      <c r="BY14" s="9">
        <v>37536</v>
      </c>
      <c r="BZ14" s="9">
        <v>42054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13"/>
        <v>Asia</v>
      </c>
      <c r="D15" s="6">
        <f t="shared" si="14"/>
        <v>3189</v>
      </c>
      <c r="E15" s="6">
        <f>IF(COUNTIF(I15:XFD15,"&gt;"&amp;0)=0,,HLOOKUP(COUNTIF(I15:XFD15,"&gt;"&amp;0)-1,I$1:XFD15,A15+1,FALSE))</f>
        <v>3905</v>
      </c>
      <c r="F15" s="7">
        <f>IF(COUNTIF(I15:XFD15,"&gt;"&amp;0)=0,,HLOOKUP(COUNTIF(I15:XFD15,"&gt;"&amp;0)-MIN($F$1+1,COUNTIF(I15:XFD15,"&gt;"&amp;0)),I$1:XFD15,A15+1,FALSE))</f>
        <v>3664</v>
      </c>
      <c r="G15" s="8">
        <f t="shared" si="6"/>
        <v>1.0128219728210952</v>
      </c>
      <c r="H15" s="13" t="s">
        <v>607</v>
      </c>
      <c r="I15" s="9">
        <v>17</v>
      </c>
      <c r="J15" s="9">
        <v>18</v>
      </c>
      <c r="K15" s="9">
        <v>26</v>
      </c>
      <c r="L15" s="9">
        <v>42</v>
      </c>
      <c r="M15" s="9">
        <v>56</v>
      </c>
      <c r="N15" s="9">
        <v>82</v>
      </c>
      <c r="O15" s="9">
        <v>131</v>
      </c>
      <c r="P15" s="9">
        <v>133</v>
      </c>
      <c r="Q15" s="9">
        <v>171</v>
      </c>
      <c r="R15" s="9">
        <v>213</v>
      </c>
      <c r="S15" s="9">
        <v>259</v>
      </c>
      <c r="T15" s="9">
        <v>362</v>
      </c>
      <c r="U15" s="9">
        <v>426</v>
      </c>
      <c r="V15" s="9">
        <v>492</v>
      </c>
      <c r="W15" s="9">
        <v>564</v>
      </c>
      <c r="X15" s="9">
        <v>634</v>
      </c>
      <c r="Y15" s="9">
        <v>719</v>
      </c>
      <c r="Z15" s="9">
        <v>806</v>
      </c>
      <c r="AA15" s="9">
        <v>906</v>
      </c>
      <c r="AB15" s="9">
        <v>1013</v>
      </c>
      <c r="AC15" s="9">
        <v>1113</v>
      </c>
      <c r="AD15" s="9">
        <v>1118</v>
      </c>
      <c r="AE15" s="9">
        <v>1371</v>
      </c>
      <c r="AF15" s="9">
        <v>1523</v>
      </c>
      <c r="AG15" s="9">
        <v>1665</v>
      </c>
      <c r="AH15" s="9">
        <v>1769</v>
      </c>
      <c r="AI15" s="9">
        <v>1867</v>
      </c>
      <c r="AJ15" s="9">
        <v>2006</v>
      </c>
      <c r="AK15" s="9">
        <v>2119</v>
      </c>
      <c r="AL15" s="9">
        <v>2242</v>
      </c>
      <c r="AM15" s="9">
        <v>2243</v>
      </c>
      <c r="AN15" s="9">
        <v>2448</v>
      </c>
      <c r="AO15" s="9">
        <v>2454</v>
      </c>
      <c r="AP15" s="9">
        <v>2606</v>
      </c>
      <c r="AQ15" s="9">
        <v>2678</v>
      </c>
      <c r="AR15" s="9">
        <v>2733</v>
      </c>
      <c r="AS15" s="9">
        <v>2765</v>
      </c>
      <c r="AT15" s="9">
        <v>2809</v>
      </c>
      <c r="AU15" s="9">
        <v>2860</v>
      </c>
      <c r="AV15" s="9">
        <v>2898</v>
      </c>
      <c r="AW15" s="9">
        <v>2951</v>
      </c>
      <c r="AX15" s="9">
        <v>2984</v>
      </c>
      <c r="AY15" s="9">
        <v>3027</v>
      </c>
      <c r="AZ15" s="9">
        <v>3059</v>
      </c>
      <c r="BA15" s="9">
        <v>3095</v>
      </c>
      <c r="BB15" s="9">
        <v>3125</v>
      </c>
      <c r="BC15" s="9">
        <v>3159</v>
      </c>
      <c r="BD15" s="9">
        <v>3189</v>
      </c>
      <c r="BE15" s="9">
        <v>3206</v>
      </c>
      <c r="BF15" s="9">
        <v>3241</v>
      </c>
      <c r="BG15" s="9">
        <v>3260</v>
      </c>
      <c r="BH15" s="9">
        <v>3279</v>
      </c>
      <c r="BI15" s="9">
        <v>3305</v>
      </c>
      <c r="BJ15" s="9">
        <v>3321</v>
      </c>
      <c r="BK15" s="9">
        <v>3341</v>
      </c>
      <c r="BL15" s="9">
        <v>3365</v>
      </c>
      <c r="BM15" s="9">
        <v>3401</v>
      </c>
      <c r="BN15" s="9">
        <v>3424</v>
      </c>
      <c r="BO15" s="9">
        <v>3450</v>
      </c>
      <c r="BP15" s="9">
        <v>3473</v>
      </c>
      <c r="BQ15" s="9">
        <v>3530</v>
      </c>
      <c r="BR15" s="9">
        <v>3549</v>
      </c>
      <c r="BS15" s="9">
        <v>3581</v>
      </c>
      <c r="BT15" s="9">
        <v>3610</v>
      </c>
      <c r="BU15" s="9">
        <v>3664</v>
      </c>
      <c r="BV15" s="9">
        <v>3704</v>
      </c>
      <c r="BW15" s="9">
        <v>3754</v>
      </c>
      <c r="BX15" s="9">
        <v>3803</v>
      </c>
      <c r="BY15" s="9">
        <v>3849</v>
      </c>
      <c r="BZ15" s="9">
        <v>3905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13"/>
        <v>Middle East</v>
      </c>
      <c r="D16" s="6">
        <f t="shared" si="14"/>
        <v>3012</v>
      </c>
      <c r="E16" s="6">
        <f>IF(COUNTIF(I16:XFD16,"&gt;"&amp;0)=0,,HLOOKUP(COUNTIF(I16:XFD16,"&gt;"&amp;0)-1,I$1:XFD16,A16+1,FALSE))</f>
        <v>3012</v>
      </c>
      <c r="F16" s="7">
        <f>IF(COUNTIF(I16:XFD16,"&gt;"&amp;0)=0,,HLOOKUP(COUNTIF(I16:XFD16,"&gt;"&amp;0)-MIN($F$1+1,COUNTIF(I16:XFD16,"&gt;"&amp;0)),I$1:XFD16,A16+1,FALSE))</f>
        <v>2297</v>
      </c>
      <c r="G16" s="8">
        <f t="shared" si="6"/>
        <v>1.05569580173503</v>
      </c>
      <c r="H16" s="13" t="s">
        <v>609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94</v>
      </c>
      <c r="T16" s="9">
        <v>109</v>
      </c>
      <c r="U16" s="9">
        <v>127</v>
      </c>
      <c r="V16" s="9">
        <v>149</v>
      </c>
      <c r="W16" s="9">
        <v>200</v>
      </c>
      <c r="X16" s="9">
        <v>243</v>
      </c>
      <c r="Y16" s="9">
        <v>299</v>
      </c>
      <c r="Z16" s="9">
        <v>364</v>
      </c>
      <c r="AA16" s="9">
        <v>440</v>
      </c>
      <c r="AB16" s="9">
        <v>526</v>
      </c>
      <c r="AC16" s="9">
        <v>624</v>
      </c>
      <c r="AD16" s="9">
        <v>737</v>
      </c>
      <c r="AE16" s="9">
        <v>867</v>
      </c>
      <c r="AF16" s="9">
        <v>1003</v>
      </c>
      <c r="AG16" s="9">
        <v>1151</v>
      </c>
      <c r="AH16" s="9">
        <v>1302</v>
      </c>
      <c r="AI16" s="9">
        <v>1457</v>
      </c>
      <c r="AJ16" s="9">
        <v>1581</v>
      </c>
      <c r="AK16" s="9">
        <v>1715</v>
      </c>
      <c r="AL16" s="9">
        <v>1845</v>
      </c>
      <c r="AM16" s="9">
        <v>1975</v>
      </c>
      <c r="AN16" s="9">
        <v>2127</v>
      </c>
      <c r="AO16" s="9">
        <v>2297</v>
      </c>
      <c r="AP16" s="9">
        <v>2452</v>
      </c>
      <c r="AQ16" s="9">
        <v>2595</v>
      </c>
      <c r="AR16" s="9">
        <v>2730</v>
      </c>
      <c r="AS16" s="9">
        <v>2857</v>
      </c>
      <c r="AT16" s="9">
        <v>3012</v>
      </c>
    </row>
    <row r="17" spans="1:46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13"/>
        <v>Iran</v>
      </c>
      <c r="D17" s="6">
        <f t="shared" si="14"/>
        <v>2898</v>
      </c>
      <c r="E17" s="6">
        <f>IF(COUNTIF(I17:XFD17,"&gt;"&amp;0)=0,,HLOOKUP(COUNTIF(I17:XFD17,"&gt;"&amp;0)-1,I$1:XFD17,A17+1,FALSE))</f>
        <v>2898</v>
      </c>
      <c r="F17" s="7">
        <f>IF(COUNTIF(I17:XFD17,"&gt;"&amp;0)=0,,HLOOKUP(COUNTIF(I17:XFD17,"&gt;"&amp;0)-MIN($F$1+1,COUNTIF(I17:XFD17,"&gt;"&amp;0)),I$1:XFD17,A17+1,FALSE))</f>
        <v>2234</v>
      </c>
      <c r="G17" s="8">
        <f t="shared" si="6"/>
        <v>1.053423597038577</v>
      </c>
      <c r="H17" s="13" t="s">
        <v>338</v>
      </c>
      <c r="I17" s="9">
        <v>8</v>
      </c>
      <c r="J17" s="9">
        <v>12</v>
      </c>
      <c r="K17" s="9">
        <v>16</v>
      </c>
      <c r="L17" s="9">
        <v>19</v>
      </c>
      <c r="M17" s="9">
        <v>26</v>
      </c>
      <c r="N17" s="9">
        <v>34</v>
      </c>
      <c r="O17" s="9">
        <v>43</v>
      </c>
      <c r="P17" s="9">
        <v>54</v>
      </c>
      <c r="Q17" s="9">
        <v>66</v>
      </c>
      <c r="R17" s="9">
        <v>77</v>
      </c>
      <c r="S17" s="9">
        <v>92</v>
      </c>
      <c r="T17" s="9">
        <v>107</v>
      </c>
      <c r="U17" s="9">
        <v>124</v>
      </c>
      <c r="V17" s="9">
        <v>145</v>
      </c>
      <c r="W17" s="9">
        <v>194</v>
      </c>
      <c r="X17" s="9">
        <v>237</v>
      </c>
      <c r="Y17" s="9">
        <v>291</v>
      </c>
      <c r="Z17" s="9">
        <v>354</v>
      </c>
      <c r="AA17" s="9">
        <v>429</v>
      </c>
      <c r="AB17" s="9">
        <v>514</v>
      </c>
      <c r="AC17" s="9">
        <v>611</v>
      </c>
      <c r="AD17" s="9">
        <v>724</v>
      </c>
      <c r="AE17" s="9">
        <v>853</v>
      </c>
      <c r="AF17" s="9">
        <v>988</v>
      </c>
      <c r="AG17" s="9">
        <v>1135</v>
      </c>
      <c r="AH17" s="9">
        <v>1284</v>
      </c>
      <c r="AI17" s="9">
        <v>1433</v>
      </c>
      <c r="AJ17" s="9">
        <v>1556</v>
      </c>
      <c r="AK17" s="9">
        <v>1685</v>
      </c>
      <c r="AL17" s="9">
        <v>1812</v>
      </c>
      <c r="AM17" s="9">
        <v>1934</v>
      </c>
      <c r="AN17" s="9">
        <v>2077</v>
      </c>
      <c r="AO17" s="9">
        <v>2234</v>
      </c>
      <c r="AP17" s="9">
        <v>2378</v>
      </c>
      <c r="AQ17" s="9">
        <v>2517</v>
      </c>
      <c r="AR17" s="9">
        <v>2640</v>
      </c>
      <c r="AS17" s="9">
        <v>2757</v>
      </c>
      <c r="AT17" s="9">
        <v>2898</v>
      </c>
    </row>
    <row r="18" spans="1:46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13"/>
        <v>Netherlands</v>
      </c>
      <c r="D18" s="6">
        <f t="shared" si="14"/>
        <v>1040</v>
      </c>
      <c r="E18" s="6">
        <f>IF(COUNTIF(I18:XFD18,"&gt;"&amp;0)=0,,HLOOKUP(COUNTIF(I18:XFD18,"&gt;"&amp;0)-1,I$1:XFD18,A18+1,FALSE))</f>
        <v>1040</v>
      </c>
      <c r="F18" s="7">
        <f>IF(COUNTIF(I18:XFD18,"&gt;"&amp;0)=0,,HLOOKUP(COUNTIF(I18:XFD18,"&gt;"&amp;0)-MIN($F$1+1,COUNTIF(I18:XFD18,"&gt;"&amp;0)),I$1:XFD18,A18+1,FALSE))</f>
        <v>435</v>
      </c>
      <c r="G18" s="8">
        <f t="shared" si="6"/>
        <v>1.1904435779045321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</row>
    <row r="19" spans="1:46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13"/>
        <v>Belgium</v>
      </c>
      <c r="D19" s="6">
        <f t="shared" si="14"/>
        <v>705</v>
      </c>
      <c r="E19" s="6">
        <f>IF(COUNTIF(I19:XFD19,"&gt;"&amp;0)=0,,HLOOKUP(COUNTIF(I19:XFD19,"&gt;"&amp;0)-1,I$1:XFD19,A19+1,FALSE))</f>
        <v>705</v>
      </c>
      <c r="F19" s="7">
        <f>IF(COUNTIF(I19:XFD19,"&gt;"&amp;0)=0,,HLOOKUP(COUNTIF(I19:XFD19,"&gt;"&amp;0)-MIN($F$1+1,COUNTIF(I19:XFD19,"&gt;"&amp;0)),I$1:XFD19,A19+1,FALSE))</f>
        <v>220</v>
      </c>
      <c r="G19" s="8">
        <f t="shared" si="6"/>
        <v>1.262272983932673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</row>
    <row r="20" spans="1:46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13"/>
        <v>Switzerland</v>
      </c>
      <c r="D20" s="6">
        <f t="shared" si="14"/>
        <v>433</v>
      </c>
      <c r="E20" s="6">
        <f>IF(COUNTIF(I20:XFD20,"&gt;"&amp;0)=0,,HLOOKUP(COUNTIF(I20:XFD20,"&gt;"&amp;0)-1,I$1:XFD20,A20+1,FALSE))</f>
        <v>433</v>
      </c>
      <c r="F20" s="7">
        <f>IF(COUNTIF(I20:XFD20,"&gt;"&amp;0)=0,,HLOOKUP(COUNTIF(I20:XFD20,"&gt;"&amp;0)-MIN($F$1+1,COUNTIF(I20:XFD20,"&gt;"&amp;0)),I$1:XFD20,A20+1,FALSE))</f>
        <v>191</v>
      </c>
      <c r="G20" s="8">
        <f t="shared" si="6"/>
        <v>1.177852493905309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  <c r="X20" s="9">
        <v>264</v>
      </c>
      <c r="Y20" s="9">
        <v>300</v>
      </c>
      <c r="Z20" s="9">
        <v>359</v>
      </c>
      <c r="AA20" s="9">
        <v>433</v>
      </c>
    </row>
    <row r="21" spans="1:46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13"/>
        <v>South America</v>
      </c>
      <c r="D21" s="6">
        <f t="shared" si="14"/>
        <v>430</v>
      </c>
      <c r="E21" s="6">
        <f>IF(COUNTIF(I21:XFD21,"&gt;"&amp;0)=0,,HLOOKUP(COUNTIF(I21:XFD21,"&gt;"&amp;0)-1,I$1:XFD21,A21+1,FALSE))</f>
        <v>430</v>
      </c>
      <c r="F21" s="7">
        <f>IF(COUNTIF(I21:XFD21,"&gt;"&amp;0)=0,,HLOOKUP(COUNTIF(I21:XFD21,"&gt;"&amp;0)-MIN($F$1+1,COUNTIF(I21:XFD21,"&gt;"&amp;0)),I$1:XFD21,A21+1,FALSE))</f>
        <v>154</v>
      </c>
      <c r="G21" s="8">
        <f t="shared" si="6"/>
        <v>1.2279750614518825</v>
      </c>
      <c r="H21" s="13" t="s">
        <v>611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  <c r="S21" s="9">
        <v>238</v>
      </c>
      <c r="T21" s="9">
        <v>295</v>
      </c>
      <c r="U21" s="9">
        <v>343</v>
      </c>
      <c r="V21" s="9">
        <v>430</v>
      </c>
    </row>
    <row r="22" spans="1:46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13"/>
        <v>Turkey</v>
      </c>
      <c r="D22" s="6">
        <f t="shared" si="14"/>
        <v>214</v>
      </c>
      <c r="E22" s="6">
        <f>IF(COUNTIF(I22:XFD22,"&gt;"&amp;0)=0,,HLOOKUP(COUNTIF(I22:XFD22,"&gt;"&amp;0)-1,I$1:XFD22,A22+1,FALSE))</f>
        <v>214</v>
      </c>
      <c r="F22" s="7">
        <f>IF(COUNTIF(I22:XFD22,"&gt;"&amp;0)=0,,HLOOKUP(COUNTIF(I22:XFD22,"&gt;"&amp;0)-MIN($F$1+1,COUNTIF(I22:XFD22,"&gt;"&amp;0)),I$1:XFD22,A22+1,FALSE))</f>
        <v>75</v>
      </c>
      <c r="G22" s="8">
        <f t="shared" si="6"/>
        <v>1.233305027813365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</row>
    <row r="23" spans="1:46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13"/>
        <v>Brazil</v>
      </c>
      <c r="D23" s="6">
        <f t="shared" si="14"/>
        <v>201</v>
      </c>
      <c r="E23" s="6">
        <f>IF(COUNTIF(I23:XFD23,"&gt;"&amp;0)=0,,HLOOKUP(COUNTIF(I23:XFD23,"&gt;"&amp;0)-1,I$1:XFD23,A23+1,FALSE))</f>
        <v>201</v>
      </c>
      <c r="F23" s="7">
        <f>IF(COUNTIF(I23:XFD23,"&gt;"&amp;0)=0,,HLOOKUP(COUNTIF(I23:XFD23,"&gt;"&amp;0)-MIN($F$1+1,COUNTIF(I23:XFD23,"&gt;"&amp;0)),I$1:XFD23,A23+1,FALSE))</f>
        <v>77</v>
      </c>
      <c r="G23" s="8">
        <f t="shared" si="6"/>
        <v>1.2115492314738558</v>
      </c>
      <c r="H23" s="15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</row>
    <row r="24" spans="1:46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13"/>
        <v>Sweden</v>
      </c>
      <c r="D24" s="6">
        <f t="shared" si="14"/>
        <v>180</v>
      </c>
      <c r="E24" s="6">
        <f>IF(COUNTIF(I24:XFD24,"&gt;"&amp;0)=0,,HLOOKUP(COUNTIF(I24:XFD24,"&gt;"&amp;0)-1,I$1:XFD24,A24+1,FALSE))</f>
        <v>180</v>
      </c>
      <c r="F24" s="7">
        <f>IF(COUNTIF(I24:XFD24,"&gt;"&amp;0)=0,,HLOOKUP(COUNTIF(I24:XFD24,"&gt;"&amp;0)-MIN($F$1+1,COUNTIF(I24:XFD24,"&gt;"&amp;0)),I$1:XFD24,A24+1,FALSE))</f>
        <v>77</v>
      </c>
      <c r="G24" s="8">
        <f t="shared" si="6"/>
        <v>1.1851037053335738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</row>
    <row r="25" spans="1:46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13"/>
        <v>Africa</v>
      </c>
      <c r="D25" s="6">
        <f t="shared" si="14"/>
        <v>176</v>
      </c>
      <c r="E25" s="6">
        <f>IF(COUNTIF(I25:XFD25,"&gt;"&amp;0)=0,,HLOOKUP(COUNTIF(I25:XFD25,"&gt;"&amp;0)-1,I$1:XFD25,A25+1,FALSE))</f>
        <v>176</v>
      </c>
      <c r="F25" s="7">
        <f>IF(COUNTIF(I25:XFD25,"&gt;"&amp;0)=0,,HLOOKUP(COUNTIF(I25:XFD25,"&gt;"&amp;0)-MIN($F$1+1,COUNTIF(I25:XFD25,"&gt;"&amp;0)),I$1:XFD25,A25+1,FALSE))</f>
        <v>80</v>
      </c>
      <c r="G25" s="8">
        <f t="shared" si="6"/>
        <v>1.1708049129648923</v>
      </c>
      <c r="H25" s="13" t="s">
        <v>612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</row>
    <row r="26" spans="1:46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13"/>
        <v>Korea, South</v>
      </c>
      <c r="D26" s="6">
        <f t="shared" si="14"/>
        <v>162</v>
      </c>
      <c r="E26" s="6">
        <f>IF(COUNTIF(I26:XFD26,"&gt;"&amp;0)=0,,HLOOKUP(COUNTIF(I26:XFD26,"&gt;"&amp;0)-1,I$1:XFD26,A26+1,FALSE))</f>
        <v>162</v>
      </c>
      <c r="F26" s="7">
        <f>IF(COUNTIF(I26:XFD26,"&gt;"&amp;0)=0,,HLOOKUP(COUNTIF(I26:XFD26,"&gt;"&amp;0)-MIN($F$1+1,COUNTIF(I26:XFD26,"&gt;"&amp;0)),I$1:XFD26,A26+1,FALSE))</f>
        <v>131</v>
      </c>
      <c r="G26" s="8">
        <f t="shared" si="6"/>
        <v>1.0433949820928812</v>
      </c>
      <c r="H26" s="13" t="s">
        <v>339</v>
      </c>
      <c r="I26" s="9">
        <v>8</v>
      </c>
      <c r="J26" s="9">
        <v>10</v>
      </c>
      <c r="K26" s="9">
        <v>12</v>
      </c>
      <c r="L26" s="9">
        <v>13</v>
      </c>
      <c r="M26" s="9">
        <v>13</v>
      </c>
      <c r="N26" s="9">
        <v>16</v>
      </c>
      <c r="O26" s="9">
        <v>17</v>
      </c>
      <c r="P26" s="9">
        <v>28</v>
      </c>
      <c r="Q26" s="9">
        <v>28</v>
      </c>
      <c r="R26" s="9">
        <v>35</v>
      </c>
      <c r="S26" s="9">
        <v>35</v>
      </c>
      <c r="T26" s="9">
        <v>42</v>
      </c>
      <c r="U26" s="9">
        <v>44</v>
      </c>
      <c r="V26" s="9">
        <v>50</v>
      </c>
      <c r="W26" s="9">
        <v>53</v>
      </c>
      <c r="X26" s="9">
        <v>54</v>
      </c>
      <c r="Y26" s="9">
        <v>60</v>
      </c>
      <c r="Z26" s="9">
        <v>66</v>
      </c>
      <c r="AA26" s="9">
        <v>66</v>
      </c>
      <c r="AB26" s="9">
        <v>72</v>
      </c>
      <c r="AC26" s="9">
        <v>75</v>
      </c>
      <c r="AD26" s="9">
        <v>75</v>
      </c>
      <c r="AE26" s="9">
        <v>81</v>
      </c>
      <c r="AF26" s="9">
        <v>84</v>
      </c>
      <c r="AG26" s="9">
        <v>91</v>
      </c>
      <c r="AH26" s="9">
        <v>94</v>
      </c>
      <c r="AI26" s="9">
        <v>102</v>
      </c>
      <c r="AJ26" s="9">
        <v>111</v>
      </c>
      <c r="AK26" s="9">
        <v>111</v>
      </c>
      <c r="AL26" s="9">
        <v>120</v>
      </c>
      <c r="AM26" s="9">
        <v>126</v>
      </c>
      <c r="AN26" s="9">
        <v>131</v>
      </c>
      <c r="AO26" s="9">
        <v>139</v>
      </c>
      <c r="AP26" s="9">
        <v>144</v>
      </c>
      <c r="AQ26" s="9">
        <v>152</v>
      </c>
      <c r="AR26" s="9">
        <v>158</v>
      </c>
      <c r="AS26" s="9">
        <v>162</v>
      </c>
    </row>
    <row r="27" spans="1:46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13"/>
        <v>Portugal</v>
      </c>
      <c r="D27" s="6">
        <f t="shared" si="14"/>
        <v>160</v>
      </c>
      <c r="E27" s="6">
        <f>IF(COUNTIF(I27:XFD27,"&gt;"&amp;0)=0,,HLOOKUP(COUNTIF(I27:XFD27,"&gt;"&amp;0)-1,I$1:XFD27,A27+1,FALSE))</f>
        <v>160</v>
      </c>
      <c r="F27" s="7">
        <f>IF(COUNTIF(I27:XFD27,"&gt;"&amp;0)=0,,HLOOKUP(COUNTIF(I27:XFD27,"&gt;"&amp;0)-MIN($F$1+1,COUNTIF(I27:XFD27,"&gt;"&amp;0)),I$1:XFD27,A27+1,FALSE))</f>
        <v>60</v>
      </c>
      <c r="G27" s="8">
        <f t="shared" si="6"/>
        <v>1.2167286837864115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</row>
    <row r="28" spans="1:46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13"/>
        <v>Indonesia</v>
      </c>
      <c r="D28" s="6">
        <f t="shared" si="14"/>
        <v>136</v>
      </c>
      <c r="E28" s="6">
        <f>IF(COUNTIF(I28:XFD28,"&gt;"&amp;0)=0,,HLOOKUP(COUNTIF(I28:XFD28,"&gt;"&amp;0)-1,I$1:XFD28,A28+1,FALSE))</f>
        <v>136</v>
      </c>
      <c r="F28" s="7">
        <f>IF(COUNTIF(I28:XFD28,"&gt;"&amp;0)=0,,HLOOKUP(COUNTIF(I28:XFD28,"&gt;"&amp;0)-MIN($F$1+1,COUNTIF(I28:XFD28,"&gt;"&amp;0)),I$1:XFD28,A28+1,FALSE))</f>
        <v>78</v>
      </c>
      <c r="G28" s="8">
        <f t="shared" si="6"/>
        <v>1.1176063511697278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</row>
    <row r="29" spans="1:46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13"/>
        <v>Austria</v>
      </c>
      <c r="D29" s="6">
        <f t="shared" si="14"/>
        <v>128</v>
      </c>
      <c r="E29" s="6">
        <f>IF(COUNTIF(I29:XFD29,"&gt;"&amp;0)=0,,HLOOKUP(COUNTIF(I29:XFD29,"&gt;"&amp;0)-1,I$1:XFD29,A29+1,FALSE))</f>
        <v>128</v>
      </c>
      <c r="F29" s="7">
        <f>IF(COUNTIF(I29:XFD29,"&gt;"&amp;0)=0,,HLOOKUP(COUNTIF(I29:XFD29,"&gt;"&amp;0)-MIN($F$1+1,COUNTIF(I29:XFD29,"&gt;"&amp;0)),I$1:XFD29,A29+1,FALSE))</f>
        <v>49</v>
      </c>
      <c r="G29" s="8">
        <f t="shared" si="6"/>
        <v>1.2117213999093259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</row>
    <row r="30" spans="1:46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13"/>
        <v>Canada</v>
      </c>
      <c r="D30" s="6">
        <f t="shared" si="14"/>
        <v>101</v>
      </c>
      <c r="E30" s="6">
        <f>IF(COUNTIF(I30:XFD30,"&gt;"&amp;0)=0,,HLOOKUP(COUNTIF(I30:XFD30,"&gt;"&amp;0)-1,I$1:XFD30,A30+1,FALSE))</f>
        <v>101</v>
      </c>
      <c r="F30" s="7">
        <f>IF(COUNTIF(I30:XFD30,"&gt;"&amp;0)=0,,HLOOKUP(COUNTIF(I30:XFD30,"&gt;"&amp;0)-MIN($F$1+1,COUNTIF(I30:XFD30,"&gt;"&amp;0)),I$1:XFD30,A30+1,FALSE))</f>
        <v>38</v>
      </c>
      <c r="G30" s="8">
        <f t="shared" si="6"/>
        <v>1.2159271490432129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  <c r="S30" s="9">
        <v>61</v>
      </c>
      <c r="T30" s="9">
        <v>64</v>
      </c>
      <c r="U30" s="9">
        <v>80</v>
      </c>
      <c r="V30" s="9">
        <v>101</v>
      </c>
    </row>
    <row r="31" spans="1:46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13"/>
        <v>Denmark</v>
      </c>
      <c r="D31" s="6">
        <f t="shared" si="14"/>
        <v>90</v>
      </c>
      <c r="E31" s="6">
        <f>IF(COUNTIF(I31:XFD31,"&gt;"&amp;0)=0,,HLOOKUP(COUNTIF(I31:XFD31,"&gt;"&amp;0)-1,I$1:XFD31,A31+1,FALSE))</f>
        <v>90</v>
      </c>
      <c r="F31" s="7">
        <f>IF(COUNTIF(I31:XFD31,"&gt;"&amp;0)=0,,HLOOKUP(COUNTIF(I31:XFD31,"&gt;"&amp;0)-MIN($F$1+1,COUNTIF(I31:XFD31,"&gt;"&amp;0)),I$1:XFD31,A31+1,FALSE))</f>
        <v>41</v>
      </c>
      <c r="G31" s="8">
        <f t="shared" si="6"/>
        <v>1.1702852479074681</v>
      </c>
      <c r="H31" s="13" t="s">
        <v>87</v>
      </c>
      <c r="I31" s="9">
        <v>9</v>
      </c>
      <c r="J31" s="9">
        <v>13</v>
      </c>
      <c r="K31" s="9">
        <v>13</v>
      </c>
      <c r="L31" s="9">
        <v>24</v>
      </c>
      <c r="M31" s="9">
        <v>32</v>
      </c>
      <c r="N31" s="9">
        <v>34</v>
      </c>
      <c r="O31" s="9">
        <v>41</v>
      </c>
      <c r="P31" s="9">
        <v>52</v>
      </c>
      <c r="Q31" s="9">
        <v>65</v>
      </c>
      <c r="R31" s="9">
        <v>72</v>
      </c>
      <c r="S31" s="9">
        <v>77</v>
      </c>
      <c r="T31" s="9">
        <v>90</v>
      </c>
    </row>
    <row r="32" spans="1:46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13"/>
        <v>Philippines</v>
      </c>
      <c r="D32" s="6">
        <f t="shared" si="14"/>
        <v>88</v>
      </c>
      <c r="E32" s="6">
        <f>IF(COUNTIF(I32:XFD32,"&gt;"&amp;0)=0,,HLOOKUP(COUNTIF(I32:XFD32,"&gt;"&amp;0)-1,I$1:XFD32,A32+1,FALSE))</f>
        <v>88</v>
      </c>
      <c r="F32" s="7">
        <f>IF(COUNTIF(I32:XFD32,"&gt;"&amp;0)=0,,HLOOKUP(COUNTIF(I32:XFD32,"&gt;"&amp;0)-MIN($F$1+1,COUNTIF(I32:XFD32,"&gt;"&amp;0)),I$1:XFD32,A32+1,FALSE))</f>
        <v>45</v>
      </c>
      <c r="G32" s="8">
        <f t="shared" si="6"/>
        <v>1.1435470336492659</v>
      </c>
      <c r="H32" s="13" t="s">
        <v>56</v>
      </c>
      <c r="I32" s="9">
        <v>8</v>
      </c>
      <c r="J32" s="9">
        <v>11</v>
      </c>
      <c r="K32" s="9">
        <v>12</v>
      </c>
      <c r="L32" s="9">
        <v>12</v>
      </c>
      <c r="M32" s="9">
        <v>19</v>
      </c>
      <c r="N32" s="9">
        <v>17</v>
      </c>
      <c r="O32" s="9">
        <v>18</v>
      </c>
      <c r="P32" s="9">
        <v>19</v>
      </c>
      <c r="Q32" s="9">
        <v>25</v>
      </c>
      <c r="R32" s="9">
        <v>33</v>
      </c>
      <c r="S32" s="9">
        <v>35</v>
      </c>
      <c r="T32" s="9">
        <v>38</v>
      </c>
      <c r="U32" s="9">
        <v>45</v>
      </c>
      <c r="V32" s="9">
        <v>54</v>
      </c>
      <c r="W32" s="9">
        <v>68</v>
      </c>
      <c r="X32" s="9">
        <v>71</v>
      </c>
      <c r="Y32" s="9">
        <v>78</v>
      </c>
      <c r="Z32" s="9">
        <v>88</v>
      </c>
    </row>
    <row r="33" spans="1:31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13"/>
        <v>Romania</v>
      </c>
      <c r="D33" s="6">
        <f t="shared" si="14"/>
        <v>82</v>
      </c>
      <c r="E33" s="6">
        <f>IF(COUNTIF(I33:XFD33,"&gt;"&amp;0)=0,,HLOOKUP(COUNTIF(I33:XFD33,"&gt;"&amp;0)-1,I$1:XFD33,A33+1,FALSE))</f>
        <v>82</v>
      </c>
      <c r="F33" s="7">
        <f>IF(COUNTIF(I33:XFD33,"&gt;"&amp;0)=0,,HLOOKUP(COUNTIF(I33:XFD33,"&gt;"&amp;0)-MIN($F$1+1,COUNTIF(I33:XFD33,"&gt;"&amp;0)),I$1:XFD33,A33+1,FALSE))</f>
        <v>23</v>
      </c>
      <c r="G33" s="8">
        <f t="shared" si="6"/>
        <v>1.2894876981355248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</row>
    <row r="34" spans="1:31" x14ac:dyDescent="0.25">
      <c r="A34" s="9">
        <f t="shared" ref="A34:A65" si="15">A33+1</f>
        <v>33</v>
      </c>
      <c r="B34" s="9">
        <f t="array" ref="B34">IF(C34="",0,IF(OR(C34=Country_Comparison!$S$10:$S$29),1,0))</f>
        <v>0</v>
      </c>
      <c r="C34" s="9" t="str">
        <f t="shared" si="13"/>
        <v>Ecuador</v>
      </c>
      <c r="D34" s="6">
        <f t="shared" si="14"/>
        <v>75</v>
      </c>
      <c r="E34" s="6">
        <f>IF(COUNTIF(I34:XFD34,"&gt;"&amp;0)=0,,HLOOKUP(COUNTIF(I34:XFD34,"&gt;"&amp;0)-1,I$1:XFD34,A34+1,FALSE))</f>
        <v>75</v>
      </c>
      <c r="F34" s="7">
        <f>IF(COUNTIF(I34:XFD34,"&gt;"&amp;0)=0,,HLOOKUP(COUNTIF(I34:XFD34,"&gt;"&amp;0)-MIN($F$1+1,COUNTIF(I34:XFD34,"&gt;"&amp;0)),I$1:XFD34,A34+1,FALSE))</f>
        <v>34</v>
      </c>
      <c r="G34" s="8">
        <f t="shared" ref="G34:G65" si="16">IF(COUNTIF(I34:XFD34,"&gt;"&amp;0)=0,,(E34/F34)^(1/MIN(COUNTIF(I34:XFD34,"&gt;"&amp;0)-1,$F$1)))</f>
        <v>1.1714303432966133</v>
      </c>
      <c r="H34" s="13" t="s">
        <v>103</v>
      </c>
      <c r="I34" s="9">
        <v>14</v>
      </c>
      <c r="J34" s="9">
        <v>18</v>
      </c>
      <c r="K34" s="9">
        <v>27</v>
      </c>
      <c r="L34" s="9">
        <v>28</v>
      </c>
      <c r="M34" s="9">
        <v>34</v>
      </c>
      <c r="N34" s="9">
        <v>36</v>
      </c>
      <c r="O34" s="9">
        <v>48</v>
      </c>
      <c r="P34" s="9">
        <v>58</v>
      </c>
      <c r="Q34" s="9">
        <v>60</v>
      </c>
      <c r="R34" s="9">
        <v>75</v>
      </c>
    </row>
    <row r="35" spans="1:31" x14ac:dyDescent="0.25">
      <c r="A35" s="9">
        <f t="shared" si="15"/>
        <v>34</v>
      </c>
      <c r="B35" s="9">
        <f t="array" ref="B35">IF(C35="",0,IF(OR(C35=Country_Comparison!$S$10:$S$29),1,0))</f>
        <v>0</v>
      </c>
      <c r="C35" s="9" t="str">
        <f t="shared" si="13"/>
        <v>Ireland</v>
      </c>
      <c r="D35" s="6">
        <f t="shared" si="14"/>
        <v>71</v>
      </c>
      <c r="E35" s="6">
        <f>IF(COUNTIF(I35:XFD35,"&gt;"&amp;0)=0,,HLOOKUP(COUNTIF(I35:XFD35,"&gt;"&amp;0)-1,I$1:XFD35,A35+1,FALSE))</f>
        <v>71</v>
      </c>
      <c r="F35" s="7">
        <f>IF(COUNTIF(I35:XFD35,"&gt;"&amp;0)=0,,HLOOKUP(COUNTIF(I35:XFD35,"&gt;"&amp;0)-MIN($F$1+1,COUNTIF(I35:XFD35,"&gt;"&amp;0)),I$1:XFD35,A35+1,FALSE))</f>
        <v>19</v>
      </c>
      <c r="G35" s="8">
        <f t="shared" si="16"/>
        <v>1.3016701615831436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</row>
    <row r="36" spans="1:31" x14ac:dyDescent="0.25">
      <c r="A36" s="9">
        <f t="shared" si="15"/>
        <v>35</v>
      </c>
      <c r="B36" s="9">
        <f t="array" ref="B36">IF(C36="",0,IF(OR(C36=Country_Comparison!$S$10:$S$29),1,0))</f>
        <v>0</v>
      </c>
      <c r="C36" s="9" t="str">
        <f t="shared" si="13"/>
        <v>Japan</v>
      </c>
      <c r="D36" s="6">
        <f t="shared" si="14"/>
        <v>56</v>
      </c>
      <c r="E36" s="6">
        <f>IF(COUNTIF(I36:XFD36,"&gt;"&amp;0)=0,,HLOOKUP(COUNTIF(I36:XFD36,"&gt;"&amp;0)-1,I$1:XFD36,A36+1,FALSE))</f>
        <v>56</v>
      </c>
      <c r="F36" s="7">
        <f>IF(COUNTIF(I36:XFD36,"&gt;"&amp;0)=0,,HLOOKUP(COUNTIF(I36:XFD36,"&gt;"&amp;0)-MIN($F$1+1,COUNTIF(I36:XFD36,"&gt;"&amp;0)),I$1:XFD36,A36+1,FALSE))</f>
        <v>47</v>
      </c>
      <c r="G36" s="8">
        <f t="shared" si="16"/>
        <v>1.0356619813857011</v>
      </c>
      <c r="H36" s="13" t="s">
        <v>36</v>
      </c>
      <c r="I36" s="9">
        <v>10</v>
      </c>
      <c r="J36" s="9">
        <v>10</v>
      </c>
      <c r="K36" s="9">
        <v>15</v>
      </c>
      <c r="L36" s="9">
        <v>16</v>
      </c>
      <c r="M36" s="9">
        <v>19</v>
      </c>
      <c r="N36" s="9">
        <v>22</v>
      </c>
      <c r="O36" s="9">
        <v>22</v>
      </c>
      <c r="P36" s="9">
        <v>27</v>
      </c>
      <c r="Q36" s="9">
        <v>29</v>
      </c>
      <c r="R36" s="9">
        <v>29</v>
      </c>
      <c r="S36" s="9">
        <v>29</v>
      </c>
      <c r="T36" s="9">
        <v>33</v>
      </c>
      <c r="U36" s="9">
        <v>35</v>
      </c>
      <c r="V36" s="9">
        <v>41</v>
      </c>
      <c r="W36" s="9">
        <v>42</v>
      </c>
      <c r="X36" s="9">
        <v>43</v>
      </c>
      <c r="Y36" s="9">
        <v>45</v>
      </c>
      <c r="Z36" s="9">
        <v>47</v>
      </c>
      <c r="AA36" s="9">
        <v>49</v>
      </c>
      <c r="AB36" s="9">
        <v>52</v>
      </c>
      <c r="AC36" s="9">
        <v>54</v>
      </c>
      <c r="AD36" s="9">
        <v>54</v>
      </c>
      <c r="AE36" s="9">
        <v>56</v>
      </c>
    </row>
    <row r="37" spans="1:31" x14ac:dyDescent="0.25">
      <c r="A37" s="9">
        <f t="shared" si="15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Dominican Republic</v>
      </c>
      <c r="D37" s="6">
        <f t="shared" ref="D37:D68" si="18">MAX(I37:BD37)</f>
        <v>51</v>
      </c>
      <c r="E37" s="6">
        <f>IF(COUNTIF(I37:XFD37,"&gt;"&amp;0)=0,,HLOOKUP(COUNTIF(I37:XFD37,"&gt;"&amp;0)-1,I$1:XFD37,A37+1,FALSE))</f>
        <v>51</v>
      </c>
      <c r="F37" s="7">
        <f>IF(COUNTIF(I37:XFD37,"&gt;"&amp;0)=0,,HLOOKUP(COUNTIF(I37:XFD37,"&gt;"&amp;0)-MIN($F$1+1,COUNTIF(I37:XFD37,"&gt;"&amp;0)),I$1:XFD37,A37+1,FALSE))</f>
        <v>10</v>
      </c>
      <c r="G37" s="8">
        <f t="shared" si="16"/>
        <v>1.3852049512676265</v>
      </c>
      <c r="H37" s="13" t="s">
        <v>106</v>
      </c>
      <c r="I37" s="9">
        <v>10</v>
      </c>
      <c r="J37" s="9">
        <v>10</v>
      </c>
      <c r="K37" s="9">
        <v>20</v>
      </c>
      <c r="L37" s="9">
        <v>28</v>
      </c>
      <c r="M37" s="9">
        <v>39</v>
      </c>
      <c r="N37" s="9">
        <v>42</v>
      </c>
      <c r="O37" s="9">
        <v>51</v>
      </c>
    </row>
    <row r="38" spans="1:31" x14ac:dyDescent="0.25">
      <c r="A38" s="9">
        <f t="shared" si="15"/>
        <v>37</v>
      </c>
      <c r="B38" s="9">
        <f t="array" ref="B38">IF(C38="",0,IF(OR(C38=Country_Comparison!$S$10:$S$29),1,0))</f>
        <v>0</v>
      </c>
      <c r="C38" s="9" t="str">
        <f t="shared" si="17"/>
        <v>Iraq</v>
      </c>
      <c r="D38" s="6">
        <f t="shared" si="18"/>
        <v>50</v>
      </c>
      <c r="E38" s="6">
        <f>IF(COUNTIF(I38:XFD38,"&gt;"&amp;0)=0,,HLOOKUP(COUNTIF(I38:XFD38,"&gt;"&amp;0)-1,I$1:XFD38,A38+1,FALSE))</f>
        <v>50</v>
      </c>
      <c r="F38" s="7">
        <f>IF(COUNTIF(I38:XFD38,"&gt;"&amp;0)=0,,HLOOKUP(COUNTIF(I38:XFD38,"&gt;"&amp;0)-MIN($F$1+1,COUNTIF(I38:XFD38,"&gt;"&amp;0)),I$1:XFD38,A38+1,FALSE))</f>
        <v>36</v>
      </c>
      <c r="G38" s="8">
        <f t="shared" si="16"/>
        <v>1.0679071658456021</v>
      </c>
      <c r="H38" s="13" t="s">
        <v>70</v>
      </c>
      <c r="I38" s="9">
        <v>8</v>
      </c>
      <c r="J38" s="9">
        <v>9</v>
      </c>
      <c r="K38" s="9">
        <v>10</v>
      </c>
      <c r="L38" s="9">
        <v>10</v>
      </c>
      <c r="M38" s="9">
        <v>10</v>
      </c>
      <c r="N38" s="9">
        <v>11</v>
      </c>
      <c r="O38" s="9">
        <v>12</v>
      </c>
      <c r="P38" s="9">
        <v>13</v>
      </c>
      <c r="Q38" s="9">
        <v>17</v>
      </c>
      <c r="R38" s="9">
        <v>17</v>
      </c>
      <c r="S38" s="9">
        <v>20</v>
      </c>
      <c r="T38" s="9">
        <v>23</v>
      </c>
      <c r="U38" s="9">
        <v>27</v>
      </c>
      <c r="V38" s="9">
        <v>29</v>
      </c>
      <c r="W38" s="9">
        <v>36</v>
      </c>
      <c r="X38" s="9">
        <v>40</v>
      </c>
      <c r="Y38" s="9">
        <v>42</v>
      </c>
      <c r="Z38" s="9">
        <v>42</v>
      </c>
      <c r="AA38" s="9">
        <v>46</v>
      </c>
      <c r="AB38" s="9">
        <v>50</v>
      </c>
    </row>
    <row r="39" spans="1:31" x14ac:dyDescent="0.25">
      <c r="A39" s="9">
        <f t="shared" si="15"/>
        <v>38</v>
      </c>
      <c r="B39" s="9">
        <f t="array" ref="B39">IF(C39="",0,IF(OR(C39=Country_Comparison!$S$10:$S$29),1,0))</f>
        <v>0</v>
      </c>
      <c r="C39" s="9" t="str">
        <f t="shared" si="17"/>
        <v>Greece</v>
      </c>
      <c r="D39" s="6">
        <f t="shared" si="18"/>
        <v>49</v>
      </c>
      <c r="E39" s="6">
        <f>IF(COUNTIF(I39:XFD39,"&gt;"&amp;0)=0,,HLOOKUP(COUNTIF(I39:XFD39,"&gt;"&amp;0)-1,I$1:XFD39,A39+1,FALSE))</f>
        <v>49</v>
      </c>
      <c r="F39" s="7">
        <f>IF(COUNTIF(I39:XFD39,"&gt;"&amp;0)=0,,HLOOKUP(COUNTIF(I39:XFD39,"&gt;"&amp;0)-MIN($F$1+1,COUNTIF(I39:XFD39,"&gt;"&amp;0)),I$1:XFD39,A39+1,FALSE))</f>
        <v>26</v>
      </c>
      <c r="G39" s="8">
        <f t="shared" si="16"/>
        <v>1.1351272418627076</v>
      </c>
      <c r="H39" s="13" t="s">
        <v>83</v>
      </c>
      <c r="I39" s="9">
        <v>13</v>
      </c>
      <c r="J39" s="9">
        <v>15</v>
      </c>
      <c r="K39" s="9">
        <v>17</v>
      </c>
      <c r="L39" s="9">
        <v>20</v>
      </c>
      <c r="M39" s="9">
        <v>22</v>
      </c>
      <c r="N39" s="9">
        <v>26</v>
      </c>
      <c r="O39" s="9">
        <v>28</v>
      </c>
      <c r="P39" s="9">
        <v>32</v>
      </c>
      <c r="Q39" s="9">
        <v>38</v>
      </c>
      <c r="R39" s="9">
        <v>43</v>
      </c>
      <c r="S39" s="9">
        <v>49</v>
      </c>
    </row>
    <row r="40" spans="1:31" x14ac:dyDescent="0.25">
      <c r="A40" s="9">
        <f t="shared" si="15"/>
        <v>39</v>
      </c>
      <c r="B40" s="9">
        <f t="array" ref="B40">IF(C40="",0,IF(OR(C40=Country_Comparison!$S$10:$S$29),1,0))</f>
        <v>0</v>
      </c>
      <c r="C40" s="9" t="str">
        <f t="shared" si="17"/>
        <v>Egypt</v>
      </c>
      <c r="D40" s="6">
        <f t="shared" si="18"/>
        <v>46</v>
      </c>
      <c r="E40" s="6">
        <f>IF(COUNTIF(I40:XFD40,"&gt;"&amp;0)=0,,HLOOKUP(COUNTIF(I40:XFD40,"&gt;"&amp;0)-1,I$1:XFD40,A40+1,FALSE))</f>
        <v>46</v>
      </c>
      <c r="F40" s="7">
        <f>IF(COUNTIF(I40:XFD40,"&gt;"&amp;0)=0,,HLOOKUP(COUNTIF(I40:XFD40,"&gt;"&amp;0)-MIN($F$1+1,COUNTIF(I40:XFD40,"&gt;"&amp;0)),I$1:XFD40,A40+1,FALSE))</f>
        <v>24</v>
      </c>
      <c r="G40" s="8">
        <f t="shared" si="16"/>
        <v>1.1389622185878991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  <c r="T40" s="9">
        <v>46</v>
      </c>
    </row>
    <row r="41" spans="1:31" x14ac:dyDescent="0.25">
      <c r="A41" s="9">
        <f t="shared" si="15"/>
        <v>40</v>
      </c>
      <c r="B41" s="9">
        <f t="array" ref="B41">IF(C41="",0,IF(OR(C41=Country_Comparison!$S$10:$S$29),1,0))</f>
        <v>0</v>
      </c>
      <c r="C41" s="9" t="str">
        <f t="shared" si="17"/>
        <v>Algeria</v>
      </c>
      <c r="D41" s="6">
        <f t="shared" si="18"/>
        <v>44</v>
      </c>
      <c r="E41" s="6">
        <f>IF(COUNTIF(I41:XFD41,"&gt;"&amp;0)=0,,HLOOKUP(COUNTIF(I41:XFD41,"&gt;"&amp;0)-1,I$1:XFD41,A41+1,FALSE))</f>
        <v>44</v>
      </c>
      <c r="F41" s="7">
        <f>IF(COUNTIF(I41:XFD41,"&gt;"&amp;0)=0,,HLOOKUP(COUNTIF(I41:XFD41,"&gt;"&amp;0)-MIN($F$1+1,COUNTIF(I41:XFD41,"&gt;"&amp;0)),I$1:XFD41,A41+1,FALSE))</f>
        <v>25</v>
      </c>
      <c r="G41" s="8">
        <f t="shared" si="16"/>
        <v>1.1197022052804315</v>
      </c>
      <c r="H41" s="13" t="s">
        <v>75</v>
      </c>
      <c r="I41" s="9">
        <v>9</v>
      </c>
      <c r="J41" s="9">
        <v>11</v>
      </c>
      <c r="K41" s="9">
        <v>15</v>
      </c>
      <c r="L41" s="9">
        <v>17</v>
      </c>
      <c r="M41" s="9">
        <v>17</v>
      </c>
      <c r="N41" s="9">
        <v>19</v>
      </c>
      <c r="O41" s="9">
        <v>21</v>
      </c>
      <c r="P41" s="9">
        <v>25</v>
      </c>
      <c r="Q41" s="9">
        <v>26</v>
      </c>
      <c r="R41" s="9">
        <v>29</v>
      </c>
      <c r="S41" s="9">
        <v>31</v>
      </c>
      <c r="T41" s="9">
        <v>35</v>
      </c>
      <c r="U41" s="9">
        <v>44</v>
      </c>
    </row>
    <row r="42" spans="1:31" x14ac:dyDescent="0.25">
      <c r="A42" s="9">
        <f t="shared" si="15"/>
        <v>41</v>
      </c>
      <c r="B42" s="9">
        <f t="array" ref="B42">IF(C42="",0,IF(OR(C42=Country_Comparison!$S$10:$S$29),1,0))</f>
        <v>0</v>
      </c>
      <c r="C42" s="9" t="str">
        <f t="shared" si="17"/>
        <v>Malaysia</v>
      </c>
      <c r="D42" s="6">
        <f t="shared" si="18"/>
        <v>43</v>
      </c>
      <c r="E42" s="6">
        <f>IF(COUNTIF(I42:XFD42,"&gt;"&amp;0)=0,,HLOOKUP(COUNTIF(I42:XFD42,"&gt;"&amp;0)-1,I$1:XFD42,A42+1,FALSE))</f>
        <v>43</v>
      </c>
      <c r="F42" s="7">
        <f>IF(COUNTIF(I42:XFD42,"&gt;"&amp;0)=0,,HLOOKUP(COUNTIF(I42:XFD42,"&gt;"&amp;0)-MIN($F$1+1,COUNTIF(I42:XFD42,"&gt;"&amp;0)),I$1:XFD42,A42+1,FALSE))</f>
        <v>23</v>
      </c>
      <c r="G42" s="8">
        <f t="shared" si="16"/>
        <v>1.1333084422054029</v>
      </c>
      <c r="H42" s="13" t="s">
        <v>43</v>
      </c>
      <c r="I42" s="9">
        <v>10</v>
      </c>
      <c r="J42" s="9">
        <v>14</v>
      </c>
      <c r="K42" s="9">
        <v>16</v>
      </c>
      <c r="L42" s="9">
        <v>20</v>
      </c>
      <c r="M42" s="9">
        <v>23</v>
      </c>
      <c r="N42" s="9">
        <v>26</v>
      </c>
      <c r="O42" s="9">
        <v>27</v>
      </c>
      <c r="P42" s="9">
        <v>35</v>
      </c>
      <c r="Q42" s="9">
        <v>37</v>
      </c>
      <c r="R42" s="9">
        <v>43</v>
      </c>
    </row>
    <row r="43" spans="1:31" x14ac:dyDescent="0.25">
      <c r="A43" s="9">
        <f t="shared" si="15"/>
        <v>42</v>
      </c>
      <c r="B43" s="9">
        <f t="array" ref="B43">IF(C43="",0,IF(OR(C43=Country_Comparison!$S$10:$S$29),1,0))</f>
        <v>0</v>
      </c>
      <c r="C43" s="9" t="str">
        <f t="shared" si="17"/>
        <v>Norway</v>
      </c>
      <c r="D43" s="6">
        <f t="shared" si="18"/>
        <v>39</v>
      </c>
      <c r="E43" s="6">
        <f>IF(COUNTIF(I43:XFD43,"&gt;"&amp;0)=0,,HLOOKUP(COUNTIF(I43:XFD43,"&gt;"&amp;0)-1,I$1:XFD43,A43+1,FALSE))</f>
        <v>39</v>
      </c>
      <c r="F43" s="7">
        <f>IF(COUNTIF(I43:XFD43,"&gt;"&amp;0)=0,,HLOOKUP(COUNTIF(I43:XFD43,"&gt;"&amp;0)-MIN($F$1+1,COUNTIF(I43:XFD43,"&gt;"&amp;0)),I$1:XFD43,A43+1,FALSE))</f>
        <v>14</v>
      </c>
      <c r="G43" s="8">
        <f t="shared" si="16"/>
        <v>1.2274033782145131</v>
      </c>
      <c r="H43" s="13" t="s">
        <v>85</v>
      </c>
      <c r="I43" s="9">
        <v>10</v>
      </c>
      <c r="J43" s="9">
        <v>12</v>
      </c>
      <c r="K43" s="9">
        <v>14</v>
      </c>
      <c r="L43" s="9">
        <v>14</v>
      </c>
      <c r="M43" s="9">
        <v>19</v>
      </c>
      <c r="N43" s="9">
        <v>23</v>
      </c>
      <c r="O43" s="9">
        <v>25</v>
      </c>
      <c r="P43" s="9">
        <v>32</v>
      </c>
      <c r="Q43" s="9">
        <v>39</v>
      </c>
    </row>
    <row r="44" spans="1:31" x14ac:dyDescent="0.25">
      <c r="A44" s="9">
        <f t="shared" si="15"/>
        <v>43</v>
      </c>
      <c r="B44" s="9">
        <f t="array" ref="B44">IF(C44="",0,IF(OR(C44=Country_Comparison!$S$10:$S$29),1,0))</f>
        <v>0</v>
      </c>
      <c r="C44" s="9" t="str">
        <f t="shared" si="17"/>
        <v>Morocco</v>
      </c>
      <c r="D44" s="6">
        <f t="shared" si="18"/>
        <v>36</v>
      </c>
      <c r="E44" s="6">
        <f>IF(COUNTIF(I44:XFD44,"&gt;"&amp;0)=0,,HLOOKUP(COUNTIF(I44:XFD44,"&gt;"&amp;0)-1,I$1:XFD44,A44+1,FALSE))</f>
        <v>36</v>
      </c>
      <c r="F44" s="7">
        <f>IF(COUNTIF(I44:XFD44,"&gt;"&amp;0)=0,,HLOOKUP(COUNTIF(I44:XFD44,"&gt;"&amp;0)-MIN($F$1+1,COUNTIF(I44:XFD44,"&gt;"&amp;0)),I$1:XFD44,A44+1,FALSE))</f>
        <v>11</v>
      </c>
      <c r="G44" s="8">
        <f t="shared" si="16"/>
        <v>1.2675992195350152</v>
      </c>
      <c r="H44" s="13" t="s">
        <v>112</v>
      </c>
      <c r="I44" s="9">
        <v>11</v>
      </c>
      <c r="J44" s="9">
        <v>23</v>
      </c>
      <c r="K44" s="9">
        <v>25</v>
      </c>
      <c r="L44" s="9">
        <v>26</v>
      </c>
      <c r="M44" s="9">
        <v>33</v>
      </c>
      <c r="N44" s="9">
        <v>36</v>
      </c>
    </row>
    <row r="45" spans="1:31" x14ac:dyDescent="0.25">
      <c r="A45" s="9">
        <f t="shared" si="15"/>
        <v>44</v>
      </c>
      <c r="B45" s="9">
        <f t="array" ref="B45">IF(C45="",0,IF(OR(C45=Country_Comparison!$S$10:$S$29),1,0))</f>
        <v>0</v>
      </c>
      <c r="C45" s="9" t="str">
        <f t="shared" si="17"/>
        <v>India</v>
      </c>
      <c r="D45" s="6">
        <f t="shared" si="18"/>
        <v>35</v>
      </c>
      <c r="E45" s="6">
        <f>IF(COUNTIF(I45:XFD45,"&gt;"&amp;0)=0,,HLOOKUP(COUNTIF(I45:XFD45,"&gt;"&amp;0)-1,I$1:XFD45,A45+1,FALSE))</f>
        <v>35</v>
      </c>
      <c r="F45" s="7">
        <f>IF(COUNTIF(I45:XFD45,"&gt;"&amp;0)=0,,HLOOKUP(COUNTIF(I45:XFD45,"&gt;"&amp;0)-MIN($F$1+1,COUNTIF(I45:XFD45,"&gt;"&amp;0)),I$1:XFD45,A45+1,FALSE))</f>
        <v>20</v>
      </c>
      <c r="G45" s="8">
        <f t="shared" si="16"/>
        <v>1.1184269147201447</v>
      </c>
      <c r="H45" s="13" t="s">
        <v>57</v>
      </c>
      <c r="I45" s="9">
        <v>10</v>
      </c>
      <c r="J45" s="9">
        <v>10</v>
      </c>
      <c r="K45" s="9">
        <v>12</v>
      </c>
      <c r="L45" s="9">
        <v>20</v>
      </c>
      <c r="M45" s="9">
        <v>20</v>
      </c>
      <c r="N45" s="9">
        <v>24</v>
      </c>
      <c r="O45" s="9">
        <v>27</v>
      </c>
      <c r="P45" s="9">
        <v>32</v>
      </c>
      <c r="Q45" s="9">
        <v>35</v>
      </c>
    </row>
    <row r="46" spans="1:31" x14ac:dyDescent="0.25">
      <c r="A46" s="9">
        <f t="shared" si="15"/>
        <v>45</v>
      </c>
      <c r="B46" s="9">
        <f t="array" ref="B46">IF(C46="",0,IF(OR(C46=Country_Comparison!$S$10:$S$29),1,0))</f>
        <v>0</v>
      </c>
      <c r="C46" s="9" t="str">
        <f t="shared" si="17"/>
        <v>Poland</v>
      </c>
      <c r="D46" s="6">
        <f t="shared" si="18"/>
        <v>33</v>
      </c>
      <c r="E46" s="6">
        <f>IF(COUNTIF(I46:XFD46,"&gt;"&amp;0)=0,,HLOOKUP(COUNTIF(I46:XFD46,"&gt;"&amp;0)-1,I$1:XFD46,A46+1,FALSE))</f>
        <v>33</v>
      </c>
      <c r="F46" s="7">
        <f>IF(COUNTIF(I46:XFD46,"&gt;"&amp;0)=0,,HLOOKUP(COUNTIF(I46:XFD46,"&gt;"&amp;0)-MIN($F$1+1,COUNTIF(I46:XFD46,"&gt;"&amp;0)),I$1:XFD46,A46+1,FALSE))</f>
        <v>16</v>
      </c>
      <c r="G46" s="8">
        <f t="shared" si="16"/>
        <v>1.1557896243650145</v>
      </c>
      <c r="H46" s="13" t="s">
        <v>137</v>
      </c>
      <c r="I46" s="9">
        <v>8</v>
      </c>
      <c r="J46" s="9">
        <v>10</v>
      </c>
      <c r="K46" s="9">
        <v>14</v>
      </c>
      <c r="L46" s="9">
        <v>16</v>
      </c>
      <c r="M46" s="9">
        <v>16</v>
      </c>
      <c r="N46" s="9">
        <v>18</v>
      </c>
      <c r="O46" s="9">
        <v>22</v>
      </c>
      <c r="P46" s="9">
        <v>31</v>
      </c>
      <c r="Q46" s="9">
        <v>33</v>
      </c>
    </row>
    <row r="47" spans="1:31" x14ac:dyDescent="0.25">
      <c r="A47" s="9">
        <f t="shared" si="15"/>
        <v>46</v>
      </c>
      <c r="B47" s="9">
        <f t="array" ref="B47">IF(C47="",0,IF(OR(C47=Country_Comparison!$S$10:$S$29),1,0))</f>
        <v>0</v>
      </c>
      <c r="C47" s="9" t="str">
        <f t="shared" si="17"/>
        <v>Czechia</v>
      </c>
      <c r="D47" s="6">
        <f t="shared" si="18"/>
        <v>31</v>
      </c>
      <c r="E47" s="6">
        <f>IF(COUNTIF(I47:XFD47,"&gt;"&amp;0)=0,,HLOOKUP(COUNTIF(I47:XFD47,"&gt;"&amp;0)-1,I$1:XFD47,A47+1,FALSE))</f>
        <v>31</v>
      </c>
      <c r="F47" s="7">
        <f>IF(COUNTIF(I47:XFD47,"&gt;"&amp;0)=0,,HLOOKUP(COUNTIF(I47:XFD47,"&gt;"&amp;0)-MIN($F$1+1,COUNTIF(I47:XFD47,"&gt;"&amp;0)),I$1:XFD47,A47+1,FALSE))</f>
        <v>9</v>
      </c>
      <c r="G47" s="8">
        <f t="shared" si="16"/>
        <v>1.2806304880261565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</row>
    <row r="48" spans="1:31" x14ac:dyDescent="0.25">
      <c r="A48" s="9">
        <f t="shared" si="15"/>
        <v>47</v>
      </c>
      <c r="B48" s="9">
        <f t="array" ref="B48">IF(C48="",0,IF(OR(C48=Country_Comparison!$S$10:$S$29),1,0))</f>
        <v>0</v>
      </c>
      <c r="C48" s="9" t="str">
        <f t="shared" si="17"/>
        <v>Peru</v>
      </c>
      <c r="D48" s="6">
        <f t="shared" si="18"/>
        <v>30</v>
      </c>
      <c r="E48" s="6">
        <f>IF(COUNTIF(I48:XFD48,"&gt;"&amp;0)=0,,HLOOKUP(COUNTIF(I48:XFD48,"&gt;"&amp;0)-1,I$1:XFD48,A48+1,FALSE))</f>
        <v>30</v>
      </c>
      <c r="F48" s="7">
        <f>IF(COUNTIF(I48:XFD48,"&gt;"&amp;0)=0,,HLOOKUP(COUNTIF(I48:XFD48,"&gt;"&amp;0)-MIN($F$1+1,COUNTIF(I48:XFD48,"&gt;"&amp;0)),I$1:XFD48,A48+1,FALSE))</f>
        <v>9</v>
      </c>
      <c r="G48" s="8">
        <f t="shared" si="16"/>
        <v>1.2722596365393921</v>
      </c>
      <c r="H48" s="13" t="s">
        <v>160</v>
      </c>
      <c r="I48" s="9">
        <v>9</v>
      </c>
      <c r="J48" s="9">
        <v>9</v>
      </c>
      <c r="K48" s="9">
        <v>11</v>
      </c>
      <c r="L48" s="9">
        <v>16</v>
      </c>
      <c r="M48" s="9">
        <v>18</v>
      </c>
      <c r="N48" s="9">
        <v>24</v>
      </c>
      <c r="O48" s="9">
        <v>30</v>
      </c>
    </row>
    <row r="49" spans="1:22" x14ac:dyDescent="0.25">
      <c r="A49" s="9">
        <f t="shared" si="15"/>
        <v>48</v>
      </c>
      <c r="B49" s="9">
        <f t="array" ref="B49">IF(C49="",0,IF(OR(C49=Country_Comparison!$S$10:$S$29),1,0))</f>
        <v>0</v>
      </c>
      <c r="C49" s="9" t="str">
        <f t="shared" si="17"/>
        <v>Panama</v>
      </c>
      <c r="D49" s="6">
        <f t="shared" si="18"/>
        <v>30</v>
      </c>
      <c r="E49" s="6">
        <f>IF(COUNTIF(I49:XFD49,"&gt;"&amp;0)=0,,HLOOKUP(COUNTIF(I49:XFD49,"&gt;"&amp;0)-1,I$1:XFD49,A49+1,FALSE))</f>
        <v>30</v>
      </c>
      <c r="F49" s="7">
        <f>IF(COUNTIF(I49:XFD49,"&gt;"&amp;0)=0,,HLOOKUP(COUNTIF(I49:XFD49,"&gt;"&amp;0)-MIN($F$1+1,COUNTIF(I49:XFD49,"&gt;"&amp;0)),I$1:XFD49,A49+1,FALSE))</f>
        <v>8</v>
      </c>
      <c r="G49" s="8">
        <f t="shared" si="16"/>
        <v>1.3025855423486761</v>
      </c>
      <c r="H49" s="13" t="s">
        <v>283</v>
      </c>
      <c r="I49" s="9">
        <v>8</v>
      </c>
      <c r="J49" s="9">
        <v>8</v>
      </c>
      <c r="K49" s="9">
        <v>9</v>
      </c>
      <c r="L49" s="9">
        <v>14</v>
      </c>
      <c r="M49" s="9">
        <v>17</v>
      </c>
      <c r="N49" s="9">
        <v>24</v>
      </c>
      <c r="O49" s="9">
        <v>30</v>
      </c>
    </row>
    <row r="50" spans="1:22" x14ac:dyDescent="0.25">
      <c r="A50" s="9">
        <f t="shared" si="15"/>
        <v>49</v>
      </c>
      <c r="B50" s="9">
        <f t="array" ref="B50">IF(C50="",0,IF(OR(C50=Country_Comparison!$S$10:$S$29),1,0))</f>
        <v>0</v>
      </c>
      <c r="C50" s="9" t="str">
        <f t="shared" si="17"/>
        <v>Mexico</v>
      </c>
      <c r="D50" s="6">
        <f t="shared" si="18"/>
        <v>28</v>
      </c>
      <c r="E50" s="6">
        <f>IF(COUNTIF(I50:XFD50,"&gt;"&amp;0)=0,,HLOOKUP(COUNTIF(I50:XFD50,"&gt;"&amp;0)-1,I$1:XFD50,A50+1,FALSE))</f>
        <v>28</v>
      </c>
      <c r="F50" s="7">
        <f>IF(COUNTIF(I50:XFD50,"&gt;"&amp;0)=0,,HLOOKUP(COUNTIF(I50:XFD50,"&gt;"&amp;0)-MIN($F$1+1,COUNTIF(I50:XFD50,"&gt;"&amp;0)),I$1:XFD50,A50+1,FALSE))</f>
        <v>8</v>
      </c>
      <c r="G50" s="8">
        <f t="shared" si="16"/>
        <v>1.3677823998673806</v>
      </c>
      <c r="H50" s="13" t="s">
        <v>94</v>
      </c>
      <c r="I50" s="9">
        <v>8</v>
      </c>
      <c r="J50" s="9">
        <v>12</v>
      </c>
      <c r="K50" s="9">
        <v>16</v>
      </c>
      <c r="L50" s="9">
        <v>20</v>
      </c>
      <c r="M50" s="9">
        <v>28</v>
      </c>
    </row>
    <row r="51" spans="1:22" x14ac:dyDescent="0.25">
      <c r="A51" s="9">
        <f t="shared" si="15"/>
        <v>50</v>
      </c>
      <c r="B51" s="9">
        <f t="array" ref="B51">IF(C51="",0,IF(OR(C51=Country_Comparison!$S$10:$S$29),1,0))</f>
        <v>0</v>
      </c>
      <c r="C51" s="9" t="str">
        <f t="shared" si="17"/>
        <v>Argentina</v>
      </c>
      <c r="D51" s="6">
        <f t="shared" si="18"/>
        <v>27</v>
      </c>
      <c r="E51" s="6">
        <f>IF(COUNTIF(I51:XFD51,"&gt;"&amp;0)=0,,HLOOKUP(COUNTIF(I51:XFD51,"&gt;"&amp;0)-1,I$1:XFD51,A51+1,FALSE))</f>
        <v>27</v>
      </c>
      <c r="F51" s="7">
        <f>IF(COUNTIF(I51:XFD51,"&gt;"&amp;0)=0,,HLOOKUP(COUNTIF(I51:XFD51,"&gt;"&amp;0)-MIN($F$1+1,COUNTIF(I51:XFD51,"&gt;"&amp;0)),I$1:XFD51,A51+1,FALSE))</f>
        <v>9</v>
      </c>
      <c r="G51" s="8">
        <f t="shared" si="16"/>
        <v>1.2457309396155174</v>
      </c>
      <c r="H51" s="13" t="s">
        <v>123</v>
      </c>
      <c r="I51" s="9">
        <v>8</v>
      </c>
      <c r="J51" s="9">
        <v>9</v>
      </c>
      <c r="K51" s="9">
        <v>13</v>
      </c>
      <c r="L51" s="9">
        <v>18</v>
      </c>
      <c r="M51" s="9">
        <v>19</v>
      </c>
      <c r="N51" s="9">
        <v>23</v>
      </c>
      <c r="O51" s="9">
        <v>27</v>
      </c>
    </row>
    <row r="52" spans="1:22" x14ac:dyDescent="0.25">
      <c r="A52" s="9">
        <f t="shared" si="15"/>
        <v>51</v>
      </c>
      <c r="B52" s="9">
        <f t="array" ref="B52">IF(C52="",0,IF(OR(C52=Country_Comparison!$S$10:$S$29),1,0))</f>
        <v>0</v>
      </c>
      <c r="C52" s="9" t="str">
        <f t="shared" si="17"/>
        <v>San Marino</v>
      </c>
      <c r="D52" s="6">
        <f t="shared" si="18"/>
        <v>26</v>
      </c>
      <c r="E52" s="6">
        <f>IF(COUNTIF(I52:XFD52,"&gt;"&amp;0)=0,,HLOOKUP(COUNTIF(I52:XFD52,"&gt;"&amp;0)-1,I$1:XFD52,A52+1,FALSE))</f>
        <v>26</v>
      </c>
      <c r="F52" s="7">
        <f>IF(COUNTIF(I52:XFD52,"&gt;"&amp;0)=0,,HLOOKUP(COUNTIF(I52:XFD52,"&gt;"&amp;0)-MIN($F$1+1,COUNTIF(I52:XFD52,"&gt;"&amp;0)),I$1:XFD52,A52+1,FALSE))</f>
        <v>21</v>
      </c>
      <c r="G52" s="8">
        <f t="shared" si="16"/>
        <v>1.0436402271504359</v>
      </c>
      <c r="H52" s="13" t="s">
        <v>90</v>
      </c>
      <c r="I52" s="9">
        <v>11</v>
      </c>
      <c r="J52" s="9">
        <v>11</v>
      </c>
      <c r="K52" s="9">
        <v>14</v>
      </c>
      <c r="L52" s="9">
        <v>20</v>
      </c>
      <c r="M52" s="9">
        <v>20</v>
      </c>
      <c r="N52" s="9">
        <v>20</v>
      </c>
      <c r="O52" s="9">
        <v>21</v>
      </c>
      <c r="P52" s="9">
        <v>21</v>
      </c>
      <c r="Q52" s="9">
        <v>21</v>
      </c>
      <c r="R52" s="9">
        <v>21</v>
      </c>
      <c r="S52" s="9">
        <v>22</v>
      </c>
      <c r="T52" s="9">
        <v>22</v>
      </c>
      <c r="U52" s="9">
        <v>25</v>
      </c>
      <c r="V52" s="9">
        <v>26</v>
      </c>
    </row>
    <row r="53" spans="1:22" x14ac:dyDescent="0.25">
      <c r="A53" s="9">
        <f t="shared" si="15"/>
        <v>52</v>
      </c>
      <c r="B53" s="9">
        <f t="array" ref="B53">IF(C53="",0,IF(OR(C53=Country_Comparison!$S$10:$S$29),1,0))</f>
        <v>0</v>
      </c>
      <c r="C53" s="9" t="str">
        <f t="shared" si="17"/>
        <v>Pakistan</v>
      </c>
      <c r="D53" s="6">
        <f t="shared" si="18"/>
        <v>26</v>
      </c>
      <c r="E53" s="6">
        <f>IF(COUNTIF(I53:XFD53,"&gt;"&amp;0)=0,,HLOOKUP(COUNTIF(I53:XFD53,"&gt;"&amp;0)-1,I$1:XFD53,A53+1,FALSE))</f>
        <v>26</v>
      </c>
      <c r="F53" s="7">
        <f>IF(COUNTIF(I53:XFD53,"&gt;"&amp;0)=0,,HLOOKUP(COUNTIF(I53:XFD53,"&gt;"&amp;0)-MIN($F$1+1,COUNTIF(I53:XFD53,"&gt;"&amp;0)),I$1:XFD53,A53+1,FALSE))</f>
        <v>9</v>
      </c>
      <c r="G53" s="8">
        <f t="shared" si="16"/>
        <v>1.2363634783482345</v>
      </c>
      <c r="H53" s="13" t="s">
        <v>80</v>
      </c>
      <c r="I53" s="9">
        <v>8</v>
      </c>
      <c r="J53" s="9">
        <v>9</v>
      </c>
      <c r="K53" s="9">
        <v>11</v>
      </c>
      <c r="L53" s="9">
        <v>12</v>
      </c>
      <c r="M53" s="9">
        <v>14</v>
      </c>
      <c r="N53" s="9">
        <v>21</v>
      </c>
      <c r="O53" s="9">
        <v>26</v>
      </c>
    </row>
    <row r="54" spans="1:22" x14ac:dyDescent="0.25">
      <c r="A54" s="9">
        <f t="shared" si="15"/>
        <v>53</v>
      </c>
      <c r="B54" s="9">
        <f t="array" ref="B54">IF(C54="",0,IF(OR(C54=Country_Comparison!$S$10:$S$29),1,0))</f>
        <v>0</v>
      </c>
      <c r="C54" s="9" t="str">
        <f t="shared" si="17"/>
        <v>Luxembourg</v>
      </c>
      <c r="D54" s="6">
        <f t="shared" si="18"/>
        <v>23</v>
      </c>
      <c r="E54" s="6">
        <f>IF(COUNTIF(I54:XFD54,"&gt;"&amp;0)=0,,HLOOKUP(COUNTIF(I54:XFD54,"&gt;"&amp;0)-1,I$1:XFD54,A54+1,FALSE))</f>
        <v>23</v>
      </c>
      <c r="F54" s="7">
        <f>IF(COUNTIF(I54:XFD54,"&gt;"&amp;0)=0,,HLOOKUP(COUNTIF(I54:XFD54,"&gt;"&amp;0)-MIN($F$1+1,COUNTIF(I54:XFD54,"&gt;"&amp;0)),I$1:XFD54,A54+1,FALSE))</f>
        <v>9</v>
      </c>
      <c r="G54" s="8">
        <f t="shared" si="16"/>
        <v>1.2064159359821514</v>
      </c>
      <c r="H54" s="13" t="s">
        <v>99</v>
      </c>
      <c r="I54" s="9">
        <v>8</v>
      </c>
      <c r="J54" s="9">
        <v>8</v>
      </c>
      <c r="K54" s="9">
        <v>8</v>
      </c>
      <c r="L54" s="9">
        <v>8</v>
      </c>
      <c r="M54" s="9">
        <v>8</v>
      </c>
      <c r="N54" s="9">
        <v>9</v>
      </c>
      <c r="O54" s="9">
        <v>15</v>
      </c>
      <c r="P54" s="9">
        <v>18</v>
      </c>
      <c r="Q54" s="9">
        <v>21</v>
      </c>
      <c r="R54" s="9">
        <v>22</v>
      </c>
      <c r="S54" s="9">
        <v>23</v>
      </c>
    </row>
    <row r="55" spans="1:22" x14ac:dyDescent="0.25">
      <c r="A55" s="9">
        <f t="shared" si="15"/>
        <v>54</v>
      </c>
      <c r="B55" s="9">
        <f t="array" ref="B55">IF(C55="",0,IF(OR(C55=Country_Comparison!$S$10:$S$29),1,0))</f>
        <v>0</v>
      </c>
      <c r="C55" s="9" t="str">
        <f t="shared" si="17"/>
        <v>Israel</v>
      </c>
      <c r="D55" s="6">
        <f t="shared" si="18"/>
        <v>20</v>
      </c>
      <c r="E55" s="6">
        <f>IF(COUNTIF(I55:XFD55,"&gt;"&amp;0)=0,,HLOOKUP(COUNTIF(I55:XFD55,"&gt;"&amp;0)-1,I$1:XFD55,A55+1,FALSE))</f>
        <v>20</v>
      </c>
      <c r="F55" s="7">
        <f>IF(COUNTIF(I55:XFD55,"&gt;"&amp;0)=0,,HLOOKUP(COUNTIF(I55:XFD55,"&gt;"&amp;0)-MIN($F$1+1,COUNTIF(I55:XFD55,"&gt;"&amp;0)),I$1:XFD55,A55+1,FALSE))</f>
        <v>8</v>
      </c>
      <c r="G55" s="8">
        <f t="shared" si="16"/>
        <v>1.2011244339814313</v>
      </c>
      <c r="H55" s="13" t="s">
        <v>79</v>
      </c>
      <c r="I55" s="9">
        <v>8</v>
      </c>
      <c r="J55" s="9">
        <v>12</v>
      </c>
      <c r="K55" s="9">
        <v>12</v>
      </c>
      <c r="L55" s="9">
        <v>15</v>
      </c>
      <c r="M55" s="9">
        <v>16</v>
      </c>
      <c r="N55" s="9">
        <v>20</v>
      </c>
    </row>
    <row r="56" spans="1:22" x14ac:dyDescent="0.25">
      <c r="A56" s="9">
        <f t="shared" si="15"/>
        <v>55</v>
      </c>
      <c r="B56" s="9">
        <f t="array" ref="B56">IF(C56="",0,IF(OR(C56=Country_Comparison!$S$10:$S$29),1,0))</f>
        <v>0</v>
      </c>
      <c r="C56" s="9" t="str">
        <f t="shared" si="17"/>
        <v>Australia</v>
      </c>
      <c r="D56" s="6">
        <f t="shared" si="18"/>
        <v>18</v>
      </c>
      <c r="E56" s="6">
        <f>IF(COUNTIF(I56:XFD56,"&gt;"&amp;0)=0,,HLOOKUP(COUNTIF(I56:XFD56,"&gt;"&amp;0)-1,I$1:XFD56,A56+1,FALSE))</f>
        <v>18</v>
      </c>
      <c r="F56" s="7">
        <f>IF(COUNTIF(I56:XFD56,"&gt;"&amp;0)=0,,HLOOKUP(COUNTIF(I56:XFD56,"&gt;"&amp;0)-MIN($F$1+1,COUNTIF(I56:XFD56,"&gt;"&amp;0)),I$1:XFD56,A56+1,FALSE))</f>
        <v>13</v>
      </c>
      <c r="G56" s="8">
        <f t="shared" si="16"/>
        <v>1.0672491818795389</v>
      </c>
      <c r="H56" s="13" t="s">
        <v>48</v>
      </c>
      <c r="I56" s="9">
        <v>8</v>
      </c>
      <c r="J56" s="9">
        <v>8</v>
      </c>
      <c r="K56" s="9">
        <v>13</v>
      </c>
      <c r="L56" s="9">
        <v>13</v>
      </c>
      <c r="M56" s="9">
        <v>14</v>
      </c>
      <c r="N56" s="9">
        <v>16</v>
      </c>
      <c r="O56" s="9">
        <v>17</v>
      </c>
      <c r="P56" s="9">
        <v>18</v>
      </c>
    </row>
    <row r="57" spans="1:22" x14ac:dyDescent="0.25">
      <c r="A57" s="9">
        <f t="shared" si="15"/>
        <v>56</v>
      </c>
      <c r="B57" s="9">
        <f t="array" ref="B57">IF(C57="",0,IF(OR(C57=Country_Comparison!$S$10:$S$29),1,0))</f>
        <v>0</v>
      </c>
      <c r="C57" s="9" t="str">
        <f t="shared" si="17"/>
        <v>Finland</v>
      </c>
      <c r="D57" s="6">
        <f t="shared" si="18"/>
        <v>17</v>
      </c>
      <c r="E57" s="6">
        <f>IF(COUNTIF(I57:XFD57,"&gt;"&amp;0)=0,,HLOOKUP(COUNTIF(I57:XFD57,"&gt;"&amp;0)-1,I$1:XFD57,A57+1,FALSE))</f>
        <v>17</v>
      </c>
      <c r="F57" s="7">
        <f>IF(COUNTIF(I57:XFD57,"&gt;"&amp;0)=0,,HLOOKUP(COUNTIF(I57:XFD57,"&gt;"&amp;0)-MIN($F$1+1,COUNTIF(I57:XFD57,"&gt;"&amp;0)),I$1:XFD57,A57+1,FALSE))</f>
        <v>9</v>
      </c>
      <c r="G57" s="8">
        <f t="shared" si="16"/>
        <v>1.2361432564220631</v>
      </c>
      <c r="H57" s="13" t="s">
        <v>54</v>
      </c>
      <c r="I57" s="9">
        <v>9</v>
      </c>
      <c r="J57" s="9">
        <v>11</v>
      </c>
      <c r="K57" s="9">
        <v>13</v>
      </c>
      <c r="L57" s="9">
        <v>17</v>
      </c>
    </row>
    <row r="58" spans="1:22" x14ac:dyDescent="0.25">
      <c r="A58" s="9">
        <f t="shared" si="15"/>
        <v>57</v>
      </c>
      <c r="B58" s="9">
        <f t="array" ref="B58">IF(C58="",0,IF(OR(C58=Country_Comparison!$S$10:$S$29),1,0))</f>
        <v>0</v>
      </c>
      <c r="C58" s="9" t="str">
        <f t="shared" si="17"/>
        <v>Russia</v>
      </c>
      <c r="D58" s="6">
        <f t="shared" si="18"/>
        <v>17</v>
      </c>
      <c r="E58" s="6">
        <f>IF(COUNTIF(I58:XFD58,"&gt;"&amp;0)=0,,HLOOKUP(COUNTIF(I58:XFD58,"&gt;"&amp;0)-1,I$1:XFD58,A58+1,FALSE))</f>
        <v>17</v>
      </c>
      <c r="F58" s="7">
        <f>IF(COUNTIF(I58:XFD58,"&gt;"&amp;0)=0,,HLOOKUP(COUNTIF(I58:XFD58,"&gt;"&amp;0)-MIN($F$1+1,COUNTIF(I58:XFD58,"&gt;"&amp;0)),I$1:XFD58,A58+1,FALSE))</f>
        <v>8</v>
      </c>
      <c r="G58" s="8">
        <f t="shared" si="16"/>
        <v>1.4577379737113252</v>
      </c>
      <c r="H58" s="13" t="s">
        <v>344</v>
      </c>
      <c r="I58" s="9">
        <v>8</v>
      </c>
      <c r="J58" s="9">
        <v>9</v>
      </c>
      <c r="K58" s="9">
        <v>17</v>
      </c>
    </row>
    <row r="59" spans="1:22" x14ac:dyDescent="0.25">
      <c r="A59" s="9">
        <f t="shared" si="15"/>
        <v>58</v>
      </c>
      <c r="B59" s="9">
        <f t="array" ref="B59">IF(C59="",0,IF(OR(C59=Country_Comparison!$S$10:$S$29),1,0))</f>
        <v>0</v>
      </c>
      <c r="C59" s="9" t="str">
        <f t="shared" si="17"/>
        <v>Ukraine</v>
      </c>
      <c r="D59" s="6">
        <f t="shared" si="18"/>
        <v>17</v>
      </c>
      <c r="E59" s="6">
        <f>IF(COUNTIF(I59:XFD59,"&gt;"&amp;0)=0,,HLOOKUP(COUNTIF(I59:XFD59,"&gt;"&amp;0)-1,I$1:XFD59,A59+1,FALSE))</f>
        <v>17</v>
      </c>
      <c r="F59" s="7">
        <f>IF(COUNTIF(I59:XFD59,"&gt;"&amp;0)=0,,HLOOKUP(COUNTIF(I59:XFD59,"&gt;"&amp;0)-MIN($F$1+1,COUNTIF(I59:XFD59,"&gt;"&amp;0)),I$1:XFD59,A59+1,FALSE))</f>
        <v>9</v>
      </c>
      <c r="G59" s="8">
        <f t="shared" si="16"/>
        <v>1.2361432564220631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</row>
    <row r="60" spans="1:22" x14ac:dyDescent="0.25">
      <c r="A60" s="9">
        <f t="shared" si="15"/>
        <v>59</v>
      </c>
      <c r="B60" s="9">
        <f t="array" ref="B60">IF(C60="",0,IF(OR(C60=Country_Comparison!$S$10:$S$29),1,0))</f>
        <v>0</v>
      </c>
      <c r="C60" s="9" t="str">
        <f t="shared" si="17"/>
        <v>Serbia</v>
      </c>
      <c r="D60" s="6">
        <f t="shared" si="18"/>
        <v>16</v>
      </c>
      <c r="E60" s="6">
        <f>IF(COUNTIF(I60:XFD60,"&gt;"&amp;0)=0,,HLOOKUP(COUNTIF(I60:XFD60,"&gt;"&amp;0)-1,I$1:XFD60,A60+1,FALSE))</f>
        <v>16</v>
      </c>
      <c r="F60" s="7">
        <f>IF(COUNTIF(I60:XFD60,"&gt;"&amp;0)=0,,HLOOKUP(COUNTIF(I60:XFD60,"&gt;"&amp;0)-MIN($F$1+1,COUNTIF(I60:XFD60,"&gt;"&amp;0)),I$1:XFD60,A60+1,FALSE))</f>
        <v>10</v>
      </c>
      <c r="G60" s="8">
        <f t="shared" si="16"/>
        <v>1.1696070952851465</v>
      </c>
      <c r="H60" s="13" t="s">
        <v>161</v>
      </c>
      <c r="I60" s="9">
        <v>10</v>
      </c>
      <c r="J60" s="9">
        <v>13</v>
      </c>
      <c r="K60" s="9">
        <v>16</v>
      </c>
      <c r="L60" s="9">
        <v>16</v>
      </c>
    </row>
    <row r="61" spans="1:22" x14ac:dyDescent="0.25">
      <c r="A61" s="9">
        <f t="shared" si="15"/>
        <v>60</v>
      </c>
      <c r="B61" s="9">
        <f t="array" ref="B61">IF(C61="",0,IF(OR(C61=Country_Comparison!$S$10:$S$29),1,0))</f>
        <v>0</v>
      </c>
      <c r="C61" s="9" t="str">
        <f t="shared" si="17"/>
        <v>Hungary</v>
      </c>
      <c r="D61" s="6">
        <f t="shared" si="18"/>
        <v>16</v>
      </c>
      <c r="E61" s="6">
        <f>IF(COUNTIF(I61:XFD61,"&gt;"&amp;0)=0,,HLOOKUP(COUNTIF(I61:XFD61,"&gt;"&amp;0)-1,I$1:XFD61,A61+1,FALSE))</f>
        <v>16</v>
      </c>
      <c r="F61" s="7">
        <f>IF(COUNTIF(I61:XFD61,"&gt;"&amp;0)=0,,HLOOKUP(COUNTIF(I61:XFD61,"&gt;"&amp;0)-MIN($F$1+1,COUNTIF(I61:XFD61,"&gt;"&amp;0)),I$1:XFD61,A61+1,FALSE))</f>
        <v>10</v>
      </c>
      <c r="G61" s="8">
        <f t="shared" si="16"/>
        <v>1.0985605433061179</v>
      </c>
      <c r="H61" s="13" t="s">
        <v>132</v>
      </c>
      <c r="I61" s="9">
        <v>9</v>
      </c>
      <c r="J61" s="9">
        <v>10</v>
      </c>
      <c r="K61" s="9">
        <v>10</v>
      </c>
      <c r="L61" s="9">
        <v>10</v>
      </c>
      <c r="M61" s="9">
        <v>11</v>
      </c>
      <c r="N61" s="9">
        <v>13</v>
      </c>
      <c r="O61" s="9">
        <v>15</v>
      </c>
      <c r="P61" s="9">
        <v>16</v>
      </c>
    </row>
    <row r="62" spans="1:22" x14ac:dyDescent="0.25">
      <c r="A62" s="9">
        <f t="shared" si="15"/>
        <v>61</v>
      </c>
      <c r="B62" s="9">
        <f t="array" ref="B62">IF(C62="",0,IF(OR(C62=Country_Comparison!$S$10:$S$29),1,0))</f>
        <v>0</v>
      </c>
      <c r="C62" s="9" t="str">
        <f t="shared" si="17"/>
        <v>Colombia</v>
      </c>
      <c r="D62" s="6">
        <f t="shared" si="18"/>
        <v>16</v>
      </c>
      <c r="E62" s="6">
        <f>IF(COUNTIF(I62:XFD62,"&gt;"&amp;0)=0,,HLOOKUP(COUNTIF(I62:XFD62,"&gt;"&amp;0)-1,I$1:XFD62,A62+1,FALSE))</f>
        <v>16</v>
      </c>
      <c r="F62" s="7">
        <f>IF(COUNTIF(I62:XFD62,"&gt;"&amp;0)=0,,HLOOKUP(COUNTIF(I62:XFD62,"&gt;"&amp;0)-MIN($F$1+1,COUNTIF(I62:XFD62,"&gt;"&amp;0)),I$1:XFD62,A62+1,FALSE))</f>
        <v>10</v>
      </c>
      <c r="G62" s="8">
        <f t="shared" si="16"/>
        <v>1.2649110640673518</v>
      </c>
      <c r="H62" s="13" t="s">
        <v>158</v>
      </c>
      <c r="I62" s="9">
        <v>10</v>
      </c>
      <c r="J62" s="9">
        <v>12</v>
      </c>
      <c r="K62" s="9">
        <v>16</v>
      </c>
    </row>
    <row r="63" spans="1:22" x14ac:dyDescent="0.25">
      <c r="A63" s="9">
        <f t="shared" si="15"/>
        <v>62</v>
      </c>
      <c r="B63" s="9">
        <f t="array" ref="B63">IF(C63="",0,IF(OR(C63=Country_Comparison!$S$10:$S$29),1,0))</f>
        <v>0</v>
      </c>
      <c r="C63" s="9" t="str">
        <f t="shared" si="17"/>
        <v>Slovenia</v>
      </c>
      <c r="D63" s="6">
        <f t="shared" si="18"/>
        <v>15</v>
      </c>
      <c r="E63" s="6">
        <f>IF(COUNTIF(I63:XFD63,"&gt;"&amp;0)=0,,HLOOKUP(COUNTIF(I63:XFD63,"&gt;"&amp;0)-1,I$1:XFD63,A63+1,FALSE))</f>
        <v>15</v>
      </c>
      <c r="F63" s="7">
        <f>IF(COUNTIF(I63:XFD63,"&gt;"&amp;0)=0,,HLOOKUP(COUNTIF(I63:XFD63,"&gt;"&amp;0)-MIN($F$1+1,COUNTIF(I63:XFD63,"&gt;"&amp;0)),I$1:XFD63,A63+1,FALSE))</f>
        <v>9</v>
      </c>
      <c r="G63" s="8">
        <f t="shared" si="16"/>
        <v>1.1362193664674993</v>
      </c>
      <c r="H63" s="13" t="s">
        <v>141</v>
      </c>
      <c r="I63" s="9">
        <v>9</v>
      </c>
      <c r="J63" s="9">
        <v>9</v>
      </c>
      <c r="K63" s="9">
        <v>11</v>
      </c>
      <c r="L63" s="9">
        <v>11</v>
      </c>
      <c r="M63" s="9">
        <v>15</v>
      </c>
    </row>
    <row r="64" spans="1:22" x14ac:dyDescent="0.25">
      <c r="A64" s="9">
        <f t="shared" si="15"/>
        <v>63</v>
      </c>
      <c r="B64" s="9">
        <f t="array" ref="B64">IF(C64="",0,IF(OR(C64=Country_Comparison!$S$10:$S$29),1,0))</f>
        <v>0</v>
      </c>
      <c r="C64" s="9" t="str">
        <f t="shared" si="17"/>
        <v>Albania</v>
      </c>
      <c r="D64" s="6">
        <f t="shared" si="18"/>
        <v>15</v>
      </c>
      <c r="E64" s="6">
        <f>IF(COUNTIF(I64:XFD64,"&gt;"&amp;0)=0,,HLOOKUP(COUNTIF(I64:XFD64,"&gt;"&amp;0)-1,I$1:XFD64,A64+1,FALSE))</f>
        <v>15</v>
      </c>
      <c r="F64" s="7">
        <f>IF(COUNTIF(I64:XFD64,"&gt;"&amp;0)=0,,HLOOKUP(COUNTIF(I64:XFD64,"&gt;"&amp;0)-MIN($F$1+1,COUNTIF(I64:XFD64,"&gt;"&amp;0)),I$1:XFD64,A64+1,FALSE))</f>
        <v>8</v>
      </c>
      <c r="G64" s="8">
        <f t="shared" si="16"/>
        <v>1.170173659660358</v>
      </c>
      <c r="H64" s="13" t="s">
        <v>230</v>
      </c>
      <c r="I64" s="9">
        <v>8</v>
      </c>
      <c r="J64" s="9">
        <v>10</v>
      </c>
      <c r="K64" s="9">
        <v>10</v>
      </c>
      <c r="L64" s="9">
        <v>11</v>
      </c>
      <c r="M64" s="9">
        <v>15</v>
      </c>
    </row>
    <row r="65" spans="1:13" x14ac:dyDescent="0.25">
      <c r="A65" s="9">
        <f t="shared" si="15"/>
        <v>64</v>
      </c>
      <c r="B65" s="9">
        <f t="array" ref="B65">IF(C65="",0,IF(OR(C65=Country_Comparison!$S$10:$S$29),1,0))</f>
        <v>0</v>
      </c>
      <c r="C65" s="9" t="str">
        <f t="shared" si="17"/>
        <v>Burkina Faso</v>
      </c>
      <c r="D65" s="6">
        <f t="shared" si="18"/>
        <v>14</v>
      </c>
      <c r="E65" s="6">
        <f>IF(COUNTIF(I65:XFD65,"&gt;"&amp;0)=0,,HLOOKUP(COUNTIF(I65:XFD65,"&gt;"&amp;0)-1,I$1:XFD65,A65+1,FALSE))</f>
        <v>14</v>
      </c>
      <c r="F65" s="7">
        <f>IF(COUNTIF(I65:XFD65,"&gt;"&amp;0)=0,,HLOOKUP(COUNTIF(I65:XFD65,"&gt;"&amp;0)-MIN($F$1+1,COUNTIF(I65:XFD65,"&gt;"&amp;0)),I$1:XFD65,A65+1,FALSE))</f>
        <v>9</v>
      </c>
      <c r="G65" s="8">
        <f t="shared" si="16"/>
        <v>1.116789652944836</v>
      </c>
      <c r="H65" s="13" t="s">
        <v>279</v>
      </c>
      <c r="I65" s="9">
        <v>9</v>
      </c>
      <c r="J65" s="9">
        <v>11</v>
      </c>
      <c r="K65" s="9">
        <v>12</v>
      </c>
      <c r="L65" s="9">
        <v>12</v>
      </c>
      <c r="M65" s="9">
        <v>14</v>
      </c>
    </row>
    <row r="66" spans="1:13" x14ac:dyDescent="0.25">
      <c r="A66" s="9">
        <f t="shared" ref="A66:A97" si="19">A65+1</f>
        <v>65</v>
      </c>
      <c r="B66" s="9">
        <f t="array" ref="B66">IF(C66="",0,IF(OR(C66=Country_Comparison!$S$10:$S$29),1,0))</f>
        <v>0</v>
      </c>
      <c r="C66" s="9" t="str">
        <f t="shared" si="17"/>
        <v>Bosnia and Herzegovina</v>
      </c>
      <c r="D66" s="6">
        <f t="shared" si="18"/>
        <v>13</v>
      </c>
      <c r="E66" s="6">
        <f>IF(COUNTIF(I66:XFD66,"&gt;"&amp;0)=0,,HLOOKUP(COUNTIF(I66:XFD66,"&gt;"&amp;0)-1,I$1:XFD66,A66+1,FALSE))</f>
        <v>13</v>
      </c>
      <c r="F66" s="7">
        <f>IF(COUNTIF(I66:XFD66,"&gt;"&amp;0)=0,,HLOOKUP(COUNTIF(I66:XFD66,"&gt;"&amp;0)-MIN($F$1+1,COUNTIF(I66:XFD66,"&gt;"&amp;0)),I$1:XFD66,A66+1,FALSE))</f>
        <v>10</v>
      </c>
      <c r="G66" s="8">
        <f t="shared" ref="G66:G97" si="20">IF(COUNTIF(I66:XFD66,"&gt;"&amp;0)=0,,(E66/F66)^(1/MIN(COUNTIF(I66:XFD66,"&gt;"&amp;0)-1,$F$1)))</f>
        <v>1.3</v>
      </c>
      <c r="H66" s="13" t="s">
        <v>140</v>
      </c>
      <c r="I66" s="9">
        <v>10</v>
      </c>
      <c r="J66" s="9">
        <v>13</v>
      </c>
    </row>
    <row r="67" spans="1:13" x14ac:dyDescent="0.25">
      <c r="A67" s="9">
        <f t="shared" si="19"/>
        <v>66</v>
      </c>
      <c r="B67" s="9">
        <f t="array" ref="B67">IF(C67="",0,IF(OR(C67=Country_Comparison!$S$10:$S$29),1,0))</f>
        <v>0</v>
      </c>
      <c r="C67" s="9" t="str">
        <f t="shared" si="17"/>
        <v>Lebanon</v>
      </c>
      <c r="D67" s="6">
        <f t="shared" si="18"/>
        <v>12</v>
      </c>
      <c r="E67" s="6">
        <f>IF(COUNTIF(I67:XFD67,"&gt;"&amp;0)=0,,HLOOKUP(COUNTIF(I67:XFD67,"&gt;"&amp;0)-1,I$1:XFD67,A67+1,FALSE))</f>
        <v>12</v>
      </c>
      <c r="F67" s="7">
        <f>IF(COUNTIF(I67:XFD67,"&gt;"&amp;0)=0,,HLOOKUP(COUNTIF(I67:XFD67,"&gt;"&amp;0)-MIN($F$1+1,COUNTIF(I67:XFD67,"&gt;"&amp;0)),I$1:XFD67,A67+1,FALSE))</f>
        <v>8</v>
      </c>
      <c r="G67" s="8">
        <f t="shared" si="20"/>
        <v>1.1066819197003217</v>
      </c>
      <c r="H67" s="13" t="s">
        <v>67</v>
      </c>
      <c r="I67" s="9">
        <v>8</v>
      </c>
      <c r="J67" s="9">
        <v>8</v>
      </c>
      <c r="K67" s="9">
        <v>10</v>
      </c>
      <c r="L67" s="9">
        <v>11</v>
      </c>
      <c r="M67" s="9">
        <v>12</v>
      </c>
    </row>
    <row r="68" spans="1:13" x14ac:dyDescent="0.25">
      <c r="A68" s="9">
        <f t="shared" si="19"/>
        <v>67</v>
      </c>
      <c r="B68" s="9">
        <f t="array" ref="B68">IF(C68="",0,IF(OR(C68=Country_Comparison!$S$10:$S$29),1,0))</f>
        <v>0</v>
      </c>
      <c r="C68" s="9" t="str">
        <f t="shared" si="17"/>
        <v>Chile</v>
      </c>
      <c r="D68" s="6">
        <f t="shared" si="18"/>
        <v>12</v>
      </c>
      <c r="E68" s="6">
        <f>IF(COUNTIF(I68:XFD68,"&gt;"&amp;0)=0,,HLOOKUP(COUNTIF(I68:XFD68,"&gt;"&amp;0)-1,I$1:XFD68,A68+1,FALSE))</f>
        <v>12</v>
      </c>
      <c r="F68" s="7">
        <f>IF(COUNTIF(I68:XFD68,"&gt;"&amp;0)=0,,HLOOKUP(COUNTIF(I68:XFD68,"&gt;"&amp;0)-MIN($F$1+1,COUNTIF(I68:XFD68,"&gt;"&amp;0)),I$1:XFD68,A68+1,FALSE))</f>
        <v>8</v>
      </c>
      <c r="G68" s="8">
        <f t="shared" si="20"/>
        <v>1.5</v>
      </c>
      <c r="H68" s="13" t="s">
        <v>124</v>
      </c>
      <c r="I68" s="9">
        <v>8</v>
      </c>
      <c r="J68" s="9">
        <v>12</v>
      </c>
    </row>
    <row r="69" spans="1:13" x14ac:dyDescent="0.25">
      <c r="A69" s="9">
        <f t="shared" si="19"/>
        <v>68</v>
      </c>
      <c r="B69" s="9">
        <f t="array" ref="B69">IF(C69="",0,IF(OR(C69=Country_Comparison!$S$10:$S$29),1,0))</f>
        <v>0</v>
      </c>
      <c r="C69" s="9" t="str">
        <f t="shared" ref="C69:C100" si="21">IF(H69="","",H69)</f>
        <v>Andorra</v>
      </c>
      <c r="D69" s="6">
        <f t="shared" ref="D69:D100" si="22">MAX(I69:BD69)</f>
        <v>12</v>
      </c>
      <c r="E69" s="6">
        <f>IF(COUNTIF(I69:XFD69,"&gt;"&amp;0)=0,,HLOOKUP(COUNTIF(I69:XFD69,"&gt;"&amp;0)-1,I$1:XFD69,A69+1,FALSE))</f>
        <v>12</v>
      </c>
      <c r="F69" s="7">
        <f>IF(COUNTIF(I69:XFD69,"&gt;"&amp;0)=0,,HLOOKUP(COUNTIF(I69:XFD69,"&gt;"&amp;0)-MIN($F$1+1,COUNTIF(I69:XFD69,"&gt;"&amp;0)),I$1:XFD69,A69+1,FALSE))</f>
        <v>8</v>
      </c>
      <c r="G69" s="8">
        <f t="shared" si="20"/>
        <v>1.5</v>
      </c>
      <c r="H69" s="13" t="s">
        <v>109</v>
      </c>
      <c r="I69" s="9">
        <v>8</v>
      </c>
      <c r="J69" s="9">
        <v>12</v>
      </c>
    </row>
    <row r="70" spans="1:13" x14ac:dyDescent="0.25">
      <c r="A70" s="9">
        <f t="shared" si="19"/>
        <v>69</v>
      </c>
      <c r="B70" s="9">
        <f t="array" ref="B70">IF(C70="",0,IF(OR(C70=Country_Comparison!$S$10:$S$29),1,0))</f>
        <v>0</v>
      </c>
      <c r="C70" s="9" t="str">
        <f t="shared" si="21"/>
        <v>Saudi Arabia</v>
      </c>
      <c r="D70" s="6">
        <f t="shared" si="22"/>
        <v>10</v>
      </c>
      <c r="E70" s="6">
        <f>IF(COUNTIF(I70:XFD70,"&gt;"&amp;0)=0,,HLOOKUP(COUNTIF(I70:XFD70,"&gt;"&amp;0)-1,I$1:XFD70,A70+1,FALSE))</f>
        <v>10</v>
      </c>
      <c r="F70" s="7">
        <f>IF(COUNTIF(I70:XFD70,"&gt;"&amp;0)=0,,HLOOKUP(COUNTIF(I70:XFD70,"&gt;"&amp;0)-MIN($F$1+1,COUNTIF(I70:XFD70,"&gt;"&amp;0)),I$1:XFD70,A70+1,FALSE))</f>
        <v>8</v>
      </c>
      <c r="G70" s="8">
        <f t="shared" si="20"/>
        <v>1.1180339887498949</v>
      </c>
      <c r="H70" s="13" t="s">
        <v>113</v>
      </c>
      <c r="I70" s="9">
        <v>8</v>
      </c>
      <c r="J70" s="9">
        <v>8</v>
      </c>
      <c r="K70" s="9">
        <v>10</v>
      </c>
    </row>
    <row r="71" spans="1:13" x14ac:dyDescent="0.25">
      <c r="A71" s="9">
        <f t="shared" si="19"/>
        <v>70</v>
      </c>
      <c r="B71" s="9">
        <f t="array" ref="B71">IF(C71="",0,IF(OR(C71=Country_Comparison!$S$10:$S$29),1,0))</f>
        <v>0</v>
      </c>
      <c r="C71" s="9" t="str">
        <f t="shared" si="21"/>
        <v>Thailand</v>
      </c>
      <c r="D71" s="6">
        <f t="shared" si="22"/>
        <v>10</v>
      </c>
      <c r="E71" s="6">
        <f>IF(COUNTIF(I71:XFD71,"&gt;"&amp;0)=0,,HLOOKUP(COUNTIF(I71:XFD71,"&gt;"&amp;0)-1,I$1:XFD71,A71+1,FALSE))</f>
        <v>10</v>
      </c>
      <c r="F71" s="7">
        <f>IF(COUNTIF(I71:XFD71,"&gt;"&amp;0)=0,,HLOOKUP(COUNTIF(I71:XFD71,"&gt;"&amp;0)-MIN($F$1+1,COUNTIF(I71:XFD71,"&gt;"&amp;0)),I$1:XFD71,A71+1,FALSE))</f>
        <v>9</v>
      </c>
      <c r="G71" s="8">
        <f t="shared" si="20"/>
        <v>1.1111111111111112</v>
      </c>
      <c r="H71" s="13" t="s">
        <v>35</v>
      </c>
      <c r="I71" s="9">
        <v>9</v>
      </c>
      <c r="J71" s="9">
        <v>10</v>
      </c>
    </row>
    <row r="72" spans="1:13" x14ac:dyDescent="0.25">
      <c r="A72" s="9">
        <f t="shared" si="19"/>
        <v>71</v>
      </c>
      <c r="B72" s="9">
        <f t="array" ref="B72">IF(C72="",0,IF(OR(C72=Country_Comparison!$S$10:$S$29),1,0))</f>
        <v>0</v>
      </c>
      <c r="C72" s="9" t="str">
        <f t="shared" si="21"/>
        <v>Tunisia</v>
      </c>
      <c r="D72" s="6">
        <f t="shared" si="22"/>
        <v>10</v>
      </c>
      <c r="E72" s="6">
        <f>IF(COUNTIF(I72:XFD72,"&gt;"&amp;0)=0,,HLOOKUP(COUNTIF(I72:XFD72,"&gt;"&amp;0)-1,I$1:XFD72,A72+1,FALSE))</f>
        <v>10</v>
      </c>
      <c r="F72" s="7">
        <f>IF(COUNTIF(I72:XFD72,"&gt;"&amp;0)=0,,HLOOKUP(COUNTIF(I72:XFD72,"&gt;"&amp;0)-MIN($F$1+1,COUNTIF(I72:XFD72,"&gt;"&amp;0)),I$1:XFD72,A72+1,FALSE))</f>
        <v>8</v>
      </c>
      <c r="G72" s="8">
        <f t="shared" si="20"/>
        <v>1.0772173450159419</v>
      </c>
      <c r="H72" s="13" t="s">
        <v>138</v>
      </c>
      <c r="I72" s="9">
        <v>8</v>
      </c>
      <c r="J72" s="9">
        <v>8</v>
      </c>
      <c r="K72" s="9">
        <v>8</v>
      </c>
      <c r="L72" s="9">
        <v>10</v>
      </c>
    </row>
    <row r="73" spans="1:13" x14ac:dyDescent="0.25">
      <c r="A73" s="9">
        <f t="shared" si="19"/>
        <v>72</v>
      </c>
      <c r="B73" s="9">
        <f t="array" ref="B73">IF(C73="",0,IF(OR(C73=Country_Comparison!$S$10:$S$29),1,0))</f>
        <v>0</v>
      </c>
      <c r="C73" s="9" t="str">
        <f t="shared" si="21"/>
        <v>North Macedonia</v>
      </c>
      <c r="D73" s="6">
        <f t="shared" si="22"/>
        <v>9</v>
      </c>
      <c r="E73" s="6">
        <f>IF(COUNTIF(I73:XFD73,"&gt;"&amp;0)=0,,HLOOKUP(COUNTIF(I73:XFD73,"&gt;"&amp;0)-1,I$1:XFD73,A73+1,FALSE))</f>
        <v>9</v>
      </c>
      <c r="F73" s="7">
        <f>IF(COUNTIF(I73:XFD73,"&gt;"&amp;0)=0,,HLOOKUP(COUNTIF(I73:XFD73,"&gt;"&amp;0)-MIN($F$1+1,COUNTIF(I73:XFD73,"&gt;"&amp;0)),I$1:XFD73,A73+1,FALSE))</f>
        <v>9</v>
      </c>
      <c r="G73" s="8" t="e">
        <f t="shared" si="20"/>
        <v>#DIV/0!</v>
      </c>
      <c r="H73" s="13" t="s">
        <v>84</v>
      </c>
      <c r="I73" s="9">
        <v>9</v>
      </c>
    </row>
    <row r="74" spans="1:13" x14ac:dyDescent="0.25">
      <c r="A74" s="9">
        <f t="shared" si="19"/>
        <v>73</v>
      </c>
      <c r="B74" s="9">
        <f t="array" ref="B74">IF(C74="",0,IF(OR(C74=Country_Comparison!$S$10:$S$29),1,0))</f>
        <v>0</v>
      </c>
      <c r="C74" s="9" t="str">
        <f t="shared" si="21"/>
        <v>Bulgaria</v>
      </c>
      <c r="D74" s="6">
        <f t="shared" si="22"/>
        <v>8</v>
      </c>
      <c r="E74" s="6">
        <f>IF(COUNTIF(I74:XFD74,"&gt;"&amp;0)=0,,HLOOKUP(COUNTIF(I74:XFD74,"&gt;"&amp;0)-1,I$1:XFD74,A74+1,FALSE))</f>
        <v>8</v>
      </c>
      <c r="F74" s="7">
        <f>IF(COUNTIF(I74:XFD74,"&gt;"&amp;0)=0,,HLOOKUP(COUNTIF(I74:XFD74,"&gt;"&amp;0)-MIN($F$1+1,COUNTIF(I74:XFD74,"&gt;"&amp;0)),I$1:XFD74,A74+1,FALSE))</f>
        <v>8</v>
      </c>
      <c r="G74" s="8">
        <f t="shared" si="20"/>
        <v>1</v>
      </c>
      <c r="H74" s="13" t="s">
        <v>199</v>
      </c>
      <c r="I74" s="9">
        <v>8</v>
      </c>
      <c r="J74" s="9">
        <v>8</v>
      </c>
      <c r="K74" s="9">
        <v>8</v>
      </c>
    </row>
    <row r="75" spans="1:13" x14ac:dyDescent="0.25">
      <c r="A75" s="9">
        <f t="shared" si="19"/>
        <v>74</v>
      </c>
      <c r="B75" s="9">
        <f t="array" ref="B75">IF(C75="",0,IF(OR(C75=Country_Comparison!$S$10:$S$29),1,0))</f>
        <v>0</v>
      </c>
      <c r="C75" s="9" t="str">
        <f t="shared" si="21"/>
        <v>Cyprus</v>
      </c>
      <c r="D75" s="6">
        <f t="shared" si="22"/>
        <v>8</v>
      </c>
      <c r="E75" s="6">
        <f>IF(COUNTIF(I75:XFD75,"&gt;"&amp;0)=0,,HLOOKUP(COUNTIF(I75:XFD75,"&gt;"&amp;0)-1,I$1:XFD75,A75+1,FALSE))</f>
        <v>8</v>
      </c>
      <c r="F75" s="7">
        <f>IF(COUNTIF(I75:XFD75,"&gt;"&amp;0)=0,,HLOOKUP(COUNTIF(I75:XFD75,"&gt;"&amp;0)-MIN($F$1+1,COUNTIF(I75:XFD75,"&gt;"&amp;0)),I$1:XFD75,A75+1,FALSE))</f>
        <v>8</v>
      </c>
      <c r="G75" s="8" t="e">
        <f t="shared" si="20"/>
        <v>#DIV/0!</v>
      </c>
      <c r="H75" s="13" t="s">
        <v>231</v>
      </c>
      <c r="I75" s="9">
        <v>8</v>
      </c>
    </row>
    <row r="76" spans="1:13" x14ac:dyDescent="0.25">
      <c r="A76" s="9">
        <f t="shared" si="19"/>
        <v>75</v>
      </c>
      <c r="B76" s="9">
        <f t="array" ref="B76">IF(C76="",0,IF(OR(C76=Country_Comparison!$S$10:$S$29),1,0))</f>
        <v>0</v>
      </c>
      <c r="C76" s="9" t="str">
        <f t="shared" si="21"/>
        <v>Lithuania</v>
      </c>
      <c r="D76" s="6">
        <f t="shared" si="22"/>
        <v>8</v>
      </c>
      <c r="E76" s="6">
        <f>IF(COUNTIF(I76:XFD76,"&gt;"&amp;0)=0,,HLOOKUP(COUNTIF(I76:XFD76,"&gt;"&amp;0)-1,I$1:XFD76,A76+1,FALSE))</f>
        <v>8</v>
      </c>
      <c r="F76" s="7">
        <f>IF(COUNTIF(I76:XFD76,"&gt;"&amp;0)=0,,HLOOKUP(COUNTIF(I76:XFD76,"&gt;"&amp;0)-MIN($F$1+1,COUNTIF(I76:XFD76,"&gt;"&amp;0)),I$1:XFD76,A76+1,FALSE))</f>
        <v>8</v>
      </c>
      <c r="G76" s="8" t="e">
        <f t="shared" si="20"/>
        <v>#DIV/0!</v>
      </c>
      <c r="H76" s="13" t="s">
        <v>93</v>
      </c>
      <c r="I76" s="9">
        <v>8</v>
      </c>
    </row>
    <row r="77" spans="1:13" x14ac:dyDescent="0.25">
      <c r="A77" s="9">
        <f t="shared" si="19"/>
        <v>76</v>
      </c>
      <c r="B77" s="9">
        <f t="array" ref="B77">IF(C77="",0,IF(OR(C77=Country_Comparison!$S$10:$S$29),1,0))</f>
        <v>0</v>
      </c>
      <c r="C77" s="9" t="str">
        <f t="shared" si="21"/>
        <v>Congo (Kinshasa)</v>
      </c>
      <c r="D77" s="6">
        <f t="shared" si="22"/>
        <v>8</v>
      </c>
      <c r="E77" s="6">
        <f>IF(COUNTIF(I77:XFD77,"&gt;"&amp;0)=0,,HLOOKUP(COUNTIF(I77:XFD77,"&gt;"&amp;0)-1,I$1:XFD77,A77+1,FALSE))</f>
        <v>8</v>
      </c>
      <c r="F77" s="7">
        <f>IF(COUNTIF(I77:XFD77,"&gt;"&amp;0)=0,,HLOOKUP(COUNTIF(I77:XFD77,"&gt;"&amp;0)-MIN($F$1+1,COUNTIF(I77:XFD77,"&gt;"&amp;0)),I$1:XFD77,A77+1,FALSE))</f>
        <v>8</v>
      </c>
      <c r="G77" s="8">
        <f t="shared" si="20"/>
        <v>1</v>
      </c>
      <c r="H77" s="13" t="s">
        <v>351</v>
      </c>
      <c r="I77" s="9">
        <v>8</v>
      </c>
      <c r="J77" s="9">
        <v>8</v>
      </c>
    </row>
    <row r="78" spans="1:13" x14ac:dyDescent="0.25">
      <c r="A78" s="9">
        <f t="shared" si="19"/>
        <v>77</v>
      </c>
      <c r="B78" s="9">
        <f t="array" ref="B78">IF(C78="",0,IF(OR(C78=Country_Comparison!$S$10:$S$29),1,0))</f>
        <v>0</v>
      </c>
      <c r="C78" s="9" t="str">
        <f t="shared" si="21"/>
        <v/>
      </c>
      <c r="D78" s="6">
        <f t="shared" si="22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13" x14ac:dyDescent="0.25">
      <c r="A79" s="9">
        <f t="shared" si="19"/>
        <v>78</v>
      </c>
      <c r="B79" s="9">
        <f t="array" ref="B79">IF(C79="",0,IF(OR(C79=Country_Comparison!$S$10:$S$29),1,0))</f>
        <v>0</v>
      </c>
      <c r="C79" s="9" t="str">
        <f t="shared" si="21"/>
        <v/>
      </c>
      <c r="D79" s="6">
        <f t="shared" si="22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13" x14ac:dyDescent="0.25">
      <c r="A80" s="9">
        <f t="shared" si="19"/>
        <v>79</v>
      </c>
      <c r="B80" s="9">
        <f t="array" ref="B80">IF(C80="",0,IF(OR(C80=Country_Comparison!$S$10:$S$29),1,0))</f>
        <v>0</v>
      </c>
      <c r="C80" s="9" t="str">
        <f t="shared" si="21"/>
        <v/>
      </c>
      <c r="D80" s="6">
        <f t="shared" si="22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19"/>
        <v>80</v>
      </c>
      <c r="B81" s="9">
        <f t="array" ref="B81">IF(C81="",0,IF(OR(C81=Country_Comparison!$S$10:$S$29),1,0))</f>
        <v>0</v>
      </c>
      <c r="C81" s="9" t="str">
        <f t="shared" si="21"/>
        <v/>
      </c>
      <c r="D81" s="6">
        <f t="shared" si="22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19"/>
        <v>81</v>
      </c>
      <c r="B82" s="9">
        <f t="array" ref="B82">IF(C82="",0,IF(OR(C82=Country_Comparison!$S$10:$S$29),1,0))</f>
        <v>0</v>
      </c>
      <c r="C82" s="9" t="str">
        <f t="shared" si="21"/>
        <v/>
      </c>
      <c r="D82" s="6">
        <f t="shared" si="22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19"/>
        <v>82</v>
      </c>
      <c r="B83" s="9">
        <f t="array" ref="B83">IF(C83="",0,IF(OR(C83=Country_Comparison!$S$10:$S$29),1,0))</f>
        <v>0</v>
      </c>
      <c r="C83" s="9" t="str">
        <f t="shared" si="21"/>
        <v/>
      </c>
      <c r="D83" s="6">
        <f t="shared" si="22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19"/>
        <v>83</v>
      </c>
      <c r="B84" s="9">
        <f t="array" ref="B84">IF(C84="",0,IF(OR(C84=Country_Comparison!$S$10:$S$29),1,0))</f>
        <v>0</v>
      </c>
      <c r="C84" s="9" t="str">
        <f t="shared" si="21"/>
        <v/>
      </c>
      <c r="D84" s="6">
        <f t="shared" si="22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19"/>
        <v>84</v>
      </c>
      <c r="B85" s="9">
        <f t="array" ref="B85">IF(C85="",0,IF(OR(C85=Country_Comparison!$S$10:$S$29),1,0))</f>
        <v>0</v>
      </c>
      <c r="C85" s="9" t="str">
        <f t="shared" si="21"/>
        <v/>
      </c>
      <c r="D85" s="6">
        <f t="shared" si="22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19"/>
        <v>85</v>
      </c>
      <c r="B86" s="9">
        <f t="array" ref="B86">IF(C86="",0,IF(OR(C86=Country_Comparison!$S$10:$S$29),1,0))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19"/>
        <v>86</v>
      </c>
      <c r="B87" s="9">
        <f t="array" ref="B87">IF(C87="",0,IF(OR(C87=Country_Comparison!$S$10:$S$29),1,0))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19"/>
        <v>87</v>
      </c>
      <c r="B88" s="9">
        <f t="array" ref="B88">IF(C88="",0,IF(OR(C88=Country_Comparison!$S$10:$S$29),1,0))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19"/>
        <v>88</v>
      </c>
      <c r="B89" s="9">
        <f t="array" ref="B89">IF(C89="",0,IF(OR(C89=Country_Comparison!$S$10:$S$29),1,0))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19"/>
        <v>89</v>
      </c>
      <c r="B90" s="9">
        <f t="array" ref="B90">IF(C90="",0,IF(OR(C90=Country_Comparison!$S$10:$S$29),1,0))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19"/>
        <v>90</v>
      </c>
      <c r="B91" s="9">
        <f t="array" ref="B91">IF(C91="",0,IF(OR(C91=Country_Comparison!$S$10:$S$29),1,0))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19"/>
        <v>91</v>
      </c>
      <c r="B92" s="9">
        <f t="array" ref="B92">IF(C92="",0,IF(OR(C92=Country_Comparison!$S$10:$S$29),1,0))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19"/>
        <v>92</v>
      </c>
      <c r="B93" s="9">
        <f t="array" ref="B93">IF(C93="",0,IF(OR(C93=Country_Comparison!$S$10:$S$29),1,0))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19"/>
        <v>93</v>
      </c>
      <c r="B94" s="9">
        <f t="array" ref="B94">IF(C94="",0,IF(OR(C94=Country_Comparison!$S$10:$S$29),1,0))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19"/>
        <v>94</v>
      </c>
      <c r="B95" s="9">
        <f t="array" ref="B95">IF(C95="",0,IF(OR(C95=Country_Comparison!$S$10:$S$29),1,0))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19"/>
        <v>95</v>
      </c>
      <c r="B96" s="9">
        <f t="array" ref="B96">IF(C96="",0,IF(OR(C96=Country_Comparison!$S$10:$S$29),1,0))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IF(C97="",0,IF(OR(C97=Country_Comparison!$S$10:$S$29),1,0))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IF(C98="",0,IF(OR(C98=Country_Comparison!$S$10:$S$29),1,0))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IF(C99="",0,IF(OR(C99=Country_Comparison!$S$10:$S$29),1,0))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IF(C100="",0,IF(OR(C100=Country_Comparison!$S$10:$S$29),1,0))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IF(C101="",0,IF(OR(C101=Country_Comparison!$S$10:$S$29),1,0))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IF(C102="",0,IF(OR(C102=Country_Comparison!$S$10:$S$29),1,0))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IF(C103="",0,IF(OR(C103=Country_Comparison!$S$10:$S$29),1,0))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IF(C104="",0,IF(OR(C104=Country_Comparison!$S$10:$S$29),1,0))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IF(C105="",0,IF(OR(C105=Country_Comparison!$S$10:$S$29),1,0))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IF(C106="",0,IF(OR(C106=Country_Comparison!$S$10:$S$29),1,0))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IF(C107="",0,IF(OR(C107=Country_Comparison!$S$10:$S$29),1,0))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IF(C108="",0,IF(OR(C108=Country_Comparison!$S$10:$S$29),1,0))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IF(C109="",0,IF(OR(C109=Country_Comparison!$S$10:$S$29),1,0))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IF(C110="",0,IF(OR(C110=Country_Comparison!$S$10:$S$29),1,0))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IF(C111="",0,IF(OR(C111=Country_Comparison!$S$10:$S$29),1,0))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IF(C112="",0,IF(OR(C112=Country_Comparison!$S$10:$S$29),1,0))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IF(C113="",0,IF(OR(C113=Country_Comparison!$S$10:$S$29),1,0))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IF(C114="",0,IF(OR(C114=Country_Comparison!$S$10:$S$29),1,0))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IF(C115="",0,IF(OR(C115=Country_Comparison!$S$10:$S$29),1,0))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IF(C116="",0,IF(OR(C116=Country_Comparison!$S$10:$S$29),1,0))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IF(C117="",0,IF(OR(C117=Country_Comparison!$S$10:$S$29),1,0))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IF(C118="",0,IF(OR(C118=Country_Comparison!$S$10:$S$29),1,0))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IF(C119="",0,IF(OR(C119=Country_Comparison!$S$10:$S$29),1,0))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IF(C120="",0,IF(OR(C120=Country_Comparison!$S$10:$S$29),1,0))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IF(C121="",0,IF(OR(C121=Country_Comparison!$S$10:$S$29),1,0))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IF(C122="",0,IF(OR(C122=Country_Comparison!$S$10:$S$29),1,0))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IF(C123="",0,IF(OR(C123=Country_Comparison!$S$10:$S$29),1,0))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IF(C124="",0,IF(OR(C124=Country_Comparison!$S$10:$S$29),1,0))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IF(C125="",0,IF(OR(C125=Country_Comparison!$S$10:$S$29),1,0))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IF(C126="",0,IF(OR(C126=Country_Comparison!$S$10:$S$29),1,0))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IF(C127="",0,IF(OR(C127=Country_Comparison!$S$10:$S$29),1,0))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IF(C128="",0,IF(OR(C128=Country_Comparison!$S$10:$S$29),1,0))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IF(C129="",0,IF(OR(C129=Country_Comparison!$S$10:$S$29),1,0))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IF(C130="",0,IF(OR(C130=Country_Comparison!$S$10:$S$29),1,0))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IF(C131="",0,IF(OR(C131=Country_Comparison!$S$10:$S$29),1,0))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IF(C132="",0,IF(OR(C132=Country_Comparison!$S$10:$S$29),1,0))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IF(C133="",0,IF(OR(C133=Country_Comparison!$S$10:$S$29),1,0))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IF(C134="",0,IF(OR(C134=Country_Comparison!$S$10:$S$29),1,0))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IF(C135="",0,IF(OR(C135=Country_Comparison!$S$10:$S$29),1,0))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IF(C136="",0,IF(OR(C136=Country_Comparison!$S$10:$S$29),1,0))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IF(C137="",0,IF(OR(C137=Country_Comparison!$S$10:$S$29),1,0))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IF(C138="",0,IF(OR(C138=Country_Comparison!$S$10:$S$29),1,0))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IF(C139="",0,IF(OR(C139=Country_Comparison!$S$10:$S$29),1,0))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IF(C140="",0,IF(OR(C140=Country_Comparison!$S$10:$S$29),1,0))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IF(C141="",0,IF(OR(C141=Country_Comparison!$S$10:$S$29),1,0))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IF(C142="",0,IF(OR(C142=Country_Comparison!$S$10:$S$29),1,0))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IF(C143="",0,IF(OR(C143=Country_Comparison!$S$10:$S$29),1,0))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IF(C144="",0,IF(OR(C144=Country_Comparison!$S$10:$S$29),1,0))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IF(C145="",0,IF(OR(C145=Country_Comparison!$S$10:$S$29),1,0))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IF(C146="",0,IF(OR(C146=Country_Comparison!$S$10:$S$29),1,0))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IF(C147="",0,IF(OR(C147=Country_Comparison!$S$10:$S$29),1,0))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IF(C148="",0,IF(OR(C148=Country_Comparison!$S$10:$S$29),1,0))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IF(C149="",0,IF(OR(C149=Country_Comparison!$S$10:$S$29),1,0))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IF(C150="",0,IF(OR(C150=Country_Comparison!$S$10:$S$29),1,0))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IF(C151="",0,IF(OR(C151=Country_Comparison!$S$10:$S$29),1,0))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IF(C152="",0,IF(OR(C152=Country_Comparison!$S$10:$S$29),1,0))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IF(C153="",0,IF(OR(C153=Country_Comparison!$S$10:$S$29),1,0))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IF(C154="",0,IF(OR(C154=Country_Comparison!$S$10:$S$29),1,0))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IF(C155="",0,IF(OR(C155=Country_Comparison!$S$10:$S$29),1,0))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IF(C156="",0,IF(OR(C156=Country_Comparison!$S$10:$S$29),1,0))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IF(C157="",0,IF(OR(C157=Country_Comparison!$S$10:$S$29),1,0))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IF(C158="",0,IF(OR(C158=Country_Comparison!$S$10:$S$29),1,0))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IF(C159="",0,IF(OR(C159=Country_Comparison!$S$10:$S$29),1,0))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IF(C160="",0,IF(OR(C160=Country_Comparison!$S$10:$S$29),1,0))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IF(C161="",0,IF(OR(C161=Country_Comparison!$S$10:$S$29),1,0))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IF(C162="",0,IF(OR(C162=Country_Comparison!$S$10:$S$29),1,0))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IF(C163="",0,IF(OR(C163=Country_Comparison!$S$10:$S$29),1,0))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IF(C164="",0,IF(OR(C164=Country_Comparison!$S$10:$S$29),1,0))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IF(C165="",0,IF(OR(C165=Country_Comparison!$S$10:$S$29),1,0))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IF(C166="",0,IF(OR(C166=Country_Comparison!$S$10:$S$29),1,0))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IF(C167="",0,IF(OR(C167=Country_Comparison!$S$10:$S$29),1,0))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IF(C168="",0,IF(OR(C168=Country_Comparison!$S$10:$S$29),1,0))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IF(C169="",0,IF(OR(C169=Country_Comparison!$S$10:$S$29),1,0))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IF(C170="",0,IF(OR(C170=Country_Comparison!$S$10:$S$29),1,0))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IF(C171="",0,IF(OR(C171=Country_Comparison!$S$10:$S$29),1,0))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IF(C172="",0,IF(OR(C172=Country_Comparison!$S$10:$S$29),1,0))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IF(C173="",0,IF(OR(C173=Country_Comparison!$S$10:$S$29),1,0))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IF(C174="",0,IF(OR(C174=Country_Comparison!$S$10:$S$29),1,0))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IF(C175="",0,IF(OR(C175=Country_Comparison!$S$10:$S$29),1,0))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IF(C176="",0,IF(OR(C176=Country_Comparison!$S$10:$S$29),1,0))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IF(C177="",0,IF(OR(C177=Country_Comparison!$S$10:$S$29),1,0))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IF(C178="",0,IF(OR(C178=Country_Comparison!$S$10:$S$29),1,0))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IF(C179="",0,IF(OR(C179=Country_Comparison!$S$10:$S$29),1,0))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IF(C180="",0,IF(OR(C180=Country_Comparison!$S$10:$S$29),1,0))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IF(C181="",0,IF(OR(C181=Country_Comparison!$S$10:$S$29),1,0))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IF(C182="",0,IF(OR(C182=Country_Comparison!$S$10:$S$29),1,0))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IF(C183="",0,IF(OR(C183=Country_Comparison!$S$10:$S$29),1,0))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IF(C184="",0,IF(OR(C184=Country_Comparison!$S$10:$S$29),1,0))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IF(C185="",0,IF(OR(C185=Country_Comparison!$S$10:$S$29),1,0))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IF(C186="",0,IF(OR(C186=Country_Comparison!$S$10:$S$29),1,0))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IF(C187="",0,IF(OR(C187=Country_Comparison!$S$10:$S$29),1,0))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IF(C188="",0,IF(OR(C188=Country_Comparison!$S$10:$S$29),1,0))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IF(C189="",0,IF(OR(C189=Country_Comparison!$S$10:$S$29),1,0))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IF(C190="",0,IF(OR(C190=Country_Comparison!$S$10:$S$29),1,0))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IF(C191="",0,IF(OR(C191=Country_Comparison!$S$10:$S$29),1,0))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IF(C192="",0,IF(OR(C192=Country_Comparison!$S$10:$S$29),1,0))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IF(C193="",0,IF(OR(C193=Country_Comparison!$S$10:$S$29),1,0))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IF(C194="",0,IF(OR(C194=Country_Comparison!$S$10:$S$29),1,0))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00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IF(C195="",0,IF(OR(C195=Country_Comparison!$S$10:$S$29),1,0))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IF(C196="",0,IF(OR(C196=Country_Comparison!$S$10:$S$29),1,0))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IF(C197="",0,IF(OR(C197=Country_Comparison!$S$10:$S$29),1,0))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IF(C198="",0,IF(OR(C198=Country_Comparison!$S$10:$S$29),1,0))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IF(C199="",0,IF(OR(C199=Country_Comparison!$S$10:$S$29),1,0))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IF(C200="",0,IF(OR(C200=Country_Comparison!$S$10:$S$29),1,0))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570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571</v>
      </c>
      <c r="P1" s="52" t="s">
        <v>572</v>
      </c>
      <c r="Q1" s="52" t="s">
        <v>606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82279</v>
      </c>
      <c r="G2" s="41">
        <f>MAX(CumulativeDead!2:2)</f>
        <v>3309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4.0216823247730286E-2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607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105792</v>
      </c>
      <c r="G3" s="41">
        <f>MAX(CumulativeDead!3:3)</f>
        <v>12428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0.11747580157289776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608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44605</v>
      </c>
      <c r="G4" s="41">
        <f>MAX(CumulativeDead!4:4)</f>
        <v>2898</v>
      </c>
      <c r="J4" s="41">
        <v>83992949</v>
      </c>
      <c r="K4" s="52">
        <v>0</v>
      </c>
      <c r="L4" s="41">
        <v>0</v>
      </c>
      <c r="M4" s="69">
        <f t="shared" si="0"/>
        <v>6.4970294809998885E-2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609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9786</v>
      </c>
      <c r="G5" s="41">
        <f>MAX(CumulativeDead!5:5)</f>
        <v>162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1.6554261189454321E-2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607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95923</v>
      </c>
      <c r="G6" s="41">
        <f>MAX(CumulativeDead!6:6)</f>
        <v>8464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8.8237440447025223E-2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608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71808</v>
      </c>
      <c r="G7" s="41">
        <f>MAX(CumulativeDead!7:7)</f>
        <v>775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1.0792669340463457E-2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608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52827</v>
      </c>
      <c r="G8" s="41">
        <f>MAX(CumulativeDead!8:8)</f>
        <v>3532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6.6859749749181296E-2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608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188172</v>
      </c>
      <c r="G9" s="41">
        <f>MAX(CumulativeDead!9:9)</f>
        <v>3873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2.0582233275939034E-2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610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16605</v>
      </c>
      <c r="G10" s="41">
        <f>MAX(CumulativeDead!10:10)</f>
        <v>433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2.6076482987052094E-2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608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4641</v>
      </c>
      <c r="G11" s="41">
        <f>MAX(CumulativeDead!11:11)</f>
        <v>39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8.4033613445378148E-3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608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4435</v>
      </c>
      <c r="G12" s="41">
        <f>MAX(CumulativeDead!12:12)</f>
        <v>180</v>
      </c>
      <c r="J12" s="41">
        <v>10099265</v>
      </c>
      <c r="K12" s="52">
        <v>5.8</v>
      </c>
      <c r="L12" s="41">
        <v>585.75736999999992</v>
      </c>
      <c r="M12" s="69">
        <f t="shared" si="0"/>
        <v>4.0586245772266064E-2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608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3039</v>
      </c>
      <c r="G13" s="41">
        <f>MAX(CumulativeDead!13:13)</f>
        <v>90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2.9615004935834157E-2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608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12667</v>
      </c>
      <c r="G14" s="41">
        <f>MAX(CumulativeDead!14:14)</f>
        <v>1040</v>
      </c>
      <c r="J14" s="41">
        <v>17134872</v>
      </c>
      <c r="K14" s="52">
        <v>0</v>
      </c>
      <c r="L14" s="41">
        <v>0</v>
      </c>
      <c r="M14" s="69">
        <f t="shared" si="0"/>
        <v>8.2103102549932902E-2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608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25481</v>
      </c>
      <c r="G15" s="41">
        <f>MAX(CumulativeDead!15:15)</f>
        <v>1793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7.0366155174443709E-2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608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1953</v>
      </c>
      <c r="G16" s="41">
        <f>MAX(CumulativeDead!16:16)</f>
        <v>56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2.8673835125448029E-2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607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12775</v>
      </c>
      <c r="G18" s="41">
        <f>MAX(CumulativeDead!18:18)</f>
        <v>705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5.5185909980430527E-2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608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10180</v>
      </c>
      <c r="G19" s="41">
        <f>MAX(CumulativeDead!19:19)</f>
        <v>128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1.2573673870333988E-2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608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781</v>
      </c>
      <c r="G20" s="41">
        <f>MAX(CumulativeDead!20:20)</f>
        <v>2</v>
      </c>
      <c r="J20" s="41">
        <v>2881053</v>
      </c>
      <c r="K20" s="52">
        <v>0</v>
      </c>
      <c r="L20" s="41">
        <v>0</v>
      </c>
      <c r="M20" s="69">
        <f t="shared" si="0"/>
        <v>2.5608194622279128E-3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609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4559</v>
      </c>
      <c r="G21" s="41">
        <f>MAX(CumulativeDead!21:21)</f>
        <v>18</v>
      </c>
      <c r="J21" s="41">
        <v>25499884</v>
      </c>
      <c r="K21" s="52">
        <v>0</v>
      </c>
      <c r="L21" s="41">
        <v>0</v>
      </c>
      <c r="M21" s="69">
        <f t="shared" si="0"/>
        <v>3.9482342618995395E-3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613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926</v>
      </c>
      <c r="G22" s="41">
        <f>MAX(CumulativeDead!22:22)</f>
        <v>3</v>
      </c>
      <c r="J22" s="41">
        <v>5850342</v>
      </c>
      <c r="K22" s="52">
        <v>0</v>
      </c>
      <c r="L22" s="41">
        <v>0</v>
      </c>
      <c r="M22" s="69">
        <f t="shared" si="0"/>
        <v>3.2397408207343412E-3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607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2766</v>
      </c>
      <c r="G23" s="41">
        <f>MAX(CumulativeDead!23:23)</f>
        <v>43</v>
      </c>
      <c r="J23" s="41">
        <v>32365999</v>
      </c>
      <c r="K23" s="52">
        <v>0</v>
      </c>
      <c r="L23" s="41">
        <v>0</v>
      </c>
      <c r="M23" s="69">
        <f t="shared" si="0"/>
        <v>1.554591467823572E-2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607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8527</v>
      </c>
      <c r="G24" s="41">
        <f>MAX(CumulativeDead!24:24)</f>
        <v>101</v>
      </c>
      <c r="J24" s="41">
        <v>37742154</v>
      </c>
      <c r="K24" s="52">
        <v>0</v>
      </c>
      <c r="L24" s="41">
        <v>0</v>
      </c>
      <c r="M24" s="69">
        <f t="shared" si="0"/>
        <v>1.18447285094406E-2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610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1314</v>
      </c>
      <c r="G25" s="41">
        <f>MAX(CumulativeDead!25:25)</f>
        <v>49</v>
      </c>
      <c r="J25" s="41">
        <v>10423054</v>
      </c>
      <c r="K25" s="52">
        <v>6</v>
      </c>
      <c r="L25" s="41">
        <v>625.38324</v>
      </c>
      <c r="M25" s="69">
        <f t="shared" si="0"/>
        <v>3.7290715372907152E-2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608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567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7.0546737213403876E-3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609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5358</v>
      </c>
      <c r="G27" s="41">
        <f>MAX(CumulativeDead!27:27)</f>
        <v>20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3.7327360955580441E-3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609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1418</v>
      </c>
      <c r="G28" s="41">
        <f>MAX(CumulativeDead!28:28)</f>
        <v>17</v>
      </c>
      <c r="J28" s="41">
        <v>5540720</v>
      </c>
      <c r="K28" s="52">
        <v>6.1</v>
      </c>
      <c r="L28" s="41">
        <v>337.98392000000001</v>
      </c>
      <c r="M28" s="69">
        <f t="shared" si="0"/>
        <v>1.1988716502115656E-2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608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5717</v>
      </c>
      <c r="G29" s="41">
        <f>MAX(CumulativeDead!29:29)</f>
        <v>201</v>
      </c>
      <c r="J29" s="41">
        <v>212559417</v>
      </c>
      <c r="K29" s="52">
        <v>0</v>
      </c>
      <c r="L29" s="41">
        <v>0</v>
      </c>
      <c r="M29" s="69">
        <f t="shared" si="0"/>
        <v>3.5158299807591394E-2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611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3308</v>
      </c>
      <c r="G30" s="41">
        <f>MAX(CumulativeDead!30:30)</f>
        <v>31</v>
      </c>
      <c r="J30" s="41">
        <v>10708981</v>
      </c>
      <c r="K30" s="52">
        <v>11.6</v>
      </c>
      <c r="L30" s="41">
        <v>1242.241796</v>
      </c>
      <c r="M30" s="69">
        <f t="shared" si="0"/>
        <v>9.3712212817412335E-3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608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802</v>
      </c>
      <c r="G31" s="41">
        <f>MAX(CumulativeDead!31:31)</f>
        <v>15</v>
      </c>
      <c r="J31" s="41">
        <v>2078938</v>
      </c>
      <c r="K31" s="52">
        <v>6.4</v>
      </c>
      <c r="L31" s="41">
        <v>133.05203200000003</v>
      </c>
      <c r="M31" s="69">
        <f t="shared" si="0"/>
        <v>1.8703241895261846E-2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608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1135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4.4052863436123352E-3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608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7443</v>
      </c>
      <c r="G33" s="41">
        <f>MAX(CumulativeDead!33:33)</f>
        <v>160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2.1496708316539031E-2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608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694</v>
      </c>
      <c r="G34" s="41">
        <f>MAX(CumulativeDead!34:34)</f>
        <v>50</v>
      </c>
      <c r="J34" s="41">
        <v>40222493</v>
      </c>
      <c r="K34" s="52">
        <v>0</v>
      </c>
      <c r="L34" s="41">
        <v>0</v>
      </c>
      <c r="M34" s="69">
        <f t="shared" ref="M34:M65" si="2">G34/F34</f>
        <v>7.2046109510086456E-2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609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3235</v>
      </c>
      <c r="G35" s="41">
        <f>MAX(CumulativeDead!35:35)</f>
        <v>71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2.1947449768160741E-2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608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2245</v>
      </c>
      <c r="G36" s="41">
        <f>MAX(CumulativeDead!36:36)</f>
        <v>82</v>
      </c>
      <c r="J36" s="41">
        <v>19237691</v>
      </c>
      <c r="K36" s="52">
        <v>21.4</v>
      </c>
      <c r="L36" s="41">
        <v>4116.8658740000001</v>
      </c>
      <c r="M36" s="69">
        <f t="shared" si="2"/>
        <v>3.6525612472160358E-2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608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1563</v>
      </c>
      <c r="G37" s="41">
        <f>MAX(CumulativeDead!37:37)</f>
        <v>10</v>
      </c>
      <c r="J37" s="41">
        <v>34813871</v>
      </c>
      <c r="K37" s="52">
        <v>0</v>
      </c>
      <c r="L37" s="41">
        <v>0</v>
      </c>
      <c r="M37" s="69">
        <f t="shared" si="2"/>
        <v>6.3979526551503517E-3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609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664</v>
      </c>
      <c r="G38" s="41">
        <f>MAX(CumulativeDead!38:38)</f>
        <v>6</v>
      </c>
      <c r="J38" s="41">
        <v>9890402</v>
      </c>
      <c r="K38" s="52">
        <v>0</v>
      </c>
      <c r="L38" s="41">
        <v>0</v>
      </c>
      <c r="M38" s="69">
        <f t="shared" si="2"/>
        <v>9.0361445783132526E-3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609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1397</v>
      </c>
      <c r="G39" s="41">
        <f>MAX(CumulativeDead!39:39)</f>
        <v>35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2.5053686471009307E-2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607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710</v>
      </c>
      <c r="G40" s="41">
        <f>MAX(CumulativeDead!40:40)</f>
        <v>46</v>
      </c>
      <c r="J40" s="41">
        <v>102334404</v>
      </c>
      <c r="K40" s="52">
        <v>0</v>
      </c>
      <c r="L40" s="41">
        <v>0</v>
      </c>
      <c r="M40" s="69">
        <f t="shared" si="2"/>
        <v>6.4788732394366194E-2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612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289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609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236</v>
      </c>
      <c r="G42" s="41">
        <f>MAX(CumulativeDead!42:42)</f>
        <v>26</v>
      </c>
      <c r="J42" s="41">
        <v>33931</v>
      </c>
      <c r="K42" s="52">
        <v>0</v>
      </c>
      <c r="L42" s="41">
        <v>0</v>
      </c>
      <c r="M42" s="69">
        <f t="shared" si="2"/>
        <v>0.11016949152542373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608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745</v>
      </c>
      <c r="G43" s="41">
        <f>MAX(CumulativeDead!43:43)</f>
        <v>4</v>
      </c>
      <c r="J43" s="41">
        <v>1326535</v>
      </c>
      <c r="K43" s="52">
        <v>14.6</v>
      </c>
      <c r="L43" s="41">
        <v>193.67410999999998</v>
      </c>
      <c r="M43" s="69">
        <f t="shared" si="2"/>
        <v>5.3691275167785232E-3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608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470</v>
      </c>
      <c r="G44" s="41">
        <f>MAX(CumulativeDead!44:44)</f>
        <v>12</v>
      </c>
      <c r="J44" s="41">
        <v>6825445</v>
      </c>
      <c r="K44" s="52">
        <v>0</v>
      </c>
      <c r="L44" s="41">
        <v>0</v>
      </c>
      <c r="M44" s="69">
        <f t="shared" si="2"/>
        <v>2.553191489361702E-2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609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1651</v>
      </c>
      <c r="G45" s="41">
        <f>MAX(CumulativeDead!45:45)</f>
        <v>10</v>
      </c>
      <c r="J45" s="41">
        <v>69799978</v>
      </c>
      <c r="K45" s="52">
        <v>0</v>
      </c>
      <c r="L45" s="41">
        <v>0</v>
      </c>
      <c r="M45" s="69">
        <f t="shared" si="2"/>
        <v>6.0569351907934586E-3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607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1528</v>
      </c>
      <c r="G46" s="41">
        <f>MAX(CumulativeDead!46:46)</f>
        <v>136</v>
      </c>
      <c r="J46" s="41">
        <v>273523615</v>
      </c>
      <c r="K46" s="52">
        <v>0</v>
      </c>
      <c r="L46" s="41">
        <v>0</v>
      </c>
      <c r="M46" s="69">
        <f t="shared" si="2"/>
        <v>8.9005235602094238E-2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607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2311</v>
      </c>
      <c r="G47" s="41">
        <f>MAX(CumulativeDead!47:47)</f>
        <v>33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1.4279532669839896E-2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608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2084</v>
      </c>
      <c r="G48" s="41">
        <f>MAX(CumulativeDead!48:48)</f>
        <v>88</v>
      </c>
      <c r="J48" s="41">
        <v>109581078</v>
      </c>
      <c r="K48" s="52">
        <v>0</v>
      </c>
      <c r="L48" s="41">
        <v>0</v>
      </c>
      <c r="M48" s="69">
        <f t="shared" si="2"/>
        <v>4.2226487523992322E-2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607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322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1.5527950310559006E-2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607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212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607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2337</v>
      </c>
      <c r="G51" s="41">
        <f>MAX(CumulativeDead!51:51)</f>
        <v>17</v>
      </c>
      <c r="J51" s="41">
        <v>145934462</v>
      </c>
      <c r="K51" s="52">
        <v>0</v>
      </c>
      <c r="L51" s="41">
        <v>0</v>
      </c>
      <c r="M51" s="69">
        <f t="shared" si="2"/>
        <v>7.2742832691484807E-3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607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2738</v>
      </c>
      <c r="G52" s="41">
        <f>MAX(CumulativeDead!52:52)</f>
        <v>12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4.3827611395178961E-3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611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129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7.7519379844961239E-3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607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900</v>
      </c>
      <c r="G54" s="41">
        <f>MAX(CumulativeDead!54:54)</f>
        <v>16</v>
      </c>
      <c r="J54" s="41">
        <v>8737371</v>
      </c>
      <c r="K54" s="52" t="s">
        <v>511</v>
      </c>
      <c r="L54" s="41" t="e">
        <v>#VALUE!</v>
      </c>
      <c r="M54" s="69">
        <f t="shared" si="2"/>
        <v>1.7777777777777778E-2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608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2178</v>
      </c>
      <c r="G55" s="41">
        <f>MAX(CumulativeDead!55:55)</f>
        <v>23</v>
      </c>
      <c r="J55" s="41">
        <v>625978</v>
      </c>
      <c r="K55" s="52">
        <v>24.8</v>
      </c>
      <c r="L55" s="41">
        <v>155.24254400000001</v>
      </c>
      <c r="M55" s="69">
        <f t="shared" si="2"/>
        <v>1.0560146923783287E-2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608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243</v>
      </c>
      <c r="G56" s="41">
        <f>MAX(CumulativeDead!56:56)</f>
        <v>15</v>
      </c>
      <c r="J56" s="41">
        <v>2877797</v>
      </c>
      <c r="K56" s="52" t="s">
        <v>511</v>
      </c>
      <c r="L56" s="41" t="e">
        <v>#VALUE!</v>
      </c>
      <c r="M56" s="69">
        <f t="shared" si="2"/>
        <v>6.1728395061728392E-2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608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867</v>
      </c>
      <c r="G57" s="41">
        <f>MAX(CumulativeDead!57:57)</f>
        <v>6</v>
      </c>
      <c r="J57" s="41">
        <v>4105267</v>
      </c>
      <c r="K57" s="52">
        <v>14.7</v>
      </c>
      <c r="L57" s="41">
        <v>603.47424899999999</v>
      </c>
      <c r="M57" s="69">
        <f t="shared" si="2"/>
        <v>6.920415224913495E-3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608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363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2.7548209366391185E-3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608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1054</v>
      </c>
      <c r="G59" s="41">
        <f>MAX(CumulativeDead!59:59)</f>
        <v>27</v>
      </c>
      <c r="J59" s="41">
        <v>45195774</v>
      </c>
      <c r="K59" s="52" t="s">
        <v>511</v>
      </c>
      <c r="L59" s="41" t="e">
        <v>#VALUE!</v>
      </c>
      <c r="M59" s="69">
        <f t="shared" si="2"/>
        <v>2.5616698292220113E-2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611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1938</v>
      </c>
      <c r="G60" s="41">
        <f>MAX(CumulativeDead!60:60)</f>
        <v>26</v>
      </c>
      <c r="J60" s="41">
        <v>220892340</v>
      </c>
      <c r="K60" s="52">
        <v>0</v>
      </c>
      <c r="L60" s="41">
        <v>0</v>
      </c>
      <c r="M60" s="69">
        <f t="shared" si="2"/>
        <v>1.3415892672858616E-2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607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1065</v>
      </c>
      <c r="G61" s="41">
        <f>MAX(CumulativeDead!61:61)</f>
        <v>30</v>
      </c>
      <c r="J61" s="41">
        <v>32971854</v>
      </c>
      <c r="K61" s="52">
        <v>0</v>
      </c>
      <c r="L61" s="41">
        <v>0</v>
      </c>
      <c r="M61" s="69">
        <f t="shared" si="2"/>
        <v>2.8169014084507043E-2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611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152</v>
      </c>
      <c r="G62" s="41">
        <f>MAX(CumulativeDead!62:62)</f>
        <v>1</v>
      </c>
      <c r="J62" s="41">
        <v>9449323</v>
      </c>
      <c r="K62" s="52" t="s">
        <v>511</v>
      </c>
      <c r="L62" s="41" t="e">
        <v>#VALUE!</v>
      </c>
      <c r="M62" s="69">
        <f t="shared" si="2"/>
        <v>6.5789473684210523E-3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608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1181</v>
      </c>
      <c r="G63" s="41">
        <f>MAX(CumulativeDead!63:63)</f>
        <v>30</v>
      </c>
      <c r="J63" s="41">
        <v>4314767</v>
      </c>
      <c r="K63" s="52" t="s">
        <v>511</v>
      </c>
      <c r="L63" s="41" t="e">
        <v>#VALUE!</v>
      </c>
      <c r="M63" s="69">
        <f t="shared" si="2"/>
        <v>2.5402201524132091E-2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610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716</v>
      </c>
      <c r="G64" s="41">
        <f>MAX(CumulativeDead!64:64)</f>
        <v>44</v>
      </c>
      <c r="J64" s="41">
        <v>43851044</v>
      </c>
      <c r="K64" s="52" t="s">
        <v>511</v>
      </c>
      <c r="L64" s="41" t="e">
        <v>#VALUE!</v>
      </c>
      <c r="M64" s="69">
        <f t="shared" si="2"/>
        <v>6.1452513966480445E-2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612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110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608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1353</v>
      </c>
      <c r="G66" s="41">
        <f>MAX(CumulativeDead!66:66)</f>
        <v>5</v>
      </c>
      <c r="J66" s="41">
        <v>59308690</v>
      </c>
      <c r="K66" s="52">
        <v>0</v>
      </c>
      <c r="L66" s="41">
        <v>0</v>
      </c>
      <c r="M66" s="69">
        <f t="shared" ref="M66:M97" si="4">G66/F66</f>
        <v>3.6954915003695491E-3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612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399</v>
      </c>
      <c r="G67" s="41">
        <f>MAX(CumulativeDead!67:67)</f>
        <v>8</v>
      </c>
      <c r="J67" s="41">
        <v>6948445</v>
      </c>
      <c r="K67" s="52">
        <v>12.2</v>
      </c>
      <c r="L67" s="41">
        <v>847.71028999999987</v>
      </c>
      <c r="M67" s="69">
        <f t="shared" si="4"/>
        <v>2.0050125313283207E-2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608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347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5.763688760806916E-3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610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492</v>
      </c>
      <c r="G69" s="41">
        <f>MAX(CumulativeDead!69:69)</f>
        <v>16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3.2520325203252036E-2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608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192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5.208333333333333E-3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609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2240</v>
      </c>
      <c r="G71" s="41">
        <f>MAX(CumulativeDead!71:71)</f>
        <v>75</v>
      </c>
      <c r="J71" s="41">
        <v>17643054</v>
      </c>
      <c r="K71" s="52">
        <v>0</v>
      </c>
      <c r="L71" s="41">
        <v>0</v>
      </c>
      <c r="M71" s="69">
        <f t="shared" si="4"/>
        <v>3.3482142857142856E-2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611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398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608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394</v>
      </c>
      <c r="G73" s="41">
        <f>MAX(CumulativeDead!73:73)</f>
        <v>10</v>
      </c>
      <c r="J73" s="41">
        <v>11818619</v>
      </c>
      <c r="K73" s="52" t="s">
        <v>511</v>
      </c>
      <c r="L73" s="41" t="e">
        <v>#VALUE!</v>
      </c>
      <c r="M73" s="69">
        <f t="shared" si="4"/>
        <v>2.5380710659898477E-2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612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298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1.6778523489932886E-2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607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262</v>
      </c>
      <c r="G75" s="41">
        <f>MAX(CumulativeDead!75:75)</f>
        <v>8</v>
      </c>
      <c r="J75" s="41">
        <v>1207359</v>
      </c>
      <c r="K75" s="52">
        <v>11.4</v>
      </c>
      <c r="L75" s="41">
        <v>137.638926</v>
      </c>
      <c r="M75" s="69">
        <f t="shared" si="4"/>
        <v>3.0534351145038167E-2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608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329</v>
      </c>
      <c r="G76" s="41">
        <f>MAX(CumulativeDead!76:76)</f>
        <v>9</v>
      </c>
      <c r="J76" s="41">
        <v>2083374</v>
      </c>
      <c r="K76" s="52" t="s">
        <v>511</v>
      </c>
      <c r="L76" s="41" t="e">
        <v>#VALUE!</v>
      </c>
      <c r="M76" s="69">
        <f t="shared" si="4"/>
        <v>2.7355623100303952E-2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608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420</v>
      </c>
      <c r="G77" s="41">
        <f>MAX(CumulativeDead!77:77)</f>
        <v>13</v>
      </c>
      <c r="J77" s="41">
        <v>3280819</v>
      </c>
      <c r="K77" s="52" t="s">
        <v>511</v>
      </c>
      <c r="L77" s="41" t="e">
        <v>#VALUE!</v>
      </c>
      <c r="M77" s="69">
        <f t="shared" si="4"/>
        <v>3.0952380952380953E-2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608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906</v>
      </c>
      <c r="G78" s="41">
        <f>MAX(CumulativeDead!78:78)</f>
        <v>16</v>
      </c>
      <c r="J78" s="41">
        <v>50882891</v>
      </c>
      <c r="K78" s="52" t="s">
        <v>511</v>
      </c>
      <c r="L78" s="41" t="e">
        <v>#VALUE!</v>
      </c>
      <c r="M78" s="69">
        <f t="shared" si="4"/>
        <v>1.7660044150110375E-2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611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169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608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1094</v>
      </c>
      <c r="G80" s="41">
        <f>MAX(CumulativeDead!80:80)</f>
        <v>28</v>
      </c>
      <c r="J80" s="41">
        <v>128932753</v>
      </c>
      <c r="K80" s="52" t="s">
        <v>511</v>
      </c>
      <c r="L80" s="41" t="e">
        <v>#VALUE!</v>
      </c>
      <c r="M80" s="69">
        <f t="shared" si="4"/>
        <v>2.5594149908592323E-2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610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175</v>
      </c>
      <c r="G81" s="41">
        <f>MAX(CumulativeDead!81:81)</f>
        <v>0</v>
      </c>
      <c r="J81" s="41">
        <v>16743927</v>
      </c>
      <c r="K81" s="52" t="s">
        <v>511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612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18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607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532</v>
      </c>
      <c r="G83" s="41">
        <f>MAX(CumulativeDead!83:83)</f>
        <v>3</v>
      </c>
      <c r="J83" s="41">
        <v>2963243</v>
      </c>
      <c r="K83" s="52" t="s">
        <v>511</v>
      </c>
      <c r="L83" s="41" t="e">
        <v>#VALUE!</v>
      </c>
      <c r="M83" s="69">
        <f t="shared" si="4"/>
        <v>5.6390977443609019E-3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608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36</v>
      </c>
      <c r="G84" s="41">
        <f>MAX(CumulativeDead!84:84)</f>
        <v>1</v>
      </c>
      <c r="J84" s="41">
        <v>2961167</v>
      </c>
      <c r="K84" s="52" t="s">
        <v>511</v>
      </c>
      <c r="L84" s="41" t="e">
        <v>#VALUE!</v>
      </c>
      <c r="M84" s="69">
        <f t="shared" si="4"/>
        <v>2.7777777777777776E-2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610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174</v>
      </c>
      <c r="G85" s="41">
        <f>MAX(CumulativeDead!85:85)</f>
        <v>4</v>
      </c>
      <c r="J85" s="41">
        <v>38928346</v>
      </c>
      <c r="K85" s="52" t="s">
        <v>511</v>
      </c>
      <c r="L85" s="41" t="e">
        <v>#VALUE!</v>
      </c>
      <c r="M85" s="69">
        <f t="shared" si="4"/>
        <v>2.2988505747126436E-2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609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617</v>
      </c>
      <c r="G86" s="41">
        <f>MAX(CumulativeDead!86:86)</f>
        <v>36</v>
      </c>
      <c r="J86" s="41">
        <v>36910560</v>
      </c>
      <c r="K86" s="52" t="s">
        <v>511</v>
      </c>
      <c r="L86" s="41" t="e">
        <v>#VALUE!</v>
      </c>
      <c r="M86" s="69">
        <f t="shared" si="4"/>
        <v>5.834683954619125E-2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612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537</v>
      </c>
      <c r="G87" s="41">
        <f>MAX(CumulativeDead!87:87)</f>
        <v>8</v>
      </c>
      <c r="J87" s="41">
        <v>2722289</v>
      </c>
      <c r="K87" s="52">
        <v>15.5</v>
      </c>
      <c r="L87" s="41">
        <v>421.95479499999999</v>
      </c>
      <c r="M87" s="69">
        <f t="shared" si="4"/>
        <v>1.4897579143389199E-2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608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353</v>
      </c>
      <c r="G88" s="41">
        <f>MAX(CumulativeDead!88:88)</f>
        <v>4</v>
      </c>
      <c r="J88" s="41">
        <v>4033963</v>
      </c>
      <c r="K88" s="52" t="s">
        <v>511</v>
      </c>
      <c r="L88" s="41" t="e">
        <v>#VALUE!</v>
      </c>
      <c r="M88" s="69">
        <f t="shared" si="4"/>
        <v>1.1331444759206799E-2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608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65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4.6153846153846156E-2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611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143</v>
      </c>
      <c r="G90" s="41">
        <f>MAX(CumulativeDead!90:90)</f>
        <v>2</v>
      </c>
      <c r="J90" s="41">
        <v>21413249</v>
      </c>
      <c r="K90" s="52" t="s">
        <v>511</v>
      </c>
      <c r="L90" s="41" t="e">
        <v>#VALUE!</v>
      </c>
      <c r="M90" s="69">
        <f t="shared" si="4"/>
        <v>1.3986013986013986E-2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607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109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611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1109</v>
      </c>
      <c r="G92" s="41">
        <f>MAX(CumulativeDead!92:92)</f>
        <v>51</v>
      </c>
      <c r="J92" s="41">
        <v>10847910</v>
      </c>
      <c r="K92" s="52" t="s">
        <v>511</v>
      </c>
      <c r="L92" s="41" t="e">
        <v>#VALUE!</v>
      </c>
      <c r="M92" s="69">
        <f t="shared" si="4"/>
        <v>4.5987376014427414E-2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611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612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647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1.5455950540958269E-3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613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612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13531</v>
      </c>
      <c r="G96" s="41">
        <f>MAX(CumulativeDead!96:96)</f>
        <v>214</v>
      </c>
      <c r="J96" s="41">
        <v>84339067</v>
      </c>
      <c r="K96" s="52" t="s">
        <v>511</v>
      </c>
      <c r="L96" s="41" t="e">
        <v>#VALUE!</v>
      </c>
      <c r="M96" s="69">
        <f t="shared" si="4"/>
        <v>1.5815534698100656E-2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608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186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3.2258064516129031E-2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610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343</v>
      </c>
      <c r="G98" s="41">
        <f>MAX(CumulativeDead!98:98)</f>
        <v>3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8.7463556851311956E-3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607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51</v>
      </c>
      <c r="G99" s="41">
        <f>MAX(CumulativeDead!99:99)</f>
        <v>5</v>
      </c>
      <c r="J99" s="41">
        <v>164689383</v>
      </c>
      <c r="K99" s="52" t="s">
        <v>511</v>
      </c>
      <c r="L99" s="41" t="e">
        <v>#VALUE!</v>
      </c>
      <c r="M99" s="69">
        <f t="shared" si="6"/>
        <v>9.8039215686274508E-2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607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107</v>
      </c>
      <c r="G100" s="41">
        <f>MAX(CumulativeDead!100:100)</f>
        <v>6</v>
      </c>
      <c r="J100" s="41">
        <v>11673021</v>
      </c>
      <c r="K100" s="52" t="s">
        <v>511</v>
      </c>
      <c r="L100" s="41" t="e">
        <v>#VALUE!</v>
      </c>
      <c r="M100" s="69">
        <f t="shared" si="6"/>
        <v>5.6074766355140186E-2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611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612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645</v>
      </c>
      <c r="G102" s="41">
        <f>MAX(CumulativeDead!102:102)</f>
        <v>17</v>
      </c>
      <c r="J102" s="41">
        <v>43733762</v>
      </c>
      <c r="K102" s="52" t="s">
        <v>511</v>
      </c>
      <c r="L102" s="41" t="e">
        <v>#VALUE!</v>
      </c>
      <c r="M102" s="69">
        <f t="shared" si="6"/>
        <v>2.6356589147286821E-2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608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612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261</v>
      </c>
      <c r="G104" s="41">
        <f>MAX(CumulativeDead!104:104)</f>
        <v>14</v>
      </c>
      <c r="J104" s="41">
        <v>20903273</v>
      </c>
      <c r="K104" s="52" t="s">
        <v>511</v>
      </c>
      <c r="L104" s="41" t="e">
        <v>#VALUE!</v>
      </c>
      <c r="M104" s="69">
        <f t="shared" si="6"/>
        <v>5.3639846743295021E-2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612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193</v>
      </c>
      <c r="G105" s="41">
        <f>MAX(CumulativeDead!105:105)</f>
        <v>6</v>
      </c>
      <c r="J105" s="41">
        <v>26545863</v>
      </c>
      <c r="K105" s="52" t="s">
        <v>511</v>
      </c>
      <c r="L105" s="41" t="e">
        <v>#VALUE!</v>
      </c>
      <c r="M105" s="69">
        <f t="shared" si="6"/>
        <v>3.1088082901554404E-2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612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98</v>
      </c>
      <c r="G106" s="41">
        <f>MAX(CumulativeDead!106:106)</f>
        <v>8</v>
      </c>
      <c r="K106" s="52" t="s">
        <v>511</v>
      </c>
      <c r="L106" s="41" t="e">
        <v>#N/A</v>
      </c>
      <c r="M106" s="69">
        <f t="shared" si="6"/>
        <v>8.1632653061224483E-2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 t="e">
        <f t="shared" ca="1" si="7"/>
        <v>#N/A</v>
      </c>
      <c r="Q106" s="52" t="s">
        <v>612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141</v>
      </c>
      <c r="G107" s="41">
        <f>MAX(CumulativeDead!107:107)</f>
        <v>7</v>
      </c>
      <c r="J107" s="41">
        <v>9904607</v>
      </c>
      <c r="K107" s="52" t="s">
        <v>511</v>
      </c>
      <c r="L107" s="41" t="e">
        <v>#VALUE!</v>
      </c>
      <c r="M107" s="69">
        <f t="shared" si="6"/>
        <v>4.9645390070921988E-2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611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52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1.9230769230769232E-2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608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135</v>
      </c>
      <c r="G109" s="41">
        <f>MAX(CumulativeDead!109:109)</f>
        <v>2</v>
      </c>
      <c r="J109" s="41">
        <v>206139589</v>
      </c>
      <c r="K109" s="52" t="s">
        <v>511</v>
      </c>
      <c r="L109" s="41" t="e">
        <v>#VALUE!</v>
      </c>
      <c r="M109" s="69">
        <f t="shared" si="6"/>
        <v>1.4814814814814815E-2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612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376</v>
      </c>
      <c r="G110" s="41">
        <f>MAX(CumulativeDead!110:110)</f>
        <v>12</v>
      </c>
      <c r="J110" s="41">
        <v>77265</v>
      </c>
      <c r="K110" s="52" t="s">
        <v>511</v>
      </c>
      <c r="L110" s="41" t="e">
        <v>#VALUE!</v>
      </c>
      <c r="M110" s="69">
        <f t="shared" si="6"/>
        <v>3.1914893617021274E-2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608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610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4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607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610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179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5.5865921787709499E-3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612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26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612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611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22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612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2</v>
      </c>
      <c r="J118" s="41">
        <v>786552</v>
      </c>
      <c r="K118" s="52" t="s">
        <v>511</v>
      </c>
      <c r="L118" s="41" t="e">
        <v>#VALUE!</v>
      </c>
      <c r="M118" s="69">
        <f t="shared" si="6"/>
        <v>0.1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611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6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608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274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1.824817518248175E-2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609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59</v>
      </c>
      <c r="G121" s="41">
        <f>MAX(CumulativeDead!121:121)</f>
        <v>1</v>
      </c>
      <c r="J121" s="41">
        <v>53771296</v>
      </c>
      <c r="K121" s="52" t="s">
        <v>511</v>
      </c>
      <c r="L121" s="41" t="e">
        <v>#VALUE!</v>
      </c>
      <c r="M121" s="69">
        <f t="shared" si="6"/>
        <v>1.6949152542372881E-2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612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68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608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12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607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607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7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0.2857142857142857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612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612</v>
      </c>
    </row>
    <row r="127" spans="1:17" x14ac:dyDescent="0.3">
      <c r="A127" s="52">
        <v>126</v>
      </c>
      <c r="B127" s="2" t="s">
        <v>605</v>
      </c>
      <c r="C127" s="2" t="s">
        <v>605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42054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607</v>
      </c>
      <c r="C128" s="2" t="s">
        <v>607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3905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608</v>
      </c>
      <c r="C129" s="2" t="s">
        <v>608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30471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610</v>
      </c>
      <c r="C130" s="2" t="s">
        <v>610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4041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611</v>
      </c>
      <c r="C131" s="2" t="s">
        <v>611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430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612</v>
      </c>
      <c r="C132" s="2" t="s">
        <v>612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176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609</v>
      </c>
      <c r="C133" s="2" t="s">
        <v>609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3012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42054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AW2" activePane="bottomRight" state="frozen"/>
      <selection pane="topRight" activeCell="B1" sqref="B1"/>
      <selection pane="bottomLeft" activeCell="A2" sqref="A2"/>
      <selection pane="bottomRight" activeCell="BH15" sqref="BH15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606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104697</v>
      </c>
      <c r="BR128">
        <f t="shared" si="9"/>
        <v>106439</v>
      </c>
      <c r="BS128">
        <f t="shared" si="9"/>
        <v>107938</v>
      </c>
      <c r="BT128">
        <f t="shared" si="9"/>
        <v>110182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109607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362825</v>
      </c>
      <c r="BR129">
        <f t="shared" si="9"/>
        <v>393877</v>
      </c>
      <c r="BS129">
        <f t="shared" si="9"/>
        <v>426252</v>
      </c>
      <c r="BT129">
        <f t="shared" si="9"/>
        <v>463747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129008</v>
      </c>
      <c r="BR130">
        <f t="shared" si="9"/>
        <v>149407</v>
      </c>
      <c r="BS130">
        <f t="shared" si="9"/>
        <v>171730</v>
      </c>
      <c r="BT130">
        <f t="shared" si="9"/>
        <v>199550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10656</v>
      </c>
      <c r="BR131">
        <f t="shared" si="9"/>
        <v>11838</v>
      </c>
      <c r="BS131">
        <f t="shared" si="9"/>
        <v>12874</v>
      </c>
      <c r="BT131">
        <f t="shared" si="9"/>
        <v>15263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3672</v>
      </c>
      <c r="BR132">
        <f t="shared" si="9"/>
        <v>4145</v>
      </c>
      <c r="BS132">
        <f t="shared" si="9"/>
        <v>4492</v>
      </c>
      <c r="BT132">
        <f t="shared" si="9"/>
        <v>4979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43425</v>
      </c>
      <c r="BR133">
        <f t="shared" si="9"/>
        <v>47344</v>
      </c>
      <c r="BS133">
        <f t="shared" si="9"/>
        <v>51421</v>
      </c>
      <c r="BT133">
        <f t="shared" si="9"/>
        <v>55631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0</v>
      </c>
    </row>
    <row r="5" spans="1:73" ht="15" thickBot="1" x14ac:dyDescent="0.35">
      <c r="A5" s="97" t="s">
        <v>607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0</v>
      </c>
    </row>
    <row r="30" spans="1:73" ht="15" thickBot="1" x14ac:dyDescent="0.35">
      <c r="A30" s="97" t="s">
        <v>608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0</v>
      </c>
    </row>
    <row r="127" spans="1:73" x14ac:dyDescent="0.3">
      <c r="A127" s="97"/>
      <c r="B127" s="2" t="s">
        <v>605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0</v>
      </c>
    </row>
    <row r="128" spans="1:73" x14ac:dyDescent="0.3">
      <c r="A128" s="97"/>
      <c r="B128" s="2" t="s">
        <v>607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3754</v>
      </c>
      <c r="BR128">
        <f t="shared" si="9"/>
        <v>3803</v>
      </c>
      <c r="BS128">
        <f t="shared" si="9"/>
        <v>3849</v>
      </c>
      <c r="BT128">
        <f t="shared" si="9"/>
        <v>3905</v>
      </c>
      <c r="BU128">
        <f t="shared" si="9"/>
        <v>0</v>
      </c>
    </row>
    <row r="129" spans="1:73" x14ac:dyDescent="0.3">
      <c r="A129" s="97"/>
      <c r="B129" s="2" t="s">
        <v>608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21776</v>
      </c>
      <c r="BR129">
        <f t="shared" si="9"/>
        <v>24334</v>
      </c>
      <c r="BS129">
        <f t="shared" si="9"/>
        <v>27207</v>
      </c>
      <c r="BT129">
        <f t="shared" si="9"/>
        <v>30471</v>
      </c>
      <c r="BU129">
        <f t="shared" si="9"/>
        <v>0</v>
      </c>
    </row>
    <row r="130" spans="1:73" x14ac:dyDescent="0.3">
      <c r="A130" s="97"/>
      <c r="B130" s="2" t="s">
        <v>610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2119</v>
      </c>
      <c r="BR130">
        <f t="shared" si="9"/>
        <v>2570</v>
      </c>
      <c r="BS130">
        <f t="shared" si="9"/>
        <v>3109</v>
      </c>
      <c r="BT130">
        <f t="shared" si="9"/>
        <v>4041</v>
      </c>
      <c r="BU130">
        <f t="shared" si="9"/>
        <v>0</v>
      </c>
    </row>
    <row r="131" spans="1:73" x14ac:dyDescent="0.3">
      <c r="A131" s="97"/>
      <c r="B131" s="2" t="s">
        <v>611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238</v>
      </c>
      <c r="BR131">
        <f t="shared" si="9"/>
        <v>295</v>
      </c>
      <c r="BS131">
        <f t="shared" si="9"/>
        <v>343</v>
      </c>
      <c r="BT131">
        <f t="shared" si="9"/>
        <v>430</v>
      </c>
      <c r="BU131">
        <f t="shared" si="9"/>
        <v>0</v>
      </c>
    </row>
    <row r="132" spans="1:73" x14ac:dyDescent="0.3">
      <c r="A132" s="97"/>
      <c r="B132" s="2" t="s">
        <v>612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122</v>
      </c>
      <c r="BR132">
        <f t="shared" si="9"/>
        <v>136</v>
      </c>
      <c r="BS132">
        <f t="shared" si="9"/>
        <v>153</v>
      </c>
      <c r="BT132">
        <f t="shared" si="9"/>
        <v>176</v>
      </c>
      <c r="BU132">
        <f t="shared" si="9"/>
        <v>0</v>
      </c>
    </row>
    <row r="133" spans="1:73" x14ac:dyDescent="0.3">
      <c r="A133" s="97"/>
      <c r="B133" s="2" t="s">
        <v>609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2595</v>
      </c>
      <c r="BR133">
        <f t="shared" si="9"/>
        <v>2730</v>
      </c>
      <c r="BS133">
        <f t="shared" si="9"/>
        <v>2857</v>
      </c>
      <c r="BT133">
        <f t="shared" si="9"/>
        <v>3012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529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530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531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532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533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534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535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536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537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559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560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561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562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563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574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575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576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577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578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579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V257"/>
  <sheetViews>
    <sheetView workbookViewId="0">
      <selection sqref="A1:CA1000"/>
    </sheetView>
  </sheetViews>
  <sheetFormatPr defaultRowHeight="14.4" x14ac:dyDescent="0.3"/>
  <sheetData>
    <row r="1" spans="1:7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</row>
    <row r="2" spans="1:7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</row>
    <row r="3" spans="1:7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</row>
    <row r="4" spans="1:7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</row>
    <row r="5" spans="1:7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</row>
    <row r="6" spans="1:74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</row>
    <row r="7" spans="1:7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</row>
    <row r="8" spans="1:7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</row>
    <row r="9" spans="1:7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</row>
    <row r="10" spans="1:7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</row>
    <row r="11" spans="1:7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</row>
    <row r="12" spans="1:7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</row>
    <row r="13" spans="1:7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</row>
    <row r="14" spans="1:7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</row>
    <row r="15" spans="1:7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</row>
    <row r="16" spans="1:7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</row>
    <row r="17" spans="1:7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</row>
    <row r="18" spans="1:7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</row>
    <row r="19" spans="1:7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</row>
    <row r="20" spans="1:74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</row>
    <row r="21" spans="1:7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</row>
    <row r="22" spans="1:7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</row>
    <row r="23" spans="1:7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</row>
    <row r="24" spans="1:7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</row>
    <row r="25" spans="1:7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</row>
    <row r="26" spans="1:7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</row>
    <row r="27" spans="1:7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</row>
    <row r="28" spans="1:7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</row>
    <row r="29" spans="1:7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</row>
    <row r="30" spans="1:7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</row>
    <row r="31" spans="1:7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</row>
    <row r="32" spans="1:7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</row>
    <row r="33" spans="1:7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</row>
    <row r="34" spans="1:74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</row>
    <row r="35" spans="1:7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</row>
    <row r="36" spans="1:7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</row>
    <row r="37" spans="1:7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</row>
    <row r="38" spans="1:7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</row>
    <row r="39" spans="1:7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</row>
    <row r="40" spans="1:7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</row>
    <row r="41" spans="1:7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</row>
    <row r="42" spans="1:7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</row>
    <row r="43" spans="1:7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</row>
    <row r="44" spans="1:7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</row>
    <row r="45" spans="1:7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</row>
    <row r="46" spans="1:7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</row>
    <row r="47" spans="1:7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</row>
    <row r="48" spans="1:7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</row>
    <row r="49" spans="1:7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</row>
    <row r="50" spans="1:7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</row>
    <row r="51" spans="1:74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</row>
    <row r="52" spans="1:7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</row>
    <row r="53" spans="1:74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</row>
    <row r="54" spans="1:7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</row>
    <row r="55" spans="1:7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</row>
    <row r="56" spans="1:7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</row>
    <row r="57" spans="1:74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</row>
    <row r="58" spans="1:74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</row>
    <row r="59" spans="1:74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</row>
    <row r="60" spans="1:74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</row>
    <row r="61" spans="1:7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</row>
    <row r="62" spans="1:74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</row>
    <row r="63" spans="1:7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</row>
    <row r="64" spans="1:74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</row>
    <row r="65" spans="1:74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</row>
    <row r="66" spans="1:7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</row>
    <row r="67" spans="1:74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</row>
    <row r="68" spans="1:74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</row>
    <row r="69" spans="1:7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</row>
    <row r="70" spans="1:74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</row>
    <row r="71" spans="1:74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</row>
    <row r="72" spans="1:7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</row>
    <row r="73" spans="1:7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</row>
    <row r="74" spans="1:7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</row>
    <row r="75" spans="1:74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</row>
    <row r="76" spans="1:74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</row>
    <row r="77" spans="1:74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</row>
    <row r="78" spans="1:74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</row>
    <row r="79" spans="1:7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</row>
    <row r="80" spans="1:7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</row>
    <row r="81" spans="1:7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</row>
    <row r="82" spans="1:74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</row>
    <row r="83" spans="1:74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</row>
    <row r="84" spans="1:7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</row>
    <row r="85" spans="1:7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</row>
    <row r="86" spans="1:7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</row>
    <row r="87" spans="1:7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</row>
    <row r="88" spans="1:7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</row>
    <row r="89" spans="1:7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</row>
    <row r="90" spans="1:7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</row>
    <row r="91" spans="1:7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</row>
    <row r="92" spans="1:7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</row>
    <row r="93" spans="1:7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</row>
    <row r="94" spans="1:7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</row>
    <row r="95" spans="1:7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</row>
    <row r="96" spans="1:7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</row>
    <row r="97" spans="1:7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</row>
    <row r="98" spans="1:7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</row>
    <row r="99" spans="1:7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</row>
    <row r="100" spans="1:7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</row>
    <row r="101" spans="1:7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</row>
    <row r="102" spans="1:7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</row>
    <row r="103" spans="1:74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</row>
    <row r="104" spans="1:7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</row>
    <row r="105" spans="1:7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</row>
    <row r="106" spans="1:7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</row>
    <row r="107" spans="1:7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</row>
    <row r="108" spans="1:7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</row>
    <row r="109" spans="1:7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</row>
    <row r="110" spans="1:7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</row>
    <row r="111" spans="1:7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</row>
    <row r="112" spans="1:7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</row>
    <row r="113" spans="1:7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</row>
    <row r="114" spans="1:7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</row>
    <row r="115" spans="1:7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</row>
    <row r="116" spans="1:7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</row>
    <row r="117" spans="1:7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</row>
    <row r="118" spans="1:7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</row>
    <row r="119" spans="1:7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</row>
    <row r="120" spans="1:74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</row>
    <row r="121" spans="1:7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</row>
    <row r="122" spans="1:7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</row>
    <row r="123" spans="1:7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</row>
    <row r="124" spans="1:7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</row>
    <row r="125" spans="1:7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</row>
    <row r="126" spans="1:7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</row>
    <row r="127" spans="1:7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</row>
    <row r="128" spans="1:74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</row>
    <row r="129" spans="2:7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</row>
    <row r="130" spans="2:7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</row>
    <row r="131" spans="2:7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</row>
    <row r="132" spans="2:7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</row>
    <row r="133" spans="2:7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</row>
    <row r="134" spans="2:7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</row>
    <row r="135" spans="2:7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</row>
    <row r="136" spans="2:7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</row>
    <row r="137" spans="2:7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</row>
    <row r="138" spans="2:7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</row>
    <row r="139" spans="2:7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</row>
    <row r="140" spans="2:7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</row>
    <row r="141" spans="2:74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</row>
    <row r="142" spans="2:7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</row>
    <row r="143" spans="2:7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</row>
    <row r="144" spans="2:7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</row>
    <row r="145" spans="2:74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</row>
    <row r="146" spans="2:7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</row>
    <row r="147" spans="2:7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</row>
    <row r="148" spans="2:7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</row>
    <row r="149" spans="2:7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</row>
    <row r="150" spans="2:7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</row>
    <row r="151" spans="2:7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</row>
    <row r="152" spans="2:7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</row>
    <row r="153" spans="2:7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</row>
    <row r="154" spans="2:74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</row>
    <row r="155" spans="2:7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</row>
    <row r="156" spans="2:7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</row>
    <row r="157" spans="2:7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</row>
    <row r="158" spans="2:7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</row>
    <row r="159" spans="2:7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</row>
    <row r="160" spans="2:7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</row>
    <row r="161" spans="1:7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</row>
    <row r="162" spans="1:7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</row>
    <row r="163" spans="1:7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</row>
    <row r="164" spans="1:7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</row>
    <row r="165" spans="1:7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</row>
    <row r="166" spans="1:7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</row>
    <row r="167" spans="1:7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</row>
    <row r="168" spans="1:7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</row>
    <row r="169" spans="1:7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</row>
    <row r="170" spans="1:74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</row>
    <row r="171" spans="1:7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</row>
    <row r="172" spans="1:7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</row>
    <row r="173" spans="1:7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</row>
    <row r="174" spans="1:74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</row>
    <row r="175" spans="1:7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</row>
    <row r="176" spans="1:7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</row>
    <row r="177" spans="2:7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</row>
    <row r="178" spans="2:7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</row>
    <row r="179" spans="2:7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</row>
    <row r="180" spans="2:7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</row>
    <row r="181" spans="2:74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</row>
    <row r="182" spans="2:7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</row>
    <row r="183" spans="2:7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</row>
    <row r="184" spans="2:7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</row>
    <row r="185" spans="2:7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</row>
    <row r="186" spans="2:7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</row>
    <row r="187" spans="2:7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</row>
    <row r="188" spans="2:7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</row>
    <row r="189" spans="2:7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</row>
    <row r="190" spans="2:7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</row>
    <row r="191" spans="2:7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</row>
    <row r="192" spans="2:7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</row>
    <row r="193" spans="2:7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</row>
    <row r="194" spans="2:7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</row>
    <row r="195" spans="2:7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</row>
    <row r="196" spans="2:7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</row>
    <row r="197" spans="2:7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</row>
    <row r="198" spans="2:7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</row>
    <row r="199" spans="2:7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</row>
    <row r="200" spans="2:7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</row>
    <row r="201" spans="2:7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</row>
    <row r="202" spans="2:7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</row>
    <row r="203" spans="2:7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</row>
    <row r="204" spans="2:7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</row>
    <row r="205" spans="2:7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</row>
    <row r="206" spans="2:7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</row>
    <row r="207" spans="2:7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</row>
    <row r="208" spans="2:7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</row>
    <row r="209" spans="1:74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</row>
    <row r="210" spans="1:7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</row>
    <row r="211" spans="1:74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</row>
    <row r="212" spans="1:7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</row>
    <row r="213" spans="1:7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</row>
    <row r="214" spans="1:7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</row>
    <row r="215" spans="1:7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</row>
    <row r="216" spans="1:74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</row>
    <row r="217" spans="1:7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</row>
    <row r="218" spans="1:7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</row>
    <row r="219" spans="1:7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</row>
    <row r="220" spans="1:7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</row>
    <row r="221" spans="1:7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</row>
    <row r="222" spans="1:7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</row>
    <row r="223" spans="1:74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</row>
    <row r="224" spans="1:7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</row>
    <row r="225" spans="1:7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</row>
    <row r="226" spans="1:7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</row>
    <row r="227" spans="1:74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</row>
    <row r="228" spans="1:7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</row>
    <row r="229" spans="1:7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</row>
    <row r="230" spans="1:74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</row>
    <row r="231" spans="1:7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</row>
    <row r="232" spans="1:74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</row>
    <row r="233" spans="1:7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</row>
    <row r="234" spans="1:74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</row>
    <row r="235" spans="1:74" x14ac:dyDescent="0.3">
      <c r="B235" t="s">
        <v>560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</row>
    <row r="236" spans="1:74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</row>
    <row r="237" spans="1:74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</row>
    <row r="238" spans="1:74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</row>
    <row r="239" spans="1:74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</row>
    <row r="240" spans="1:7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1:74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</row>
    <row r="242" spans="1:74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</row>
    <row r="243" spans="1:74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</row>
    <row r="244" spans="1:74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</row>
    <row r="245" spans="1:74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</row>
    <row r="246" spans="1:74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</row>
    <row r="247" spans="1:74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</row>
    <row r="248" spans="1:74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</row>
    <row r="249" spans="1:7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</row>
    <row r="250" spans="1:74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</row>
    <row r="251" spans="1:74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</row>
    <row r="252" spans="1:74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</row>
    <row r="253" spans="1:74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</row>
    <row r="254" spans="1:74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</row>
    <row r="255" spans="1:74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</row>
    <row r="256" spans="1:74" x14ac:dyDescent="0.3">
      <c r="B256" t="s">
        <v>622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</row>
    <row r="257" spans="2:74" x14ac:dyDescent="0.3">
      <c r="B257" t="s">
        <v>623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V257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</row>
    <row r="2" spans="1:74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</row>
    <row r="3" spans="1:74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</row>
    <row r="4" spans="1:74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</row>
    <row r="5" spans="1:74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</row>
    <row r="6" spans="1:74" x14ac:dyDescent="0.3">
      <c r="B6" t="s">
        <v>531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</row>
    <row r="7" spans="1:74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</row>
    <row r="8" spans="1:74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</row>
    <row r="9" spans="1:74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</row>
    <row r="10" spans="1:74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</row>
    <row r="11" spans="1:74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</row>
    <row r="12" spans="1:74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</row>
    <row r="13" spans="1:74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</row>
    <row r="14" spans="1:74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</row>
    <row r="15" spans="1:74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</row>
    <row r="16" spans="1:74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</row>
    <row r="17" spans="1:74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</row>
    <row r="18" spans="1:74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</row>
    <row r="19" spans="1:74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</row>
    <row r="20" spans="1:74" x14ac:dyDescent="0.3">
      <c r="B20" t="s">
        <v>580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</row>
    <row r="21" spans="1:74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</row>
    <row r="22" spans="1:74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</row>
    <row r="23" spans="1:74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</row>
    <row r="24" spans="1:74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</row>
    <row r="25" spans="1:74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</row>
    <row r="26" spans="1:74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</row>
    <row r="27" spans="1:74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</row>
    <row r="28" spans="1:74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</row>
    <row r="29" spans="1:74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</row>
    <row r="30" spans="1:74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</row>
    <row r="31" spans="1:74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</row>
    <row r="32" spans="1:74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</row>
    <row r="33" spans="1:74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</row>
    <row r="34" spans="1:74" x14ac:dyDescent="0.3">
      <c r="B34" t="s">
        <v>532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</row>
    <row r="35" spans="1:74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</row>
    <row r="36" spans="1:74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</row>
    <row r="37" spans="1:74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</row>
    <row r="38" spans="1:74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</row>
    <row r="39" spans="1:74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</row>
    <row r="40" spans="1:74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</row>
    <row r="41" spans="1:74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</row>
    <row r="42" spans="1:74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</row>
    <row r="43" spans="1:74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</row>
    <row r="44" spans="1:74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</row>
    <row r="45" spans="1:74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</row>
    <row r="46" spans="1:74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</row>
    <row r="47" spans="1:74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</row>
    <row r="48" spans="1:74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</row>
    <row r="49" spans="1:74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</row>
    <row r="50" spans="1:74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</row>
    <row r="51" spans="1:74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</row>
    <row r="52" spans="1:74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</row>
    <row r="53" spans="1:74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</row>
    <row r="54" spans="1:74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</row>
    <row r="55" spans="1:74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</row>
    <row r="56" spans="1:74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</row>
    <row r="57" spans="1:74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</row>
    <row r="58" spans="1:74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</row>
    <row r="59" spans="1:74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</row>
    <row r="60" spans="1:74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</row>
    <row r="61" spans="1:74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</row>
    <row r="62" spans="1:74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</row>
    <row r="63" spans="1:74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</row>
    <row r="64" spans="1:74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</row>
    <row r="65" spans="1:74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</row>
    <row r="66" spans="1:74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</row>
    <row r="67" spans="1:74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</row>
    <row r="68" spans="1:74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</row>
    <row r="69" spans="1:74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</row>
    <row r="70" spans="1:74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</row>
    <row r="71" spans="1:74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</row>
    <row r="72" spans="1:74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</row>
    <row r="73" spans="1:74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</row>
    <row r="74" spans="1:74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</row>
    <row r="75" spans="1:74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</row>
    <row r="76" spans="1:74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</row>
    <row r="77" spans="1:74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</row>
    <row r="78" spans="1:74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</row>
    <row r="79" spans="1:74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</row>
    <row r="80" spans="1:74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</row>
    <row r="81" spans="1:74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</row>
    <row r="82" spans="1:74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</row>
    <row r="83" spans="1:74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</row>
    <row r="84" spans="1:74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</row>
    <row r="85" spans="1:74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</row>
    <row r="86" spans="1:74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</row>
    <row r="87" spans="1:74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</row>
    <row r="88" spans="1:74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</row>
    <row r="89" spans="1:74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</row>
    <row r="90" spans="1:74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</row>
    <row r="91" spans="1:74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</row>
    <row r="92" spans="1:74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</row>
    <row r="93" spans="1:74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</row>
    <row r="94" spans="1:74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</row>
    <row r="95" spans="1:74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</row>
    <row r="96" spans="1:74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</row>
    <row r="97" spans="1:74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</row>
    <row r="98" spans="1:74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</row>
    <row r="99" spans="1:74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</row>
    <row r="100" spans="1:74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</row>
    <row r="101" spans="1:74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</row>
    <row r="102" spans="1:74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</row>
    <row r="103" spans="1:74" x14ac:dyDescent="0.3">
      <c r="B103" t="s">
        <v>555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</row>
    <row r="104" spans="1:74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</row>
    <row r="105" spans="1:74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</row>
    <row r="106" spans="1:74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</row>
    <row r="107" spans="1:74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</row>
    <row r="108" spans="1:74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</row>
    <row r="109" spans="1:74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</row>
    <row r="110" spans="1:74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</row>
    <row r="111" spans="1:74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</row>
    <row r="112" spans="1:74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</row>
    <row r="113" spans="1:74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</row>
    <row r="114" spans="1:74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</row>
    <row r="115" spans="1:74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</row>
    <row r="116" spans="1:74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</row>
    <row r="117" spans="1:74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</row>
    <row r="118" spans="1:74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</row>
    <row r="119" spans="1:74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</row>
    <row r="120" spans="1:74" x14ac:dyDescent="0.3">
      <c r="B120" t="s">
        <v>581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</row>
    <row r="121" spans="1:74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</row>
    <row r="122" spans="1:74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</row>
    <row r="123" spans="1:74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</row>
    <row r="124" spans="1:74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</row>
    <row r="125" spans="1:74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</row>
    <row r="126" spans="1:74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</row>
    <row r="127" spans="1:74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</row>
    <row r="128" spans="1:74" x14ac:dyDescent="0.3">
      <c r="B128" t="s">
        <v>530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</row>
    <row r="129" spans="2:74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</row>
    <row r="130" spans="2:74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</row>
    <row r="131" spans="2:74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</row>
    <row r="132" spans="2:74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</row>
    <row r="133" spans="2:74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</row>
    <row r="134" spans="2:74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</row>
    <row r="135" spans="2:74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</row>
    <row r="136" spans="2:74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</row>
    <row r="137" spans="2:74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</row>
    <row r="138" spans="2:74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</row>
    <row r="139" spans="2:74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</row>
    <row r="140" spans="2:74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</row>
    <row r="141" spans="2:74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</row>
    <row r="142" spans="2:74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</row>
    <row r="143" spans="2:74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</row>
    <row r="144" spans="2:74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</row>
    <row r="145" spans="2:74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</row>
    <row r="146" spans="2:74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</row>
    <row r="147" spans="2:74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</row>
    <row r="148" spans="2:74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</row>
    <row r="149" spans="2:74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</row>
    <row r="150" spans="2:74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</row>
    <row r="151" spans="2:74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</row>
    <row r="152" spans="2:74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</row>
    <row r="153" spans="2:74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</row>
    <row r="154" spans="2:74" x14ac:dyDescent="0.3">
      <c r="B154" t="s">
        <v>529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</row>
    <row r="155" spans="2:74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</row>
    <row r="156" spans="2:74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</row>
    <row r="157" spans="2:74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</row>
    <row r="158" spans="2:74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</row>
    <row r="159" spans="2:74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</row>
    <row r="160" spans="2:74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</row>
    <row r="161" spans="1:74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</row>
    <row r="162" spans="1:74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</row>
    <row r="163" spans="1:74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</row>
    <row r="164" spans="1:74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</row>
    <row r="165" spans="1:74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</row>
    <row r="166" spans="1:74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</row>
    <row r="167" spans="1:74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</row>
    <row r="168" spans="1:74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</row>
    <row r="169" spans="1:74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</row>
    <row r="170" spans="1:74" x14ac:dyDescent="0.3">
      <c r="A170" t="s">
        <v>533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</row>
    <row r="171" spans="1:74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</row>
    <row r="172" spans="1:74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</row>
    <row r="173" spans="1:74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</row>
    <row r="174" spans="1:74" x14ac:dyDescent="0.3">
      <c r="B174" t="s">
        <v>534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</row>
    <row r="175" spans="1:74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</row>
    <row r="176" spans="1:74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</row>
    <row r="177" spans="2:74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</row>
    <row r="178" spans="2:74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</row>
    <row r="179" spans="2:74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</row>
    <row r="180" spans="2:74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</row>
    <row r="181" spans="2:74" x14ac:dyDescent="0.3">
      <c r="B181" t="s">
        <v>535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</row>
    <row r="182" spans="2:74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</row>
    <row r="183" spans="2:74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</row>
    <row r="184" spans="2:74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</row>
    <row r="185" spans="2:74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</row>
    <row r="186" spans="2:74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</row>
    <row r="187" spans="2:74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</row>
    <row r="188" spans="2:74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</row>
    <row r="189" spans="2:74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</row>
    <row r="190" spans="2:74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</row>
    <row r="191" spans="2:74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</row>
    <row r="192" spans="2:74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</row>
    <row r="193" spans="2:74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</row>
    <row r="194" spans="2:74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</row>
    <row r="195" spans="2:74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</row>
    <row r="196" spans="2:74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</row>
    <row r="197" spans="2:74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</row>
    <row r="198" spans="2:74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</row>
    <row r="199" spans="2:74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</row>
    <row r="200" spans="2:74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</row>
    <row r="201" spans="2:74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</row>
    <row r="202" spans="2:74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</row>
    <row r="203" spans="2:74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</row>
    <row r="204" spans="2:74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</row>
    <row r="205" spans="2:74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</row>
    <row r="206" spans="2:74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</row>
    <row r="207" spans="2:74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</row>
    <row r="208" spans="2:74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</row>
    <row r="209" spans="1:74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</row>
    <row r="210" spans="1:74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</row>
    <row r="211" spans="1:74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</row>
    <row r="212" spans="1:74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</row>
    <row r="213" spans="1:74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</row>
    <row r="214" spans="1:74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</row>
    <row r="215" spans="1:74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</row>
    <row r="216" spans="1:74" x14ac:dyDescent="0.3">
      <c r="B216" t="s">
        <v>556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</row>
    <row r="217" spans="1:74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</row>
    <row r="218" spans="1:74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</row>
    <row r="219" spans="1:74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</row>
    <row r="220" spans="1:74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</row>
    <row r="221" spans="1:74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</row>
    <row r="222" spans="1:74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</row>
    <row r="223" spans="1:74" x14ac:dyDescent="0.3">
      <c r="A223" t="s">
        <v>536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</row>
    <row r="224" spans="1:74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</row>
    <row r="225" spans="1:74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</row>
    <row r="226" spans="1:74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</row>
    <row r="227" spans="1:74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</row>
    <row r="228" spans="1:74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</row>
    <row r="229" spans="1:74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</row>
    <row r="230" spans="1:74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</row>
    <row r="231" spans="1:74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</row>
    <row r="232" spans="1:74" x14ac:dyDescent="0.3">
      <c r="B232" t="s">
        <v>537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</row>
    <row r="233" spans="1:74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</row>
    <row r="234" spans="1:74" x14ac:dyDescent="0.3">
      <c r="B234" t="s">
        <v>559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</row>
    <row r="235" spans="1:74" x14ac:dyDescent="0.3">
      <c r="B235" t="s">
        <v>560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</row>
    <row r="236" spans="1:74" x14ac:dyDescent="0.3">
      <c r="B236" t="s">
        <v>561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</row>
    <row r="237" spans="1:74" x14ac:dyDescent="0.3">
      <c r="B237" t="s">
        <v>562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</row>
    <row r="238" spans="1:74" x14ac:dyDescent="0.3">
      <c r="B238" t="s">
        <v>563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</row>
    <row r="239" spans="1:74" x14ac:dyDescent="0.3">
      <c r="B239" t="s">
        <v>582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</row>
    <row r="240" spans="1:74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1:74" x14ac:dyDescent="0.3">
      <c r="B241" t="s">
        <v>591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</row>
    <row r="242" spans="1:74" x14ac:dyDescent="0.3">
      <c r="B242" t="s">
        <v>592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</row>
    <row r="243" spans="1:74" x14ac:dyDescent="0.3">
      <c r="B243" t="s">
        <v>596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</row>
    <row r="244" spans="1:74" x14ac:dyDescent="0.3">
      <c r="B244" t="s">
        <v>597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</row>
    <row r="245" spans="1:74" x14ac:dyDescent="0.3">
      <c r="B245" t="s">
        <v>598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</row>
    <row r="246" spans="1:74" x14ac:dyDescent="0.3">
      <c r="B246" t="s">
        <v>599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</row>
    <row r="247" spans="1:74" x14ac:dyDescent="0.3">
      <c r="A247" t="s">
        <v>552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</row>
    <row r="248" spans="1:74" x14ac:dyDescent="0.3">
      <c r="A248" t="s">
        <v>600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</row>
    <row r="249" spans="1:74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</row>
    <row r="250" spans="1:74" x14ac:dyDescent="0.3">
      <c r="B250" t="s">
        <v>615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</row>
    <row r="251" spans="1:74" x14ac:dyDescent="0.3">
      <c r="A251" t="s">
        <v>616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</row>
    <row r="252" spans="1:74" x14ac:dyDescent="0.3">
      <c r="A252" t="s">
        <v>617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</row>
    <row r="253" spans="1:74" x14ac:dyDescent="0.3">
      <c r="A253" t="s">
        <v>618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</row>
    <row r="254" spans="1:74" x14ac:dyDescent="0.3">
      <c r="B254" t="s">
        <v>619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</row>
    <row r="255" spans="1:74" x14ac:dyDescent="0.3">
      <c r="B255" t="s">
        <v>620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</row>
    <row r="256" spans="1:74" x14ac:dyDescent="0.3">
      <c r="B256" t="s">
        <v>622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</row>
    <row r="257" spans="2:74" x14ac:dyDescent="0.3">
      <c r="B257" t="s">
        <v>623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2020-04-01T19:01:46Z</dcterms:modified>
</cp:coreProperties>
</file>