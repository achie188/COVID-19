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A74F424A-89BD-481D-81F3-14FEECBCF724}" xr6:coauthVersionLast="45" xr6:coauthVersionMax="45" xr10:uidLastSave="{00000000-0000-0000-0000-000000000000}"/>
  <bookViews>
    <workbookView xWindow="-96" yWindow="-96" windowWidth="23232" windowHeight="13152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" sheetId="8" r:id="rId5"/>
    <sheet name="Deaths_since_10" sheetId="23" r:id="rId6"/>
    <sheet name="Country_Data" sheetId="14" r:id="rId7"/>
    <sheet name="CumulativeConfirmed" sheetId="3" r:id="rId8"/>
    <sheet name="CumulativeDead" sheetId="19" state="hidden" r:id="rId9"/>
    <sheet name="RecoveredRaw" sheetId="17" state="hidden" r:id="rId10"/>
    <sheet name="DeadRaw" sheetId="16" state="hidden" r:id="rId11"/>
    <sheet name="ConfirmedRaw" sheetId="2" state="hidden" r:id="rId12"/>
  </sheets>
  <definedNames>
    <definedName name="_xlnm._FilterDatabase" localSheetId="1" hidden="1">Country_Rates!$C$3:$M$3</definedName>
    <definedName name="_xlnm._FilterDatabase" localSheetId="7" hidden="1">CumulativeConfirmed!$B$1:$BB$1</definedName>
    <definedName name="_xlnm._FilterDatabase" localSheetId="4" hidden="1">Days_Since_100!$B$1:$CU$1</definedName>
    <definedName name="_xlnm._FilterDatabase" localSheetId="5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ountry">Projections!$C$7</definedName>
    <definedName name="country_by_day_jpg">Country_Comparison!$B$2:$P$29</definedName>
    <definedName name="country_jpg">Country_Rates!$A$1:$I$68</definedName>
    <definedName name="criticalcare">Projections!$C$34</definedName>
    <definedName name="death_by_day_jpg">Country_Comparison!$B$31:$P$56</definedName>
    <definedName name="image_jpg">Projections!$A$1:$U$53</definedName>
    <definedName name="image2_jpg">Projections!$A$1:$U$28</definedName>
    <definedName name="Show">Country_Rates!$Q$14</definedName>
    <definedName name="xMax">Country_Comparison!$S$8</definedName>
    <definedName name="xMax2">Projections_Data!$C$30</definedName>
    <definedName name="xMax3">Projections_Data!$D$30</definedName>
    <definedName name="xMax4">Country_Comparison!$T$8</definedName>
    <definedName name="xMin">Country_Comparison!$S$7</definedName>
    <definedName name="xMin2">Projections_Data!$C$29</definedName>
    <definedName name="xMin3">Projections_Data!$D$29</definedName>
    <definedName name="xMin4">Country_Comparison!$T$7</definedName>
    <definedName name="yMax">Country_Comparison!$S$5</definedName>
    <definedName name="yMax2">Projections_Data!$C$27</definedName>
    <definedName name="yMax3">Projections_Data!$D$27</definedName>
    <definedName name="yMax4">Country_Comparison!$T$5</definedName>
    <definedName name="yMin">Country_Comparison!$S$4</definedName>
    <definedName name="yMin2">Projections_Data!$C$26</definedName>
    <definedName name="yMin3">Projections_Data!$D$26</definedName>
    <definedName name="yMin4">Country_Comparison!$T$4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7" i="15" l="1"/>
  <c r="D5" i="8"/>
  <c r="E5" i="8"/>
  <c r="F5" i="8"/>
  <c r="D6" i="8"/>
  <c r="E6" i="8"/>
  <c r="F6" i="8"/>
  <c r="D7" i="8"/>
  <c r="E7" i="8"/>
  <c r="F7" i="8"/>
  <c r="D8" i="8"/>
  <c r="E8" i="8"/>
  <c r="F8" i="8"/>
  <c r="D9" i="8"/>
  <c r="E9" i="8"/>
  <c r="F9" i="8"/>
  <c r="D10" i="8"/>
  <c r="E10" i="8"/>
  <c r="F10" i="8"/>
  <c r="D11" i="8"/>
  <c r="E11" i="8"/>
  <c r="F11" i="8"/>
  <c r="D12" i="8"/>
  <c r="E12" i="8"/>
  <c r="F12" i="8"/>
  <c r="D13" i="8"/>
  <c r="E13" i="8"/>
  <c r="F13" i="8"/>
  <c r="D14" i="8"/>
  <c r="E14" i="8"/>
  <c r="F14" i="8"/>
  <c r="D15" i="8"/>
  <c r="E15" i="8"/>
  <c r="F15" i="8"/>
  <c r="D16" i="8"/>
  <c r="E16" i="8"/>
  <c r="F16" i="8"/>
  <c r="D17" i="8"/>
  <c r="E17" i="8"/>
  <c r="F17" i="8"/>
  <c r="D18" i="8"/>
  <c r="E18" i="8"/>
  <c r="F18" i="8"/>
  <c r="D19" i="8"/>
  <c r="E19" i="8"/>
  <c r="F19" i="8"/>
  <c r="D20" i="8"/>
  <c r="E20" i="8"/>
  <c r="F20" i="8"/>
  <c r="D21" i="8"/>
  <c r="E21" i="8"/>
  <c r="F21" i="8"/>
  <c r="D22" i="8"/>
  <c r="E22" i="8"/>
  <c r="F22" i="8"/>
  <c r="D23" i="8"/>
  <c r="E23" i="8"/>
  <c r="F23" i="8"/>
  <c r="D24" i="8"/>
  <c r="E24" i="8"/>
  <c r="F24" i="8"/>
  <c r="D25" i="8"/>
  <c r="E25" i="8"/>
  <c r="F25" i="8"/>
  <c r="D26" i="8"/>
  <c r="E26" i="8"/>
  <c r="F26" i="8"/>
  <c r="D27" i="8"/>
  <c r="E27" i="8"/>
  <c r="F27" i="8"/>
  <c r="D28" i="8"/>
  <c r="E28" i="8"/>
  <c r="F28" i="8"/>
  <c r="D29" i="8"/>
  <c r="E29" i="8"/>
  <c r="F29" i="8"/>
  <c r="D30" i="8"/>
  <c r="E30" i="8"/>
  <c r="F30" i="8"/>
  <c r="D31" i="8"/>
  <c r="E31" i="8"/>
  <c r="F31" i="8"/>
  <c r="D32" i="8"/>
  <c r="E32" i="8"/>
  <c r="F32" i="8"/>
  <c r="D33" i="8"/>
  <c r="E33" i="8"/>
  <c r="F33" i="8"/>
  <c r="D34" i="8"/>
  <c r="E34" i="8"/>
  <c r="F34" i="8"/>
  <c r="D35" i="8"/>
  <c r="E35" i="8"/>
  <c r="F35" i="8"/>
  <c r="D36" i="8"/>
  <c r="E36" i="8"/>
  <c r="F36" i="8"/>
  <c r="D37" i="8"/>
  <c r="E37" i="8"/>
  <c r="F37" i="8"/>
  <c r="D38" i="8"/>
  <c r="E38" i="8"/>
  <c r="F38" i="8"/>
  <c r="D39" i="8"/>
  <c r="E39" i="8"/>
  <c r="F39" i="8"/>
  <c r="D40" i="8"/>
  <c r="E40" i="8"/>
  <c r="F40" i="8"/>
  <c r="D41" i="8"/>
  <c r="E41" i="8"/>
  <c r="F41" i="8"/>
  <c r="D42" i="8"/>
  <c r="E42" i="8"/>
  <c r="F42" i="8"/>
  <c r="D43" i="8"/>
  <c r="E43" i="8"/>
  <c r="F43" i="8"/>
  <c r="D44" i="8"/>
  <c r="E44" i="8"/>
  <c r="F44" i="8"/>
  <c r="D45" i="8"/>
  <c r="E45" i="8"/>
  <c r="F45" i="8"/>
  <c r="D46" i="8"/>
  <c r="E46" i="8"/>
  <c r="F46" i="8"/>
  <c r="D47" i="8"/>
  <c r="E47" i="8"/>
  <c r="F47" i="8"/>
  <c r="D48" i="8"/>
  <c r="E48" i="8"/>
  <c r="F48" i="8"/>
  <c r="D49" i="8"/>
  <c r="E49" i="8"/>
  <c r="F49" i="8"/>
  <c r="D50" i="8"/>
  <c r="E50" i="8"/>
  <c r="F50" i="8"/>
  <c r="D51" i="8"/>
  <c r="E51" i="8"/>
  <c r="F51" i="8"/>
  <c r="D52" i="8"/>
  <c r="E52" i="8"/>
  <c r="F52" i="8"/>
  <c r="D53" i="8"/>
  <c r="E53" i="8"/>
  <c r="F53" i="8"/>
  <c r="D54" i="8"/>
  <c r="E54" i="8"/>
  <c r="F54" i="8"/>
  <c r="D55" i="8"/>
  <c r="E55" i="8"/>
  <c r="F55" i="8"/>
  <c r="D56" i="8"/>
  <c r="E56" i="8"/>
  <c r="F56" i="8"/>
  <c r="D57" i="8"/>
  <c r="E57" i="8"/>
  <c r="F57" i="8"/>
  <c r="D58" i="8"/>
  <c r="E58" i="8"/>
  <c r="F58" i="8"/>
  <c r="D59" i="8"/>
  <c r="E59" i="8"/>
  <c r="F59" i="8"/>
  <c r="D60" i="8"/>
  <c r="E60" i="8"/>
  <c r="F60" i="8"/>
  <c r="D61" i="8"/>
  <c r="E61" i="8"/>
  <c r="F61" i="8"/>
  <c r="D62" i="8"/>
  <c r="E62" i="8"/>
  <c r="F62" i="8"/>
  <c r="D63" i="8"/>
  <c r="E63" i="8"/>
  <c r="F63" i="8"/>
  <c r="D64" i="8"/>
  <c r="E64" i="8"/>
  <c r="F64" i="8"/>
  <c r="D65" i="8"/>
  <c r="E65" i="8"/>
  <c r="F65" i="8"/>
  <c r="D66" i="8"/>
  <c r="E66" i="8"/>
  <c r="F66" i="8"/>
  <c r="D67" i="8"/>
  <c r="E67" i="8"/>
  <c r="F67" i="8"/>
  <c r="D68" i="8"/>
  <c r="E68" i="8"/>
  <c r="F68" i="8"/>
  <c r="D69" i="8"/>
  <c r="E69" i="8"/>
  <c r="F69" i="8"/>
  <c r="D70" i="8"/>
  <c r="E70" i="8"/>
  <c r="F70" i="8"/>
  <c r="D71" i="8"/>
  <c r="E71" i="8"/>
  <c r="F71" i="8"/>
  <c r="D72" i="8"/>
  <c r="E72" i="8"/>
  <c r="F72" i="8"/>
  <c r="D73" i="8"/>
  <c r="E73" i="8"/>
  <c r="F73" i="8"/>
  <c r="D74" i="8"/>
  <c r="E74" i="8"/>
  <c r="F74" i="8"/>
  <c r="D75" i="8"/>
  <c r="E75" i="8"/>
  <c r="F75" i="8"/>
  <c r="D76" i="8"/>
  <c r="E76" i="8"/>
  <c r="F76" i="8"/>
  <c r="D77" i="8"/>
  <c r="E77" i="8"/>
  <c r="F77" i="8"/>
  <c r="D78" i="8"/>
  <c r="E78" i="8"/>
  <c r="F78" i="8"/>
  <c r="D79" i="8"/>
  <c r="E79" i="8"/>
  <c r="F79" i="8"/>
  <c r="D80" i="8"/>
  <c r="E80" i="8"/>
  <c r="F80" i="8"/>
  <c r="D81" i="8"/>
  <c r="E81" i="8"/>
  <c r="F81" i="8"/>
  <c r="D82" i="8"/>
  <c r="E82" i="8"/>
  <c r="F82" i="8"/>
  <c r="D83" i="8"/>
  <c r="E83" i="8"/>
  <c r="F83" i="8"/>
  <c r="D84" i="8"/>
  <c r="E84" i="8"/>
  <c r="F84" i="8"/>
  <c r="D85" i="8"/>
  <c r="E85" i="8"/>
  <c r="F85" i="8"/>
  <c r="D86" i="8"/>
  <c r="E86" i="8"/>
  <c r="F86" i="8"/>
  <c r="D87" i="8"/>
  <c r="E87" i="8"/>
  <c r="F87" i="8"/>
  <c r="D88" i="8"/>
  <c r="E88" i="8"/>
  <c r="F88" i="8"/>
  <c r="D89" i="8"/>
  <c r="E89" i="8"/>
  <c r="F89" i="8"/>
  <c r="D90" i="8"/>
  <c r="E90" i="8"/>
  <c r="F90" i="8"/>
  <c r="D91" i="8"/>
  <c r="E91" i="8"/>
  <c r="F91" i="8"/>
  <c r="D92" i="8"/>
  <c r="E92" i="8"/>
  <c r="F92" i="8"/>
  <c r="D93" i="8"/>
  <c r="E93" i="8"/>
  <c r="F93" i="8"/>
  <c r="D94" i="8"/>
  <c r="E94" i="8"/>
  <c r="F94" i="8"/>
  <c r="D95" i="8"/>
  <c r="E95" i="8"/>
  <c r="F95" i="8"/>
  <c r="D96" i="8"/>
  <c r="E96" i="8"/>
  <c r="F96" i="8"/>
  <c r="D97" i="8"/>
  <c r="E97" i="8"/>
  <c r="F97" i="8"/>
  <c r="D98" i="8"/>
  <c r="E98" i="8"/>
  <c r="F98" i="8"/>
  <c r="D99" i="8"/>
  <c r="E99" i="8"/>
  <c r="F99" i="8"/>
  <c r="D100" i="8"/>
  <c r="E100" i="8"/>
  <c r="F100" i="8"/>
  <c r="D101" i="8"/>
  <c r="E101" i="8"/>
  <c r="F101" i="8"/>
  <c r="D102" i="8"/>
  <c r="E102" i="8"/>
  <c r="F102" i="8"/>
  <c r="D103" i="8"/>
  <c r="E103" i="8"/>
  <c r="F103" i="8"/>
  <c r="D104" i="8"/>
  <c r="E104" i="8"/>
  <c r="F104" i="8"/>
  <c r="D105" i="8"/>
  <c r="E105" i="8"/>
  <c r="F105" i="8"/>
  <c r="D106" i="8"/>
  <c r="E106" i="8"/>
  <c r="F106" i="8"/>
  <c r="D107" i="8"/>
  <c r="E107" i="8"/>
  <c r="F107" i="8"/>
  <c r="D108" i="8"/>
  <c r="E108" i="8"/>
  <c r="F108" i="8"/>
  <c r="D109" i="8"/>
  <c r="E109" i="8"/>
  <c r="F109" i="8"/>
  <c r="D110" i="8"/>
  <c r="E110" i="8"/>
  <c r="F110" i="8"/>
  <c r="D111" i="8"/>
  <c r="E111" i="8"/>
  <c r="F111" i="8"/>
  <c r="D112" i="8"/>
  <c r="E112" i="8"/>
  <c r="F112" i="8"/>
  <c r="D113" i="8"/>
  <c r="E113" i="8"/>
  <c r="F113" i="8"/>
  <c r="D114" i="8"/>
  <c r="E114" i="8"/>
  <c r="F114" i="8"/>
  <c r="D115" i="8"/>
  <c r="E115" i="8"/>
  <c r="F115" i="8"/>
  <c r="D116" i="8"/>
  <c r="E116" i="8"/>
  <c r="F116" i="8"/>
  <c r="D117" i="8"/>
  <c r="E117" i="8"/>
  <c r="F117" i="8"/>
  <c r="D118" i="8"/>
  <c r="E118" i="8"/>
  <c r="F118" i="8"/>
  <c r="D119" i="8"/>
  <c r="E119" i="8"/>
  <c r="F119" i="8"/>
  <c r="D120" i="8"/>
  <c r="E120" i="8"/>
  <c r="F120" i="8"/>
  <c r="D121" i="8"/>
  <c r="E121" i="8"/>
  <c r="F121" i="8"/>
  <c r="D122" i="8"/>
  <c r="E122" i="8"/>
  <c r="F122" i="8"/>
  <c r="D123" i="8"/>
  <c r="E123" i="8"/>
  <c r="F123" i="8"/>
  <c r="D124" i="8"/>
  <c r="E124" i="8"/>
  <c r="F124" i="8"/>
  <c r="D125" i="8"/>
  <c r="E125" i="8"/>
  <c r="F125" i="8"/>
  <c r="D126" i="8"/>
  <c r="E126" i="8"/>
  <c r="F126" i="8"/>
  <c r="D127" i="8"/>
  <c r="E127" i="8"/>
  <c r="F127" i="8"/>
  <c r="D128" i="8"/>
  <c r="E128" i="8"/>
  <c r="F128" i="8"/>
  <c r="D129" i="8"/>
  <c r="E129" i="8"/>
  <c r="F129" i="8"/>
  <c r="D130" i="8"/>
  <c r="E130" i="8"/>
  <c r="F130" i="8"/>
  <c r="D131" i="8"/>
  <c r="E131" i="8"/>
  <c r="F131" i="8"/>
  <c r="D132" i="8"/>
  <c r="E132" i="8"/>
  <c r="F132" i="8"/>
  <c r="D133" i="8"/>
  <c r="E133" i="8"/>
  <c r="F133" i="8"/>
  <c r="D134" i="8"/>
  <c r="E134" i="8"/>
  <c r="F134" i="8"/>
  <c r="D135" i="8"/>
  <c r="E135" i="8"/>
  <c r="F135" i="8"/>
  <c r="D136" i="8"/>
  <c r="E136" i="8"/>
  <c r="F136" i="8"/>
  <c r="D137" i="8"/>
  <c r="E137" i="8"/>
  <c r="F137" i="8"/>
  <c r="D138" i="8"/>
  <c r="E138" i="8"/>
  <c r="F138" i="8"/>
  <c r="D139" i="8"/>
  <c r="E139" i="8"/>
  <c r="F139" i="8"/>
  <c r="D140" i="8"/>
  <c r="E140" i="8"/>
  <c r="F140" i="8"/>
  <c r="D141" i="8"/>
  <c r="E141" i="8"/>
  <c r="F141" i="8"/>
  <c r="D142" i="8"/>
  <c r="E142" i="8"/>
  <c r="F142" i="8"/>
  <c r="D143" i="8"/>
  <c r="E143" i="8"/>
  <c r="F143" i="8"/>
  <c r="D144" i="8"/>
  <c r="E144" i="8"/>
  <c r="F144" i="8"/>
  <c r="D145" i="8"/>
  <c r="E145" i="8"/>
  <c r="F145" i="8"/>
  <c r="D146" i="8"/>
  <c r="E146" i="8"/>
  <c r="F146" i="8"/>
  <c r="D147" i="8"/>
  <c r="E147" i="8"/>
  <c r="F147" i="8"/>
  <c r="D148" i="8"/>
  <c r="E148" i="8"/>
  <c r="F148" i="8"/>
  <c r="D149" i="8"/>
  <c r="E149" i="8"/>
  <c r="F149" i="8"/>
  <c r="D150" i="8"/>
  <c r="E150" i="8"/>
  <c r="F150" i="8"/>
  <c r="D151" i="8"/>
  <c r="E151" i="8"/>
  <c r="F151" i="8"/>
  <c r="D152" i="8"/>
  <c r="E152" i="8"/>
  <c r="F152" i="8"/>
  <c r="D153" i="8"/>
  <c r="E153" i="8"/>
  <c r="F153" i="8"/>
  <c r="D154" i="8"/>
  <c r="E154" i="8"/>
  <c r="F154" i="8"/>
  <c r="D155" i="8"/>
  <c r="E155" i="8"/>
  <c r="F155" i="8"/>
  <c r="D156" i="8"/>
  <c r="E156" i="8"/>
  <c r="F156" i="8"/>
  <c r="D157" i="8"/>
  <c r="E157" i="8"/>
  <c r="F157" i="8"/>
  <c r="D158" i="8"/>
  <c r="E158" i="8"/>
  <c r="F158" i="8"/>
  <c r="D159" i="8"/>
  <c r="E159" i="8"/>
  <c r="F159" i="8"/>
  <c r="D160" i="8"/>
  <c r="E160" i="8"/>
  <c r="F160" i="8"/>
  <c r="D161" i="8"/>
  <c r="E161" i="8"/>
  <c r="F161" i="8"/>
  <c r="D162" i="8"/>
  <c r="E162" i="8"/>
  <c r="F162" i="8"/>
  <c r="D163" i="8"/>
  <c r="E163" i="8"/>
  <c r="F163" i="8"/>
  <c r="D164" i="8"/>
  <c r="E164" i="8"/>
  <c r="F164" i="8"/>
  <c r="D165" i="8"/>
  <c r="E165" i="8"/>
  <c r="F165" i="8"/>
  <c r="D166" i="8"/>
  <c r="E166" i="8"/>
  <c r="F166" i="8"/>
  <c r="D167" i="8"/>
  <c r="E167" i="8"/>
  <c r="F167" i="8"/>
  <c r="D168" i="8"/>
  <c r="E168" i="8"/>
  <c r="F168" i="8"/>
  <c r="D169" i="8"/>
  <c r="E169" i="8"/>
  <c r="F169" i="8"/>
  <c r="D170" i="8"/>
  <c r="E170" i="8"/>
  <c r="F170" i="8"/>
  <c r="D171" i="8"/>
  <c r="E171" i="8"/>
  <c r="F171" i="8"/>
  <c r="D172" i="8"/>
  <c r="E172" i="8"/>
  <c r="F172" i="8"/>
  <c r="D173" i="8"/>
  <c r="E173" i="8"/>
  <c r="F173" i="8"/>
  <c r="D174" i="8"/>
  <c r="E174" i="8"/>
  <c r="F174" i="8"/>
  <c r="D175" i="8"/>
  <c r="E175" i="8"/>
  <c r="F175" i="8"/>
  <c r="D176" i="8"/>
  <c r="E176" i="8"/>
  <c r="F176" i="8"/>
  <c r="D177" i="8"/>
  <c r="E177" i="8"/>
  <c r="F177" i="8"/>
  <c r="D178" i="8"/>
  <c r="E178" i="8"/>
  <c r="F178" i="8"/>
  <c r="D179" i="8"/>
  <c r="E179" i="8"/>
  <c r="F179" i="8"/>
  <c r="D180" i="8"/>
  <c r="E180" i="8"/>
  <c r="F180" i="8"/>
  <c r="D181" i="8"/>
  <c r="E181" i="8"/>
  <c r="F181" i="8"/>
  <c r="D182" i="8"/>
  <c r="E182" i="8"/>
  <c r="F182" i="8"/>
  <c r="D183" i="8"/>
  <c r="E183" i="8"/>
  <c r="F183" i="8"/>
  <c r="D184" i="8"/>
  <c r="E184" i="8"/>
  <c r="F184" i="8"/>
  <c r="D185" i="8"/>
  <c r="E185" i="8"/>
  <c r="F185" i="8"/>
  <c r="D186" i="8"/>
  <c r="E186" i="8"/>
  <c r="F186" i="8"/>
  <c r="D187" i="8"/>
  <c r="E187" i="8"/>
  <c r="F187" i="8"/>
  <c r="D188" i="8"/>
  <c r="E188" i="8"/>
  <c r="F188" i="8"/>
  <c r="D189" i="8"/>
  <c r="E189" i="8"/>
  <c r="F189" i="8"/>
  <c r="D190" i="8"/>
  <c r="E190" i="8"/>
  <c r="F190" i="8"/>
  <c r="D191" i="8"/>
  <c r="E191" i="8"/>
  <c r="F191" i="8"/>
  <c r="D192" i="8"/>
  <c r="E192" i="8"/>
  <c r="F192" i="8"/>
  <c r="D193" i="8"/>
  <c r="E193" i="8"/>
  <c r="F193" i="8"/>
  <c r="D194" i="8"/>
  <c r="E194" i="8"/>
  <c r="F194" i="8"/>
  <c r="D195" i="8"/>
  <c r="E195" i="8"/>
  <c r="F195" i="8"/>
  <c r="D196" i="8"/>
  <c r="E196" i="8"/>
  <c r="F196" i="8"/>
  <c r="D197" i="8"/>
  <c r="E197" i="8"/>
  <c r="F197" i="8"/>
  <c r="D198" i="8"/>
  <c r="E198" i="8"/>
  <c r="F198" i="8"/>
  <c r="D199" i="8"/>
  <c r="E199" i="8"/>
  <c r="F199" i="8"/>
  <c r="D200" i="8"/>
  <c r="E200" i="8"/>
  <c r="F200" i="8"/>
  <c r="J129" i="14"/>
  <c r="J130" i="14"/>
  <c r="J131" i="14"/>
  <c r="J132" i="14"/>
  <c r="J133" i="14"/>
  <c r="J128" i="14"/>
  <c r="J127" i="14"/>
  <c r="D127" i="14"/>
  <c r="E127" i="14" s="1"/>
  <c r="G127" i="14"/>
  <c r="M127" i="14" s="1"/>
  <c r="N127" i="14"/>
  <c r="O127" i="14" s="1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G134" i="14"/>
  <c r="E2" i="14"/>
  <c r="D4" i="14"/>
  <c r="E4" i="14" s="1"/>
  <c r="D5" i="14"/>
  <c r="E5" i="14" s="1"/>
  <c r="D6" i="14"/>
  <c r="E6" i="14" s="1"/>
  <c r="D7" i="14"/>
  <c r="E7" i="14" s="1"/>
  <c r="D8" i="14"/>
  <c r="E8" i="14" s="1"/>
  <c r="D9" i="14"/>
  <c r="E9" i="14" s="1"/>
  <c r="D10" i="14"/>
  <c r="E10" i="14" s="1"/>
  <c r="D11" i="14"/>
  <c r="E11" i="14" s="1"/>
  <c r="D12" i="14"/>
  <c r="E12" i="14" s="1"/>
  <c r="D13" i="14"/>
  <c r="E13" i="14" s="1"/>
  <c r="D14" i="14"/>
  <c r="E14" i="14" s="1"/>
  <c r="D15" i="14"/>
  <c r="E15" i="14" s="1"/>
  <c r="D16" i="14"/>
  <c r="E16" i="14" s="1"/>
  <c r="D17" i="14"/>
  <c r="E17" i="14" s="1"/>
  <c r="D18" i="14"/>
  <c r="E18" i="14" s="1"/>
  <c r="D19" i="14"/>
  <c r="E19" i="14" s="1"/>
  <c r="D20" i="14"/>
  <c r="E20" i="14" s="1"/>
  <c r="D21" i="14"/>
  <c r="E21" i="14" s="1"/>
  <c r="D22" i="14"/>
  <c r="E22" i="14" s="1"/>
  <c r="D23" i="14"/>
  <c r="E23" i="14" s="1"/>
  <c r="D24" i="14"/>
  <c r="E24" i="14" s="1"/>
  <c r="D25" i="14"/>
  <c r="E25" i="14" s="1"/>
  <c r="D26" i="14"/>
  <c r="E26" i="14" s="1"/>
  <c r="D27" i="14"/>
  <c r="E27" i="14" s="1"/>
  <c r="D28" i="14"/>
  <c r="E28" i="14" s="1"/>
  <c r="D29" i="14"/>
  <c r="E29" i="14" s="1"/>
  <c r="D30" i="14"/>
  <c r="E30" i="14" s="1"/>
  <c r="D31" i="14"/>
  <c r="E31" i="14" s="1"/>
  <c r="D32" i="14"/>
  <c r="E32" i="14" s="1"/>
  <c r="D33" i="14"/>
  <c r="E33" i="14" s="1"/>
  <c r="D34" i="14"/>
  <c r="E34" i="14" s="1"/>
  <c r="D35" i="14"/>
  <c r="E35" i="14" s="1"/>
  <c r="D36" i="14"/>
  <c r="E36" i="14" s="1"/>
  <c r="D37" i="14"/>
  <c r="E37" i="14" s="1"/>
  <c r="D38" i="14"/>
  <c r="E38" i="14" s="1"/>
  <c r="D39" i="14"/>
  <c r="E39" i="14" s="1"/>
  <c r="D40" i="14"/>
  <c r="E40" i="14" s="1"/>
  <c r="D41" i="14"/>
  <c r="E41" i="14" s="1"/>
  <c r="D42" i="14"/>
  <c r="E42" i="14" s="1"/>
  <c r="D43" i="14"/>
  <c r="E43" i="14" s="1"/>
  <c r="D44" i="14"/>
  <c r="E44" i="14" s="1"/>
  <c r="D45" i="14"/>
  <c r="E45" i="14" s="1"/>
  <c r="D46" i="14"/>
  <c r="E46" i="14" s="1"/>
  <c r="D47" i="14"/>
  <c r="E47" i="14" s="1"/>
  <c r="D48" i="14"/>
  <c r="E48" i="14" s="1"/>
  <c r="D49" i="14"/>
  <c r="E49" i="14" s="1"/>
  <c r="D50" i="14"/>
  <c r="E50" i="14" s="1"/>
  <c r="D51" i="14"/>
  <c r="E51" i="14" s="1"/>
  <c r="D52" i="14"/>
  <c r="E52" i="14" s="1"/>
  <c r="D53" i="14"/>
  <c r="E53" i="14" s="1"/>
  <c r="D54" i="14"/>
  <c r="E54" i="14" s="1"/>
  <c r="D55" i="14"/>
  <c r="E55" i="14" s="1"/>
  <c r="D56" i="14"/>
  <c r="E56" i="14" s="1"/>
  <c r="D57" i="14"/>
  <c r="E57" i="14" s="1"/>
  <c r="D58" i="14"/>
  <c r="E58" i="14" s="1"/>
  <c r="D59" i="14"/>
  <c r="E59" i="14" s="1"/>
  <c r="D60" i="14"/>
  <c r="E60" i="14" s="1"/>
  <c r="D61" i="14"/>
  <c r="E61" i="14" s="1"/>
  <c r="D62" i="14"/>
  <c r="E62" i="14" s="1"/>
  <c r="D63" i="14"/>
  <c r="E63" i="14" s="1"/>
  <c r="D64" i="14"/>
  <c r="E64" i="14" s="1"/>
  <c r="D65" i="14"/>
  <c r="E65" i="14" s="1"/>
  <c r="D66" i="14"/>
  <c r="E66" i="14" s="1"/>
  <c r="D67" i="14"/>
  <c r="E67" i="14" s="1"/>
  <c r="D68" i="14"/>
  <c r="E68" i="14" s="1"/>
  <c r="D69" i="14"/>
  <c r="E69" i="14" s="1"/>
  <c r="D70" i="14"/>
  <c r="E70" i="14" s="1"/>
  <c r="D71" i="14"/>
  <c r="E71" i="14" s="1"/>
  <c r="D72" i="14"/>
  <c r="E72" i="14" s="1"/>
  <c r="D73" i="14"/>
  <c r="E73" i="14" s="1"/>
  <c r="D74" i="14"/>
  <c r="E74" i="14" s="1"/>
  <c r="D75" i="14"/>
  <c r="E75" i="14" s="1"/>
  <c r="D76" i="14"/>
  <c r="E76" i="14" s="1"/>
  <c r="D77" i="14"/>
  <c r="E77" i="14" s="1"/>
  <c r="D78" i="14"/>
  <c r="E78" i="14" s="1"/>
  <c r="D79" i="14"/>
  <c r="E79" i="14" s="1"/>
  <c r="D80" i="14"/>
  <c r="E80" i="14" s="1"/>
  <c r="D81" i="14"/>
  <c r="E81" i="14" s="1"/>
  <c r="D82" i="14"/>
  <c r="E82" i="14" s="1"/>
  <c r="D83" i="14"/>
  <c r="E83" i="14" s="1"/>
  <c r="D84" i="14"/>
  <c r="E84" i="14" s="1"/>
  <c r="D85" i="14"/>
  <c r="E85" i="14" s="1"/>
  <c r="D86" i="14"/>
  <c r="E86" i="14" s="1"/>
  <c r="D87" i="14"/>
  <c r="E87" i="14" s="1"/>
  <c r="D88" i="14"/>
  <c r="E88" i="14" s="1"/>
  <c r="D89" i="14"/>
  <c r="E89" i="14" s="1"/>
  <c r="D90" i="14"/>
  <c r="E90" i="14" s="1"/>
  <c r="D91" i="14"/>
  <c r="E91" i="14" s="1"/>
  <c r="D92" i="14"/>
  <c r="E92" i="14" s="1"/>
  <c r="D93" i="14"/>
  <c r="E93" i="14" s="1"/>
  <c r="D94" i="14"/>
  <c r="E94" i="14" s="1"/>
  <c r="D95" i="14"/>
  <c r="E95" i="14" s="1"/>
  <c r="D96" i="14"/>
  <c r="E96" i="14" s="1"/>
  <c r="D97" i="14"/>
  <c r="E97" i="14" s="1"/>
  <c r="D98" i="14"/>
  <c r="E98" i="14" s="1"/>
  <c r="D99" i="14"/>
  <c r="E99" i="14" s="1"/>
  <c r="D100" i="14"/>
  <c r="E100" i="14" s="1"/>
  <c r="D101" i="14"/>
  <c r="E101" i="14" s="1"/>
  <c r="D102" i="14"/>
  <c r="E102" i="14" s="1"/>
  <c r="D103" i="14"/>
  <c r="E103" i="14" s="1"/>
  <c r="D104" i="14"/>
  <c r="E104" i="14" s="1"/>
  <c r="D105" i="14"/>
  <c r="E105" i="14" s="1"/>
  <c r="D106" i="14"/>
  <c r="E106" i="14" s="1"/>
  <c r="D107" i="14"/>
  <c r="E107" i="14" s="1"/>
  <c r="D108" i="14"/>
  <c r="E108" i="14" s="1"/>
  <c r="D109" i="14"/>
  <c r="E109" i="14" s="1"/>
  <c r="D110" i="14"/>
  <c r="E110" i="14" s="1"/>
  <c r="D111" i="14"/>
  <c r="E111" i="14" s="1"/>
  <c r="D112" i="14"/>
  <c r="E112" i="14" s="1"/>
  <c r="D113" i="14"/>
  <c r="E113" i="14" s="1"/>
  <c r="D114" i="14"/>
  <c r="E114" i="14" s="1"/>
  <c r="D115" i="14"/>
  <c r="E115" i="14" s="1"/>
  <c r="D116" i="14"/>
  <c r="E116" i="14" s="1"/>
  <c r="D117" i="14"/>
  <c r="E117" i="14" s="1"/>
  <c r="D118" i="14"/>
  <c r="E118" i="14" s="1"/>
  <c r="D119" i="14"/>
  <c r="E119" i="14" s="1"/>
  <c r="D120" i="14"/>
  <c r="E120" i="14" s="1"/>
  <c r="D121" i="14"/>
  <c r="E121" i="14" s="1"/>
  <c r="D122" i="14"/>
  <c r="E122" i="14" s="1"/>
  <c r="D123" i="14"/>
  <c r="E123" i="14" s="1"/>
  <c r="D124" i="14"/>
  <c r="E124" i="14" s="1"/>
  <c r="D125" i="14"/>
  <c r="E125" i="14" s="1"/>
  <c r="D126" i="14"/>
  <c r="E126" i="14" s="1"/>
  <c r="D3" i="14"/>
  <c r="E3" i="14" s="1"/>
  <c r="C6" i="23"/>
  <c r="B6" i="23" s="1" a="1"/>
  <c r="B6" i="23" s="1"/>
  <c r="D6" i="23"/>
  <c r="C7" i="23"/>
  <c r="B7" i="23" s="1" a="1"/>
  <c r="B7" i="23" s="1"/>
  <c r="D7" i="23"/>
  <c r="C8" i="23"/>
  <c r="B8" i="23" s="1" a="1"/>
  <c r="B8" i="23" s="1"/>
  <c r="D8" i="23"/>
  <c r="C9" i="23"/>
  <c r="B9" i="23" s="1" a="1"/>
  <c r="B9" i="23" s="1"/>
  <c r="D9" i="23"/>
  <c r="C10" i="23"/>
  <c r="B10" i="23" s="1" a="1"/>
  <c r="B10" i="23" s="1"/>
  <c r="D10" i="23"/>
  <c r="C11" i="23"/>
  <c r="B11" i="23" s="1" a="1"/>
  <c r="B11" i="23" s="1"/>
  <c r="D11" i="23"/>
  <c r="C16" i="23"/>
  <c r="B16" i="23" s="1" a="1"/>
  <c r="B16" i="23" s="1"/>
  <c r="D16" i="23"/>
  <c r="C18" i="23"/>
  <c r="B18" i="23" s="1" a="1"/>
  <c r="B18" i="23" s="1"/>
  <c r="D18" i="23"/>
  <c r="C19" i="23"/>
  <c r="B19" i="23" s="1" a="1"/>
  <c r="B19" i="23" s="1"/>
  <c r="D19" i="23"/>
  <c r="C20" i="23"/>
  <c r="B20" i="23" s="1" a="1"/>
  <c r="B20" i="23" s="1"/>
  <c r="D20" i="23"/>
  <c r="C22" i="23"/>
  <c r="B22" i="23" s="1" a="1"/>
  <c r="B22" i="23" s="1"/>
  <c r="D22" i="23"/>
  <c r="C24" i="23"/>
  <c r="B24" i="23" s="1" a="1"/>
  <c r="B24" i="23" s="1"/>
  <c r="D24" i="23"/>
  <c r="C25" i="23"/>
  <c r="B25" i="23" s="1" a="1"/>
  <c r="B25" i="23" s="1"/>
  <c r="D25" i="23"/>
  <c r="C26" i="23"/>
  <c r="B26" i="23" s="1" a="1"/>
  <c r="B26" i="23" s="1"/>
  <c r="D26" i="23"/>
  <c r="C27" i="23"/>
  <c r="B27" i="23" s="1" a="1"/>
  <c r="B27" i="23" s="1"/>
  <c r="D27" i="23"/>
  <c r="C28" i="23"/>
  <c r="B28" i="23" s="1" a="1"/>
  <c r="B28" i="23" s="1"/>
  <c r="D28" i="23"/>
  <c r="C29" i="23"/>
  <c r="B29" i="23" s="1" a="1"/>
  <c r="B29" i="23" s="1"/>
  <c r="D29" i="23"/>
  <c r="C30" i="23"/>
  <c r="B30" i="23" s="1" a="1"/>
  <c r="B30" i="23" s="1"/>
  <c r="D30" i="23"/>
  <c r="C31" i="23"/>
  <c r="B31" i="23" s="1" a="1"/>
  <c r="B31" i="23" s="1"/>
  <c r="D31" i="23"/>
  <c r="C32" i="23"/>
  <c r="B32" i="23" s="1" a="1"/>
  <c r="B32" i="23" s="1"/>
  <c r="D32" i="23"/>
  <c r="C33" i="23"/>
  <c r="B33" i="23" s="1" a="1"/>
  <c r="B33" i="23" s="1"/>
  <c r="D33" i="23"/>
  <c r="C34" i="23"/>
  <c r="B34" i="23" s="1" a="1"/>
  <c r="B34" i="23" s="1"/>
  <c r="D34" i="23"/>
  <c r="C35" i="23"/>
  <c r="B35" i="23" s="1" a="1"/>
  <c r="B35" i="23" s="1"/>
  <c r="D35" i="23"/>
  <c r="C36" i="23"/>
  <c r="B36" i="23" s="1" a="1"/>
  <c r="B36" i="23" s="1"/>
  <c r="D36" i="23"/>
  <c r="C37" i="23"/>
  <c r="B37" i="23" s="1" a="1"/>
  <c r="B37" i="23" s="1"/>
  <c r="D37" i="23"/>
  <c r="C38" i="23"/>
  <c r="B38" i="23" s="1" a="1"/>
  <c r="B38" i="23" s="1"/>
  <c r="D38" i="23"/>
  <c r="C39" i="23"/>
  <c r="B39" i="23" s="1" a="1"/>
  <c r="B39" i="23" s="1"/>
  <c r="D39" i="23"/>
  <c r="C40" i="23"/>
  <c r="B40" i="23" s="1" a="1"/>
  <c r="B40" i="23" s="1"/>
  <c r="D40" i="23"/>
  <c r="C41" i="23"/>
  <c r="B41" i="23" s="1" a="1"/>
  <c r="B41" i="23" s="1"/>
  <c r="D41" i="23"/>
  <c r="C42" i="23"/>
  <c r="B42" i="23" s="1" a="1"/>
  <c r="B42" i="23" s="1"/>
  <c r="D42" i="23"/>
  <c r="C43" i="23"/>
  <c r="B43" i="23" s="1" a="1"/>
  <c r="B43" i="23" s="1"/>
  <c r="D43" i="23"/>
  <c r="C44" i="23"/>
  <c r="B44" i="23" s="1" a="1"/>
  <c r="B44" i="23" s="1"/>
  <c r="D44" i="23"/>
  <c r="C45" i="23"/>
  <c r="B45" i="23" s="1" a="1"/>
  <c r="B45" i="23" s="1"/>
  <c r="D45" i="23"/>
  <c r="C46" i="23"/>
  <c r="B46" i="23" s="1" a="1"/>
  <c r="B46" i="23" s="1"/>
  <c r="D46" i="23"/>
  <c r="C47" i="23"/>
  <c r="B47" i="23" s="1" a="1"/>
  <c r="B47" i="23" s="1"/>
  <c r="D47" i="23"/>
  <c r="C48" i="23"/>
  <c r="B48" i="23" s="1" a="1"/>
  <c r="B48" i="23" s="1"/>
  <c r="D48" i="23"/>
  <c r="C49" i="23"/>
  <c r="B49" i="23" s="1" a="1"/>
  <c r="B49" i="23" s="1"/>
  <c r="D49" i="23"/>
  <c r="C50" i="23"/>
  <c r="B50" i="23" s="1" a="1"/>
  <c r="B50" i="23" s="1"/>
  <c r="D50" i="23"/>
  <c r="C51" i="23"/>
  <c r="B51" i="23" s="1" a="1"/>
  <c r="B51" i="23" s="1"/>
  <c r="D51" i="23"/>
  <c r="C52" i="23"/>
  <c r="B52" i="23" s="1" a="1"/>
  <c r="B52" i="23" s="1"/>
  <c r="D52" i="23"/>
  <c r="C53" i="23"/>
  <c r="B53" i="23" s="1" a="1"/>
  <c r="B53" i="23" s="1"/>
  <c r="D53" i="23"/>
  <c r="C54" i="23"/>
  <c r="B54" i="23" s="1" a="1"/>
  <c r="B54" i="23" s="1"/>
  <c r="D54" i="23"/>
  <c r="C55" i="23"/>
  <c r="B55" i="23" s="1" a="1"/>
  <c r="B55" i="23" s="1"/>
  <c r="D55" i="23"/>
  <c r="C56" i="23"/>
  <c r="B56" i="23" s="1" a="1"/>
  <c r="B56" i="23" s="1"/>
  <c r="D56" i="23"/>
  <c r="C13" i="23"/>
  <c r="B13" i="23" s="1" a="1"/>
  <c r="B13" i="23" s="1"/>
  <c r="D13" i="23"/>
  <c r="C12" i="23"/>
  <c r="B12" i="23" s="1" a="1"/>
  <c r="B12" i="23" s="1"/>
  <c r="D12" i="23"/>
  <c r="C14" i="23"/>
  <c r="B14" i="23" s="1" a="1"/>
  <c r="B14" i="23" s="1"/>
  <c r="D14" i="23"/>
  <c r="C15" i="23"/>
  <c r="B15" i="23" s="1" a="1"/>
  <c r="B15" i="23" s="1"/>
  <c r="D15" i="23"/>
  <c r="C17" i="23"/>
  <c r="B17" i="23" s="1" a="1"/>
  <c r="B17" i="23" s="1"/>
  <c r="D17" i="23"/>
  <c r="C21" i="23"/>
  <c r="B21" i="23" s="1" a="1"/>
  <c r="B21" i="23" s="1"/>
  <c r="D21" i="23"/>
  <c r="C23" i="23"/>
  <c r="B23" i="23" s="1" a="1"/>
  <c r="B23" i="23" s="1"/>
  <c r="D23" i="23"/>
  <c r="C57" i="23"/>
  <c r="B57" i="23" s="1" a="1"/>
  <c r="B57" i="23" s="1"/>
  <c r="D57" i="23"/>
  <c r="E57" i="23"/>
  <c r="F57" i="23"/>
  <c r="G57" i="23"/>
  <c r="C58" i="23"/>
  <c r="B58" i="23" s="1" a="1"/>
  <c r="B58" i="23" s="1"/>
  <c r="D58" i="23"/>
  <c r="E58" i="23"/>
  <c r="F58" i="23"/>
  <c r="G58" i="23"/>
  <c r="C59" i="23"/>
  <c r="B59" i="23" s="1" a="1"/>
  <c r="B59" i="23" s="1"/>
  <c r="D59" i="23"/>
  <c r="E59" i="23"/>
  <c r="F59" i="23"/>
  <c r="G59" i="23"/>
  <c r="C60" i="23"/>
  <c r="B60" i="23" s="1" a="1"/>
  <c r="B60" i="23" s="1"/>
  <c r="D60" i="23"/>
  <c r="E60" i="23"/>
  <c r="F60" i="23"/>
  <c r="G60" i="23"/>
  <c r="C61" i="23"/>
  <c r="B61" i="23" s="1" a="1"/>
  <c r="B61" i="23" s="1"/>
  <c r="D61" i="23"/>
  <c r="E61" i="23"/>
  <c r="F61" i="23"/>
  <c r="G61" i="23"/>
  <c r="C62" i="23"/>
  <c r="B62" i="23" s="1" a="1"/>
  <c r="B62" i="23" s="1"/>
  <c r="D62" i="23"/>
  <c r="E62" i="23"/>
  <c r="F62" i="23"/>
  <c r="G62" i="23"/>
  <c r="C63" i="23"/>
  <c r="B63" i="23" s="1" a="1"/>
  <c r="B63" i="23" s="1"/>
  <c r="D63" i="23"/>
  <c r="E63" i="23"/>
  <c r="F63" i="23"/>
  <c r="G63" i="23"/>
  <c r="C64" i="23"/>
  <c r="B64" i="23" s="1" a="1"/>
  <c r="B64" i="23" s="1"/>
  <c r="D64" i="23"/>
  <c r="E64" i="23"/>
  <c r="F64" i="23"/>
  <c r="G64" i="23"/>
  <c r="C65" i="23"/>
  <c r="B65" i="23" s="1" a="1"/>
  <c r="B65" i="23" s="1"/>
  <c r="D65" i="23"/>
  <c r="E65" i="23"/>
  <c r="F65" i="23"/>
  <c r="G65" i="23"/>
  <c r="C66" i="23"/>
  <c r="B66" i="23" s="1" a="1"/>
  <c r="B66" i="23" s="1"/>
  <c r="D66" i="23"/>
  <c r="E66" i="23"/>
  <c r="F66" i="23"/>
  <c r="G66" i="23"/>
  <c r="C67" i="23"/>
  <c r="B67" i="23" s="1" a="1"/>
  <c r="B67" i="23" s="1"/>
  <c r="D67" i="23"/>
  <c r="E67" i="23"/>
  <c r="F67" i="23"/>
  <c r="G67" i="23"/>
  <c r="C68" i="23"/>
  <c r="B68" i="23" s="1" a="1"/>
  <c r="B68" i="23" s="1"/>
  <c r="D68" i="23"/>
  <c r="E68" i="23"/>
  <c r="F68" i="23"/>
  <c r="G68" i="23"/>
  <c r="C69" i="23"/>
  <c r="B69" i="23" s="1" a="1"/>
  <c r="B69" i="23" s="1"/>
  <c r="D69" i="23"/>
  <c r="E69" i="23"/>
  <c r="F69" i="23"/>
  <c r="G69" i="23"/>
  <c r="C70" i="23"/>
  <c r="B70" i="23" s="1" a="1"/>
  <c r="B70" i="23" s="1"/>
  <c r="D70" i="23"/>
  <c r="E70" i="23"/>
  <c r="F70" i="23"/>
  <c r="G70" i="23"/>
  <c r="C71" i="23"/>
  <c r="B71" i="23" s="1" a="1"/>
  <c r="B71" i="23" s="1"/>
  <c r="D71" i="23"/>
  <c r="E71" i="23"/>
  <c r="F71" i="23"/>
  <c r="G71" i="23"/>
  <c r="C72" i="23"/>
  <c r="B72" i="23" s="1" a="1"/>
  <c r="B72" i="23" s="1"/>
  <c r="D72" i="23"/>
  <c r="E72" i="23"/>
  <c r="F72" i="23"/>
  <c r="G72" i="23"/>
  <c r="C73" i="23"/>
  <c r="B73" i="23" s="1" a="1"/>
  <c r="B73" i="23" s="1"/>
  <c r="D73" i="23"/>
  <c r="E73" i="23"/>
  <c r="F73" i="23"/>
  <c r="G73" i="23"/>
  <c r="C74" i="23"/>
  <c r="B74" i="23" s="1" a="1"/>
  <c r="B74" i="23" s="1"/>
  <c r="D74" i="23"/>
  <c r="E74" i="23"/>
  <c r="F74" i="23"/>
  <c r="G74" i="23"/>
  <c r="C75" i="23"/>
  <c r="B75" i="23" s="1" a="1"/>
  <c r="B75" i="23" s="1"/>
  <c r="D75" i="23"/>
  <c r="E75" i="23"/>
  <c r="F75" i="23"/>
  <c r="G75" i="23"/>
  <c r="C76" i="23"/>
  <c r="B76" i="23" s="1" a="1"/>
  <c r="B76" i="23" s="1"/>
  <c r="D76" i="23"/>
  <c r="E76" i="23"/>
  <c r="F76" i="23"/>
  <c r="G76" i="23"/>
  <c r="C77" i="23"/>
  <c r="B77" i="23" s="1" a="1"/>
  <c r="B77" i="23" s="1"/>
  <c r="D77" i="23"/>
  <c r="E77" i="23"/>
  <c r="F77" i="23"/>
  <c r="G77" i="23"/>
  <c r="C78" i="23"/>
  <c r="B78" i="23" s="1" a="1"/>
  <c r="B78" i="23" s="1"/>
  <c r="D78" i="23"/>
  <c r="E78" i="23"/>
  <c r="F78" i="23"/>
  <c r="G78" i="23"/>
  <c r="C79" i="23"/>
  <c r="B79" i="23" s="1" a="1"/>
  <c r="B79" i="23" s="1"/>
  <c r="D79" i="23"/>
  <c r="E79" i="23"/>
  <c r="F79" i="23"/>
  <c r="G79" i="23"/>
  <c r="C80" i="23"/>
  <c r="B80" i="23" s="1" a="1"/>
  <c r="B80" i="23" s="1"/>
  <c r="D80" i="23"/>
  <c r="E80" i="23"/>
  <c r="F80" i="23"/>
  <c r="G80" i="23"/>
  <c r="C81" i="23"/>
  <c r="B81" i="23" s="1" a="1"/>
  <c r="B81" i="23" s="1"/>
  <c r="D81" i="23"/>
  <c r="E81" i="23"/>
  <c r="F81" i="23"/>
  <c r="G81" i="23"/>
  <c r="C82" i="23"/>
  <c r="B82" i="23" s="1" a="1"/>
  <c r="B82" i="23" s="1"/>
  <c r="D82" i="23"/>
  <c r="E82" i="23"/>
  <c r="F82" i="23"/>
  <c r="G82" i="23"/>
  <c r="C83" i="23"/>
  <c r="B83" i="23" s="1" a="1"/>
  <c r="B83" i="23" s="1"/>
  <c r="D83" i="23"/>
  <c r="E83" i="23"/>
  <c r="F83" i="23"/>
  <c r="G83" i="23"/>
  <c r="C84" i="23"/>
  <c r="B84" i="23" s="1" a="1"/>
  <c r="B84" i="23" s="1"/>
  <c r="D84" i="23"/>
  <c r="E84" i="23"/>
  <c r="F84" i="23"/>
  <c r="G84" i="23"/>
  <c r="C85" i="23"/>
  <c r="B85" i="23" s="1" a="1"/>
  <c r="B85" i="23" s="1"/>
  <c r="D85" i="23"/>
  <c r="E85" i="23"/>
  <c r="F85" i="23"/>
  <c r="G85" i="23"/>
  <c r="C86" i="23"/>
  <c r="B86" i="23" s="1" a="1"/>
  <c r="B86" i="23" s="1"/>
  <c r="D86" i="23"/>
  <c r="E86" i="23"/>
  <c r="F86" i="23"/>
  <c r="G86" i="23"/>
  <c r="C87" i="23"/>
  <c r="B87" i="23" s="1" a="1"/>
  <c r="B87" i="23" s="1"/>
  <c r="D87" i="23"/>
  <c r="E87" i="23"/>
  <c r="F87" i="23"/>
  <c r="G87" i="23"/>
  <c r="C88" i="23"/>
  <c r="B88" i="23" s="1" a="1"/>
  <c r="B88" i="23" s="1"/>
  <c r="D88" i="23"/>
  <c r="E88" i="23"/>
  <c r="F88" i="23"/>
  <c r="G88" i="23"/>
  <c r="C89" i="23"/>
  <c r="B89" i="23" s="1" a="1"/>
  <c r="B89" i="23" s="1"/>
  <c r="D89" i="23"/>
  <c r="E89" i="23"/>
  <c r="F89" i="23"/>
  <c r="G89" i="23"/>
  <c r="C90" i="23"/>
  <c r="B90" i="23" s="1" a="1"/>
  <c r="B90" i="23" s="1"/>
  <c r="D90" i="23"/>
  <c r="E90" i="23"/>
  <c r="F90" i="23"/>
  <c r="G90" i="23"/>
  <c r="C91" i="23"/>
  <c r="B91" i="23" s="1" a="1"/>
  <c r="B91" i="23" s="1"/>
  <c r="D91" i="23"/>
  <c r="E91" i="23"/>
  <c r="F91" i="23"/>
  <c r="G91" i="23"/>
  <c r="C92" i="23"/>
  <c r="B92" i="23" s="1" a="1"/>
  <c r="B92" i="23" s="1"/>
  <c r="D92" i="23"/>
  <c r="E92" i="23"/>
  <c r="F92" i="23"/>
  <c r="G92" i="23"/>
  <c r="C93" i="23"/>
  <c r="B93" i="23" s="1" a="1"/>
  <c r="B93" i="23" s="1"/>
  <c r="D93" i="23"/>
  <c r="E93" i="23"/>
  <c r="F93" i="23"/>
  <c r="G93" i="23"/>
  <c r="C94" i="23"/>
  <c r="B94" i="23" s="1" a="1"/>
  <c r="B94" i="23" s="1"/>
  <c r="D94" i="23"/>
  <c r="E94" i="23"/>
  <c r="F94" i="23"/>
  <c r="G94" i="23"/>
  <c r="C95" i="23"/>
  <c r="B95" i="23" s="1" a="1"/>
  <c r="B95" i="23" s="1"/>
  <c r="D95" i="23"/>
  <c r="E95" i="23"/>
  <c r="F95" i="23"/>
  <c r="G95" i="23"/>
  <c r="C96" i="23"/>
  <c r="B96" i="23" s="1" a="1"/>
  <c r="B96" i="23" s="1"/>
  <c r="D96" i="23"/>
  <c r="E96" i="23"/>
  <c r="F96" i="23"/>
  <c r="G96" i="23"/>
  <c r="C97" i="23"/>
  <c r="B97" i="23" s="1" a="1"/>
  <c r="B97" i="23" s="1"/>
  <c r="D97" i="23"/>
  <c r="E97" i="23"/>
  <c r="F97" i="23"/>
  <c r="G97" i="23"/>
  <c r="C98" i="23"/>
  <c r="B98" i="23" s="1" a="1"/>
  <c r="B98" i="23" s="1"/>
  <c r="D98" i="23"/>
  <c r="E98" i="23"/>
  <c r="F98" i="23"/>
  <c r="G98" i="23"/>
  <c r="C99" i="23"/>
  <c r="B99" i="23" s="1" a="1"/>
  <c r="B99" i="23" s="1"/>
  <c r="D99" i="23"/>
  <c r="E99" i="23"/>
  <c r="F99" i="23"/>
  <c r="G99" i="23"/>
  <c r="C100" i="23"/>
  <c r="B100" i="23" s="1" a="1"/>
  <c r="B100" i="23" s="1"/>
  <c r="D100" i="23"/>
  <c r="E100" i="23"/>
  <c r="F100" i="23"/>
  <c r="G100" i="23"/>
  <c r="C101" i="23"/>
  <c r="B101" i="23" s="1" a="1"/>
  <c r="B101" i="23" s="1"/>
  <c r="D101" i="23"/>
  <c r="E101" i="23"/>
  <c r="F101" i="23"/>
  <c r="G101" i="23"/>
  <c r="C102" i="23"/>
  <c r="B102" i="23" s="1" a="1"/>
  <c r="B102" i="23" s="1"/>
  <c r="D102" i="23"/>
  <c r="E102" i="23"/>
  <c r="F102" i="23"/>
  <c r="G102" i="23"/>
  <c r="C103" i="23"/>
  <c r="B103" i="23" s="1" a="1"/>
  <c r="B103" i="23" s="1"/>
  <c r="D103" i="23"/>
  <c r="E103" i="23"/>
  <c r="F103" i="23"/>
  <c r="G103" i="23"/>
  <c r="C104" i="23"/>
  <c r="B104" i="23" s="1" a="1"/>
  <c r="B104" i="23" s="1"/>
  <c r="D104" i="23"/>
  <c r="E104" i="23"/>
  <c r="F104" i="23"/>
  <c r="G104" i="23"/>
  <c r="C105" i="23"/>
  <c r="B105" i="23" s="1" a="1"/>
  <c r="B105" i="23" s="1"/>
  <c r="D105" i="23"/>
  <c r="E105" i="23"/>
  <c r="F105" i="23"/>
  <c r="G105" i="23"/>
  <c r="C106" i="23"/>
  <c r="B106" i="23" s="1" a="1"/>
  <c r="B106" i="23" s="1"/>
  <c r="D106" i="23"/>
  <c r="E106" i="23"/>
  <c r="F106" i="23"/>
  <c r="G106" i="23"/>
  <c r="C107" i="23"/>
  <c r="B107" i="23" s="1" a="1"/>
  <c r="B107" i="23" s="1"/>
  <c r="D107" i="23"/>
  <c r="E107" i="23"/>
  <c r="F107" i="23"/>
  <c r="G107" i="23"/>
  <c r="C108" i="23"/>
  <c r="B108" i="23" s="1" a="1"/>
  <c r="B108" i="23" s="1"/>
  <c r="D108" i="23"/>
  <c r="E108" i="23"/>
  <c r="F108" i="23"/>
  <c r="G108" i="23"/>
  <c r="C109" i="23"/>
  <c r="B109" i="23" s="1" a="1"/>
  <c r="B109" i="23" s="1"/>
  <c r="D109" i="23"/>
  <c r="E109" i="23"/>
  <c r="F109" i="23"/>
  <c r="G109" i="23"/>
  <c r="C110" i="23"/>
  <c r="B110" i="23" s="1" a="1"/>
  <c r="B110" i="23" s="1"/>
  <c r="D110" i="23"/>
  <c r="E110" i="23"/>
  <c r="F110" i="23"/>
  <c r="G110" i="23"/>
  <c r="C111" i="23"/>
  <c r="B111" i="23" s="1" a="1"/>
  <c r="B111" i="23" s="1"/>
  <c r="D111" i="23"/>
  <c r="E111" i="23"/>
  <c r="F111" i="23"/>
  <c r="G111" i="23"/>
  <c r="C112" i="23"/>
  <c r="B112" i="23" s="1" a="1"/>
  <c r="B112" i="23" s="1"/>
  <c r="D112" i="23"/>
  <c r="E112" i="23"/>
  <c r="F112" i="23"/>
  <c r="G112" i="23"/>
  <c r="C113" i="23"/>
  <c r="B113" i="23" s="1" a="1"/>
  <c r="B113" i="23" s="1"/>
  <c r="D113" i="23"/>
  <c r="E113" i="23"/>
  <c r="F113" i="23"/>
  <c r="G113" i="23"/>
  <c r="C114" i="23"/>
  <c r="B114" i="23" s="1" a="1"/>
  <c r="B114" i="23" s="1"/>
  <c r="D114" i="23"/>
  <c r="E114" i="23"/>
  <c r="F114" i="23"/>
  <c r="G114" i="23"/>
  <c r="C115" i="23"/>
  <c r="B115" i="23" s="1" a="1"/>
  <c r="B115" i="23" s="1"/>
  <c r="D115" i="23"/>
  <c r="E115" i="23"/>
  <c r="F115" i="23"/>
  <c r="G115" i="23"/>
  <c r="C116" i="23"/>
  <c r="B116" i="23" s="1" a="1"/>
  <c r="B116" i="23" s="1"/>
  <c r="D116" i="23"/>
  <c r="E116" i="23"/>
  <c r="F116" i="23"/>
  <c r="G116" i="23"/>
  <c r="C117" i="23"/>
  <c r="B117" i="23" s="1" a="1"/>
  <c r="B117" i="23" s="1"/>
  <c r="D117" i="23"/>
  <c r="E117" i="23"/>
  <c r="F117" i="23"/>
  <c r="G117" i="23"/>
  <c r="C118" i="23"/>
  <c r="B118" i="23" s="1" a="1"/>
  <c r="B118" i="23" s="1"/>
  <c r="D118" i="23"/>
  <c r="E118" i="23"/>
  <c r="F118" i="23"/>
  <c r="G118" i="23"/>
  <c r="C119" i="23"/>
  <c r="B119" i="23" s="1" a="1"/>
  <c r="B119" i="23" s="1"/>
  <c r="D119" i="23"/>
  <c r="E119" i="23"/>
  <c r="F119" i="23"/>
  <c r="G119" i="23"/>
  <c r="C120" i="23"/>
  <c r="B120" i="23" s="1" a="1"/>
  <c r="B120" i="23" s="1"/>
  <c r="D120" i="23"/>
  <c r="E120" i="23"/>
  <c r="F120" i="23"/>
  <c r="G120" i="23"/>
  <c r="C121" i="23"/>
  <c r="B121" i="23" s="1" a="1"/>
  <c r="B121" i="23" s="1"/>
  <c r="D121" i="23"/>
  <c r="E121" i="23"/>
  <c r="F121" i="23"/>
  <c r="G121" i="23"/>
  <c r="C122" i="23"/>
  <c r="B122" i="23" s="1" a="1"/>
  <c r="B122" i="23" s="1"/>
  <c r="D122" i="23"/>
  <c r="E122" i="23"/>
  <c r="F122" i="23"/>
  <c r="G122" i="23"/>
  <c r="C123" i="23"/>
  <c r="B123" i="23" s="1" a="1"/>
  <c r="B123" i="23" s="1"/>
  <c r="D123" i="23"/>
  <c r="E123" i="23"/>
  <c r="F123" i="23"/>
  <c r="G123" i="23"/>
  <c r="C124" i="23"/>
  <c r="B124" i="23" s="1" a="1"/>
  <c r="B124" i="23" s="1"/>
  <c r="D124" i="23"/>
  <c r="E124" i="23"/>
  <c r="F124" i="23"/>
  <c r="G124" i="23"/>
  <c r="C125" i="23"/>
  <c r="B125" i="23" s="1" a="1"/>
  <c r="B125" i="23" s="1"/>
  <c r="D125" i="23"/>
  <c r="E125" i="23"/>
  <c r="F125" i="23"/>
  <c r="G125" i="23"/>
  <c r="C126" i="23"/>
  <c r="B126" i="23" s="1" a="1"/>
  <c r="B126" i="23" s="1"/>
  <c r="D126" i="23"/>
  <c r="E126" i="23"/>
  <c r="F126" i="23"/>
  <c r="G126" i="23"/>
  <c r="C127" i="23"/>
  <c r="B127" i="23" s="1" a="1"/>
  <c r="B127" i="23" s="1"/>
  <c r="D127" i="23"/>
  <c r="E127" i="23"/>
  <c r="F127" i="23"/>
  <c r="G127" i="23"/>
  <c r="C128" i="23"/>
  <c r="B128" i="23" s="1" a="1"/>
  <c r="B128" i="23" s="1"/>
  <c r="D128" i="23"/>
  <c r="E128" i="23"/>
  <c r="F128" i="23"/>
  <c r="G128" i="23"/>
  <c r="C129" i="23"/>
  <c r="B129" i="23" s="1" a="1"/>
  <c r="B129" i="23" s="1"/>
  <c r="D129" i="23"/>
  <c r="E129" i="23"/>
  <c r="F129" i="23"/>
  <c r="G129" i="23"/>
  <c r="C130" i="23"/>
  <c r="B130" i="23" s="1" a="1"/>
  <c r="B130" i="23" s="1"/>
  <c r="D130" i="23"/>
  <c r="E130" i="23"/>
  <c r="F130" i="23"/>
  <c r="G130" i="23"/>
  <c r="C131" i="23"/>
  <c r="B131" i="23" s="1" a="1"/>
  <c r="B131" i="23" s="1"/>
  <c r="D131" i="23"/>
  <c r="E131" i="23"/>
  <c r="F131" i="23"/>
  <c r="G131" i="23"/>
  <c r="C132" i="23"/>
  <c r="B132" i="23" s="1" a="1"/>
  <c r="B132" i="23" s="1"/>
  <c r="D132" i="23"/>
  <c r="E132" i="23"/>
  <c r="F132" i="23"/>
  <c r="G132" i="23"/>
  <c r="C133" i="23"/>
  <c r="B133" i="23" s="1" a="1"/>
  <c r="B133" i="23" s="1"/>
  <c r="D133" i="23"/>
  <c r="E133" i="23"/>
  <c r="F133" i="23"/>
  <c r="G133" i="23"/>
  <c r="C134" i="23"/>
  <c r="B134" i="23" s="1" a="1"/>
  <c r="B134" i="23" s="1"/>
  <c r="D134" i="23"/>
  <c r="E134" i="23"/>
  <c r="F134" i="23"/>
  <c r="G134" i="23"/>
  <c r="C135" i="23"/>
  <c r="B135" i="23" s="1" a="1"/>
  <c r="B135" i="23" s="1"/>
  <c r="D135" i="23"/>
  <c r="E135" i="23"/>
  <c r="F135" i="23"/>
  <c r="G135" i="23"/>
  <c r="C136" i="23"/>
  <c r="B136" i="23" s="1" a="1"/>
  <c r="B136" i="23" s="1"/>
  <c r="D136" i="23"/>
  <c r="E136" i="23"/>
  <c r="F136" i="23"/>
  <c r="G136" i="23"/>
  <c r="C137" i="23"/>
  <c r="B137" i="23" s="1" a="1"/>
  <c r="B137" i="23" s="1"/>
  <c r="D137" i="23"/>
  <c r="E137" i="23"/>
  <c r="F137" i="23"/>
  <c r="G137" i="23"/>
  <c r="C138" i="23"/>
  <c r="B138" i="23" s="1" a="1"/>
  <c r="B138" i="23" s="1"/>
  <c r="D138" i="23"/>
  <c r="E138" i="23"/>
  <c r="F138" i="23"/>
  <c r="G138" i="23"/>
  <c r="C139" i="23"/>
  <c r="B139" i="23" s="1" a="1"/>
  <c r="B139" i="23" s="1"/>
  <c r="D139" i="23"/>
  <c r="E139" i="23"/>
  <c r="F139" i="23"/>
  <c r="G139" i="23"/>
  <c r="C140" i="23"/>
  <c r="B140" i="23" s="1" a="1"/>
  <c r="B140" i="23" s="1"/>
  <c r="D140" i="23"/>
  <c r="E140" i="23"/>
  <c r="F140" i="23"/>
  <c r="G140" i="23"/>
  <c r="C141" i="23"/>
  <c r="B141" i="23" s="1" a="1"/>
  <c r="B141" i="23" s="1"/>
  <c r="D141" i="23"/>
  <c r="E141" i="23"/>
  <c r="F141" i="23"/>
  <c r="G141" i="23"/>
  <c r="C142" i="23"/>
  <c r="B142" i="23" s="1" a="1"/>
  <c r="B142" i="23" s="1"/>
  <c r="D142" i="23"/>
  <c r="E142" i="23"/>
  <c r="F142" i="23"/>
  <c r="G142" i="23"/>
  <c r="C143" i="23"/>
  <c r="B143" i="23" s="1" a="1"/>
  <c r="B143" i="23" s="1"/>
  <c r="D143" i="23"/>
  <c r="E143" i="23"/>
  <c r="F143" i="23"/>
  <c r="G143" i="23"/>
  <c r="C144" i="23"/>
  <c r="B144" i="23" s="1" a="1"/>
  <c r="B144" i="23" s="1"/>
  <c r="D144" i="23"/>
  <c r="E144" i="23"/>
  <c r="F144" i="23"/>
  <c r="G144" i="23"/>
  <c r="C145" i="23"/>
  <c r="B145" i="23" s="1" a="1"/>
  <c r="B145" i="23" s="1"/>
  <c r="D145" i="23"/>
  <c r="E145" i="23"/>
  <c r="F145" i="23"/>
  <c r="G145" i="23"/>
  <c r="C146" i="23"/>
  <c r="B146" i="23" s="1" a="1"/>
  <c r="B146" i="23" s="1"/>
  <c r="D146" i="23"/>
  <c r="E146" i="23"/>
  <c r="F146" i="23"/>
  <c r="G146" i="23"/>
  <c r="C147" i="23"/>
  <c r="B147" i="23" s="1" a="1"/>
  <c r="B147" i="23" s="1"/>
  <c r="D147" i="23"/>
  <c r="E147" i="23"/>
  <c r="F147" i="23"/>
  <c r="G147" i="23"/>
  <c r="C148" i="23"/>
  <c r="B148" i="23" s="1" a="1"/>
  <c r="B148" i="23" s="1"/>
  <c r="D148" i="23"/>
  <c r="E148" i="23"/>
  <c r="F148" i="23"/>
  <c r="G148" i="23"/>
  <c r="C149" i="23"/>
  <c r="B149" i="23" s="1" a="1"/>
  <c r="B149" i="23" s="1"/>
  <c r="D149" i="23"/>
  <c r="E149" i="23"/>
  <c r="F149" i="23"/>
  <c r="G149" i="23"/>
  <c r="C150" i="23"/>
  <c r="B150" i="23" s="1" a="1"/>
  <c r="B150" i="23" s="1"/>
  <c r="D150" i="23"/>
  <c r="E150" i="23"/>
  <c r="F150" i="23"/>
  <c r="G150" i="23"/>
  <c r="C151" i="23"/>
  <c r="B151" i="23" s="1" a="1"/>
  <c r="B151" i="23" s="1"/>
  <c r="D151" i="23"/>
  <c r="E151" i="23"/>
  <c r="F151" i="23"/>
  <c r="G151" i="23"/>
  <c r="C152" i="23"/>
  <c r="B152" i="23" s="1" a="1"/>
  <c r="B152" i="23" s="1"/>
  <c r="D152" i="23"/>
  <c r="E152" i="23"/>
  <c r="F152" i="23"/>
  <c r="G152" i="23"/>
  <c r="C153" i="23"/>
  <c r="B153" i="23" s="1" a="1"/>
  <c r="B153" i="23" s="1"/>
  <c r="D153" i="23"/>
  <c r="E153" i="23"/>
  <c r="F153" i="23"/>
  <c r="G153" i="23"/>
  <c r="C154" i="23"/>
  <c r="B154" i="23" s="1" a="1"/>
  <c r="B154" i="23" s="1"/>
  <c r="D154" i="23"/>
  <c r="E154" i="23"/>
  <c r="F154" i="23"/>
  <c r="G154" i="23"/>
  <c r="C155" i="23"/>
  <c r="B155" i="23" s="1" a="1"/>
  <c r="B155" i="23" s="1"/>
  <c r="D155" i="23"/>
  <c r="E155" i="23"/>
  <c r="F155" i="23"/>
  <c r="G155" i="23"/>
  <c r="C156" i="23"/>
  <c r="B156" i="23" s="1" a="1"/>
  <c r="B156" i="23" s="1"/>
  <c r="D156" i="23"/>
  <c r="E156" i="23"/>
  <c r="F156" i="23"/>
  <c r="G156" i="23"/>
  <c r="C157" i="23"/>
  <c r="B157" i="23" s="1" a="1"/>
  <c r="B157" i="23" s="1"/>
  <c r="D157" i="23"/>
  <c r="E157" i="23"/>
  <c r="F157" i="23"/>
  <c r="G157" i="23"/>
  <c r="C158" i="23"/>
  <c r="B158" i="23" s="1" a="1"/>
  <c r="B158" i="23" s="1"/>
  <c r="D158" i="23"/>
  <c r="E158" i="23"/>
  <c r="F158" i="23"/>
  <c r="G158" i="23"/>
  <c r="C159" i="23"/>
  <c r="B159" i="23" s="1" a="1"/>
  <c r="B159" i="23" s="1"/>
  <c r="D159" i="23"/>
  <c r="E159" i="23"/>
  <c r="F159" i="23"/>
  <c r="G159" i="23"/>
  <c r="C160" i="23"/>
  <c r="B160" i="23" s="1" a="1"/>
  <c r="B160" i="23" s="1"/>
  <c r="D160" i="23"/>
  <c r="E160" i="23"/>
  <c r="F160" i="23"/>
  <c r="G160" i="23"/>
  <c r="C161" i="23"/>
  <c r="B161" i="23" s="1" a="1"/>
  <c r="B161" i="23" s="1"/>
  <c r="D161" i="23"/>
  <c r="E161" i="23"/>
  <c r="F161" i="23"/>
  <c r="G161" i="23"/>
  <c r="C162" i="23"/>
  <c r="B162" i="23" s="1" a="1"/>
  <c r="B162" i="23" s="1"/>
  <c r="D162" i="23"/>
  <c r="E162" i="23"/>
  <c r="F162" i="23"/>
  <c r="G162" i="23"/>
  <c r="C163" i="23"/>
  <c r="B163" i="23" s="1" a="1"/>
  <c r="B163" i="23" s="1"/>
  <c r="D163" i="23"/>
  <c r="E163" i="23"/>
  <c r="F163" i="23"/>
  <c r="G163" i="23"/>
  <c r="C164" i="23"/>
  <c r="B164" i="23" s="1" a="1"/>
  <c r="B164" i="23" s="1"/>
  <c r="D164" i="23"/>
  <c r="E164" i="23"/>
  <c r="F164" i="23"/>
  <c r="G164" i="23"/>
  <c r="C165" i="23"/>
  <c r="B165" i="23" s="1" a="1"/>
  <c r="B165" i="23" s="1"/>
  <c r="D165" i="23"/>
  <c r="E165" i="23"/>
  <c r="F165" i="23"/>
  <c r="G165" i="23"/>
  <c r="C166" i="23"/>
  <c r="B166" i="23" s="1" a="1"/>
  <c r="B166" i="23" s="1"/>
  <c r="D166" i="23"/>
  <c r="E166" i="23"/>
  <c r="F166" i="23"/>
  <c r="G166" i="23"/>
  <c r="C167" i="23"/>
  <c r="B167" i="23" s="1" a="1"/>
  <c r="B167" i="23" s="1"/>
  <c r="D167" i="23"/>
  <c r="E167" i="23"/>
  <c r="F167" i="23"/>
  <c r="G167" i="23"/>
  <c r="C168" i="23"/>
  <c r="B168" i="23" s="1" a="1"/>
  <c r="B168" i="23" s="1"/>
  <c r="D168" i="23"/>
  <c r="E168" i="23"/>
  <c r="F168" i="23"/>
  <c r="G168" i="23"/>
  <c r="C169" i="23"/>
  <c r="B169" i="23" s="1" a="1"/>
  <c r="B169" i="23" s="1"/>
  <c r="D169" i="23"/>
  <c r="E169" i="23"/>
  <c r="F169" i="23"/>
  <c r="G169" i="23"/>
  <c r="C170" i="23"/>
  <c r="B170" i="23" s="1" a="1"/>
  <c r="B170" i="23" s="1"/>
  <c r="D170" i="23"/>
  <c r="E170" i="23"/>
  <c r="F170" i="23"/>
  <c r="G170" i="23"/>
  <c r="C171" i="23"/>
  <c r="B171" i="23" s="1" a="1"/>
  <c r="B171" i="23" s="1"/>
  <c r="D171" i="23"/>
  <c r="E171" i="23"/>
  <c r="F171" i="23"/>
  <c r="G171" i="23"/>
  <c r="C172" i="23"/>
  <c r="B172" i="23" s="1" a="1"/>
  <c r="B172" i="23" s="1"/>
  <c r="D172" i="23"/>
  <c r="E172" i="23"/>
  <c r="F172" i="23"/>
  <c r="G172" i="23"/>
  <c r="C173" i="23"/>
  <c r="B173" i="23" s="1" a="1"/>
  <c r="B173" i="23" s="1"/>
  <c r="D173" i="23"/>
  <c r="E173" i="23"/>
  <c r="F173" i="23"/>
  <c r="G173" i="23"/>
  <c r="C174" i="23"/>
  <c r="B174" i="23" s="1" a="1"/>
  <c r="B174" i="23" s="1"/>
  <c r="D174" i="23"/>
  <c r="E174" i="23"/>
  <c r="F174" i="23"/>
  <c r="G174" i="23"/>
  <c r="C175" i="23"/>
  <c r="B175" i="23" s="1" a="1"/>
  <c r="B175" i="23" s="1"/>
  <c r="D175" i="23"/>
  <c r="E175" i="23"/>
  <c r="F175" i="23"/>
  <c r="G175" i="23"/>
  <c r="C176" i="23"/>
  <c r="B176" i="23" s="1" a="1"/>
  <c r="B176" i="23" s="1"/>
  <c r="D176" i="23"/>
  <c r="E176" i="23"/>
  <c r="F176" i="23"/>
  <c r="G176" i="23"/>
  <c r="C177" i="23"/>
  <c r="B177" i="23" s="1" a="1"/>
  <c r="B177" i="23" s="1"/>
  <c r="D177" i="23"/>
  <c r="E177" i="23"/>
  <c r="F177" i="23"/>
  <c r="G177" i="23"/>
  <c r="C178" i="23"/>
  <c r="B178" i="23" s="1" a="1"/>
  <c r="B178" i="23" s="1"/>
  <c r="D178" i="23"/>
  <c r="E178" i="23"/>
  <c r="F178" i="23"/>
  <c r="G178" i="23"/>
  <c r="C179" i="23"/>
  <c r="B179" i="23" s="1" a="1"/>
  <c r="B179" i="23" s="1"/>
  <c r="D179" i="23"/>
  <c r="E179" i="23"/>
  <c r="F179" i="23"/>
  <c r="G179" i="23"/>
  <c r="C180" i="23"/>
  <c r="B180" i="23" s="1" a="1"/>
  <c r="B180" i="23" s="1"/>
  <c r="D180" i="23"/>
  <c r="E180" i="23"/>
  <c r="F180" i="23"/>
  <c r="G180" i="23"/>
  <c r="C181" i="23"/>
  <c r="B181" i="23" s="1" a="1"/>
  <c r="B181" i="23" s="1"/>
  <c r="D181" i="23"/>
  <c r="E181" i="23"/>
  <c r="F181" i="23"/>
  <c r="G181" i="23"/>
  <c r="C182" i="23"/>
  <c r="B182" i="23" s="1" a="1"/>
  <c r="B182" i="23" s="1"/>
  <c r="D182" i="23"/>
  <c r="E182" i="23"/>
  <c r="F182" i="23"/>
  <c r="G182" i="23"/>
  <c r="C183" i="23"/>
  <c r="B183" i="23" s="1" a="1"/>
  <c r="B183" i="23" s="1"/>
  <c r="D183" i="23"/>
  <c r="E183" i="23"/>
  <c r="F183" i="23"/>
  <c r="G183" i="23"/>
  <c r="C184" i="23"/>
  <c r="B184" i="23" s="1" a="1"/>
  <c r="B184" i="23" s="1"/>
  <c r="D184" i="23"/>
  <c r="E184" i="23"/>
  <c r="F184" i="23"/>
  <c r="G184" i="23"/>
  <c r="C185" i="23"/>
  <c r="B185" i="23" s="1" a="1"/>
  <c r="B185" i="23" s="1"/>
  <c r="D185" i="23"/>
  <c r="E185" i="23"/>
  <c r="F185" i="23"/>
  <c r="G185" i="23"/>
  <c r="C186" i="23"/>
  <c r="B186" i="23" s="1" a="1"/>
  <c r="B186" i="23" s="1"/>
  <c r="D186" i="23"/>
  <c r="E186" i="23"/>
  <c r="F186" i="23"/>
  <c r="G186" i="23"/>
  <c r="C187" i="23"/>
  <c r="B187" i="23" s="1" a="1"/>
  <c r="B187" i="23" s="1"/>
  <c r="D187" i="23"/>
  <c r="E187" i="23"/>
  <c r="F187" i="23"/>
  <c r="G187" i="23"/>
  <c r="C188" i="23"/>
  <c r="B188" i="23" s="1" a="1"/>
  <c r="B188" i="23" s="1"/>
  <c r="D188" i="23"/>
  <c r="E188" i="23"/>
  <c r="F188" i="23"/>
  <c r="G188" i="23"/>
  <c r="C189" i="23"/>
  <c r="B189" i="23" s="1" a="1"/>
  <c r="B189" i="23" s="1"/>
  <c r="D189" i="23"/>
  <c r="E189" i="23"/>
  <c r="F189" i="23"/>
  <c r="G189" i="23"/>
  <c r="C190" i="23"/>
  <c r="B190" i="23" s="1" a="1"/>
  <c r="B190" i="23" s="1"/>
  <c r="D190" i="23"/>
  <c r="E190" i="23"/>
  <c r="F190" i="23"/>
  <c r="G190" i="23"/>
  <c r="C191" i="23"/>
  <c r="B191" i="23" s="1" a="1"/>
  <c r="B191" i="23" s="1"/>
  <c r="D191" i="23"/>
  <c r="E191" i="23"/>
  <c r="F191" i="23"/>
  <c r="G191" i="23"/>
  <c r="C192" i="23"/>
  <c r="B192" i="23" s="1" a="1"/>
  <c r="B192" i="23" s="1"/>
  <c r="D192" i="23"/>
  <c r="E192" i="23"/>
  <c r="F192" i="23"/>
  <c r="G192" i="23"/>
  <c r="C193" i="23"/>
  <c r="B193" i="23" s="1" a="1"/>
  <c r="B193" i="23" s="1"/>
  <c r="D193" i="23"/>
  <c r="E193" i="23"/>
  <c r="F193" i="23"/>
  <c r="G193" i="23"/>
  <c r="C194" i="23"/>
  <c r="B194" i="23" s="1" a="1"/>
  <c r="B194" i="23" s="1"/>
  <c r="D194" i="23"/>
  <c r="E194" i="23"/>
  <c r="F194" i="23"/>
  <c r="G194" i="23"/>
  <c r="C195" i="23"/>
  <c r="B195" i="23" s="1" a="1"/>
  <c r="B195" i="23" s="1"/>
  <c r="D195" i="23"/>
  <c r="E195" i="23"/>
  <c r="F195" i="23"/>
  <c r="G195" i="23"/>
  <c r="C196" i="23"/>
  <c r="B196" i="23" s="1" a="1"/>
  <c r="B196" i="23" s="1"/>
  <c r="D196" i="23"/>
  <c r="E196" i="23"/>
  <c r="F196" i="23"/>
  <c r="G196" i="23"/>
  <c r="C197" i="23"/>
  <c r="B197" i="23" s="1" a="1"/>
  <c r="B197" i="23" s="1"/>
  <c r="D197" i="23"/>
  <c r="E197" i="23"/>
  <c r="F197" i="23"/>
  <c r="G197" i="23"/>
  <c r="C198" i="23"/>
  <c r="B198" i="23" s="1" a="1"/>
  <c r="B198" i="23" s="1"/>
  <c r="D198" i="23"/>
  <c r="E198" i="23"/>
  <c r="F198" i="23"/>
  <c r="G198" i="23"/>
  <c r="C199" i="23"/>
  <c r="B199" i="23" s="1" a="1"/>
  <c r="B199" i="23" s="1"/>
  <c r="D199" i="23"/>
  <c r="E199" i="23"/>
  <c r="F199" i="23"/>
  <c r="G199" i="23"/>
  <c r="C200" i="23"/>
  <c r="B200" i="23" s="1" a="1"/>
  <c r="B200" i="23" s="1"/>
  <c r="D200" i="23"/>
  <c r="E200" i="23"/>
  <c r="F200" i="23"/>
  <c r="G200" i="23"/>
  <c r="D5" i="23"/>
  <c r="C5" i="23"/>
  <c r="B5" i="23" s="1" a="1"/>
  <c r="B5" i="23" s="1"/>
  <c r="C6" i="8"/>
  <c r="B6" i="8" s="1" a="1"/>
  <c r="B6" i="8" s="1"/>
  <c r="C7" i="8"/>
  <c r="B7" i="8" s="1" a="1"/>
  <c r="B7" i="8" s="1"/>
  <c r="C8" i="8"/>
  <c r="B8" i="8" s="1" a="1"/>
  <c r="B8" i="8" s="1"/>
  <c r="C9" i="8"/>
  <c r="B9" i="8" s="1" a="1"/>
  <c r="B9" i="8" s="1"/>
  <c r="C10" i="8"/>
  <c r="B10" i="8" s="1" a="1"/>
  <c r="B10" i="8" s="1"/>
  <c r="C11" i="8"/>
  <c r="B11" i="8" s="1" a="1"/>
  <c r="B11" i="8" s="1"/>
  <c r="C12" i="8"/>
  <c r="B12" i="8" s="1" a="1"/>
  <c r="B12" i="8" s="1"/>
  <c r="C13" i="8"/>
  <c r="B13" i="8" s="1" a="1"/>
  <c r="B13" i="8" s="1"/>
  <c r="C14" i="8"/>
  <c r="B14" i="8" s="1" a="1"/>
  <c r="B14" i="8" s="1"/>
  <c r="C15" i="8"/>
  <c r="B15" i="8" s="1" a="1"/>
  <c r="B15" i="8" s="1"/>
  <c r="C16" i="8"/>
  <c r="B16" i="8" s="1" a="1"/>
  <c r="B16" i="8" s="1"/>
  <c r="C17" i="8"/>
  <c r="B17" i="8" s="1" a="1"/>
  <c r="B17" i="8" s="1"/>
  <c r="C18" i="8"/>
  <c r="B18" i="8" s="1" a="1"/>
  <c r="B18" i="8" s="1"/>
  <c r="C19" i="8"/>
  <c r="B19" i="8" s="1" a="1"/>
  <c r="B19" i="8" s="1"/>
  <c r="C20" i="8"/>
  <c r="B20" i="8" s="1" a="1"/>
  <c r="B20" i="8" s="1"/>
  <c r="C21" i="8"/>
  <c r="B21" i="8" s="1" a="1"/>
  <c r="B21" i="8" s="1"/>
  <c r="C22" i="8"/>
  <c r="B22" i="8" s="1" a="1"/>
  <c r="B22" i="8" s="1"/>
  <c r="C23" i="8"/>
  <c r="B23" i="8" s="1" a="1"/>
  <c r="B23" i="8" s="1"/>
  <c r="C24" i="8"/>
  <c r="B24" i="8" s="1" a="1"/>
  <c r="B24" i="8" s="1"/>
  <c r="C25" i="8"/>
  <c r="B25" i="8" s="1" a="1"/>
  <c r="B25" i="8" s="1"/>
  <c r="C26" i="8"/>
  <c r="B26" i="8" s="1" a="1"/>
  <c r="B26" i="8" s="1"/>
  <c r="C27" i="8"/>
  <c r="B27" i="8" s="1" a="1"/>
  <c r="B27" i="8" s="1"/>
  <c r="C28" i="8"/>
  <c r="B28" i="8" s="1" a="1"/>
  <c r="B28" i="8" s="1"/>
  <c r="C29" i="8"/>
  <c r="B29" i="8" s="1" a="1"/>
  <c r="B29" i="8" s="1"/>
  <c r="C30" i="8"/>
  <c r="B30" i="8" s="1" a="1"/>
  <c r="B30" i="8" s="1"/>
  <c r="C31" i="8"/>
  <c r="B31" i="8" s="1" a="1"/>
  <c r="B31" i="8" s="1"/>
  <c r="C32" i="8"/>
  <c r="B32" i="8" s="1" a="1"/>
  <c r="B32" i="8" s="1"/>
  <c r="C33" i="8"/>
  <c r="B33" i="8" s="1" a="1"/>
  <c r="B33" i="8" s="1"/>
  <c r="C34" i="8"/>
  <c r="B34" i="8" s="1" a="1"/>
  <c r="B34" i="8" s="1"/>
  <c r="C35" i="8"/>
  <c r="B35" i="8" s="1" a="1"/>
  <c r="B35" i="8" s="1"/>
  <c r="C36" i="8"/>
  <c r="B36" i="8" s="1" a="1"/>
  <c r="B36" i="8" s="1"/>
  <c r="C37" i="8"/>
  <c r="B37" i="8" s="1" a="1"/>
  <c r="B37" i="8" s="1"/>
  <c r="C38" i="8"/>
  <c r="B38" i="8" s="1" a="1"/>
  <c r="B38" i="8" s="1"/>
  <c r="C39" i="8"/>
  <c r="B39" i="8" s="1" a="1"/>
  <c r="B39" i="8" s="1"/>
  <c r="C40" i="8"/>
  <c r="B40" i="8" s="1" a="1"/>
  <c r="B40" i="8" s="1"/>
  <c r="C41" i="8"/>
  <c r="B41" i="8" s="1" a="1"/>
  <c r="B41" i="8" s="1"/>
  <c r="C42" i="8"/>
  <c r="B42" i="8" s="1" a="1"/>
  <c r="B42" i="8" s="1"/>
  <c r="C43" i="8"/>
  <c r="B43" i="8" s="1" a="1"/>
  <c r="B43" i="8" s="1"/>
  <c r="C44" i="8"/>
  <c r="B44" i="8" s="1" a="1"/>
  <c r="B44" i="8" s="1"/>
  <c r="C45" i="8"/>
  <c r="B45" i="8" s="1" a="1"/>
  <c r="B45" i="8" s="1"/>
  <c r="C46" i="8"/>
  <c r="B46" i="8" s="1" a="1"/>
  <c r="B46" i="8" s="1"/>
  <c r="C47" i="8"/>
  <c r="B47" i="8" s="1" a="1"/>
  <c r="B47" i="8" s="1"/>
  <c r="C48" i="8"/>
  <c r="B48" i="8" s="1" a="1"/>
  <c r="B48" i="8" s="1"/>
  <c r="C49" i="8"/>
  <c r="B49" i="8" s="1" a="1"/>
  <c r="B49" i="8" s="1"/>
  <c r="C50" i="8"/>
  <c r="B50" i="8" s="1" a="1"/>
  <c r="B50" i="8" s="1"/>
  <c r="C51" i="8"/>
  <c r="B51" i="8" s="1" a="1"/>
  <c r="B51" i="8" s="1"/>
  <c r="C52" i="8"/>
  <c r="B52" i="8" s="1" a="1"/>
  <c r="B52" i="8" s="1"/>
  <c r="C53" i="8"/>
  <c r="B53" i="8" s="1" a="1"/>
  <c r="B53" i="8" s="1"/>
  <c r="C54" i="8"/>
  <c r="B54" i="8" s="1" a="1"/>
  <c r="B54" i="8" s="1"/>
  <c r="C55" i="8"/>
  <c r="B55" i="8" s="1" a="1"/>
  <c r="B55" i="8" s="1"/>
  <c r="C56" i="8"/>
  <c r="B56" i="8" s="1" a="1"/>
  <c r="B56" i="8" s="1"/>
  <c r="C57" i="8"/>
  <c r="B57" i="8" s="1" a="1"/>
  <c r="B57" i="8" s="1"/>
  <c r="C58" i="8"/>
  <c r="B58" i="8" s="1" a="1"/>
  <c r="B58" i="8" s="1"/>
  <c r="C59" i="8"/>
  <c r="B59" i="8" s="1" a="1"/>
  <c r="B59" i="8" s="1"/>
  <c r="C60" i="8"/>
  <c r="B60" i="8" s="1" a="1"/>
  <c r="B60" i="8" s="1"/>
  <c r="C61" i="8"/>
  <c r="B61" i="8" s="1" a="1"/>
  <c r="B61" i="8" s="1"/>
  <c r="C62" i="8"/>
  <c r="B62" i="8" s="1" a="1"/>
  <c r="B62" i="8" s="1"/>
  <c r="C63" i="8"/>
  <c r="B63" i="8" s="1" a="1"/>
  <c r="B63" i="8" s="1"/>
  <c r="C64" i="8"/>
  <c r="B64" i="8" s="1" a="1"/>
  <c r="B64" i="8" s="1"/>
  <c r="C65" i="8"/>
  <c r="B65" i="8" s="1" a="1"/>
  <c r="B65" i="8" s="1"/>
  <c r="C66" i="8"/>
  <c r="B66" i="8" s="1" a="1"/>
  <c r="B66" i="8" s="1"/>
  <c r="C67" i="8"/>
  <c r="B67" i="8" s="1" a="1"/>
  <c r="B67" i="8" s="1"/>
  <c r="C68" i="8"/>
  <c r="B68" i="8" s="1" a="1"/>
  <c r="B68" i="8" s="1"/>
  <c r="C69" i="8"/>
  <c r="B69" i="8" s="1" a="1"/>
  <c r="B69" i="8" s="1"/>
  <c r="C70" i="8"/>
  <c r="B70" i="8" s="1" a="1"/>
  <c r="B70" i="8" s="1"/>
  <c r="C71" i="8"/>
  <c r="B71" i="8" s="1" a="1"/>
  <c r="B71" i="8" s="1"/>
  <c r="C72" i="8"/>
  <c r="B72" i="8" s="1" a="1"/>
  <c r="B72" i="8" s="1"/>
  <c r="C73" i="8"/>
  <c r="B73" i="8" s="1" a="1"/>
  <c r="B73" i="8" s="1"/>
  <c r="C74" i="8"/>
  <c r="B74" i="8" s="1" a="1"/>
  <c r="B74" i="8" s="1"/>
  <c r="C75" i="8"/>
  <c r="B75" i="8" s="1" a="1"/>
  <c r="B75" i="8" s="1"/>
  <c r="C76" i="8"/>
  <c r="B76" i="8" s="1" a="1"/>
  <c r="B76" i="8" s="1"/>
  <c r="C77" i="8"/>
  <c r="B77" i="8" s="1" a="1"/>
  <c r="B77" i="8" s="1"/>
  <c r="C78" i="8"/>
  <c r="B78" i="8" s="1" a="1"/>
  <c r="B78" i="8" s="1"/>
  <c r="C79" i="8"/>
  <c r="B79" i="8" s="1" a="1"/>
  <c r="B79" i="8" s="1"/>
  <c r="C80" i="8"/>
  <c r="B80" i="8" s="1" a="1"/>
  <c r="B80" i="8" s="1"/>
  <c r="C81" i="8"/>
  <c r="B81" i="8" s="1" a="1"/>
  <c r="B81" i="8" s="1"/>
  <c r="C82" i="8"/>
  <c r="B82" i="8" s="1" a="1"/>
  <c r="B82" i="8" s="1"/>
  <c r="C83" i="8"/>
  <c r="B83" i="8" s="1" a="1"/>
  <c r="B83" i="8" s="1"/>
  <c r="C84" i="8"/>
  <c r="B84" i="8" s="1" a="1"/>
  <c r="B84" i="8" s="1"/>
  <c r="C85" i="8"/>
  <c r="B85" i="8" s="1" a="1"/>
  <c r="B85" i="8" s="1"/>
  <c r="C86" i="8"/>
  <c r="B86" i="8" s="1" a="1"/>
  <c r="B86" i="8" s="1"/>
  <c r="C87" i="8"/>
  <c r="B87" i="8" s="1" a="1"/>
  <c r="B87" i="8" s="1"/>
  <c r="C88" i="8"/>
  <c r="B88" i="8" s="1" a="1"/>
  <c r="B88" i="8" s="1"/>
  <c r="C89" i="8"/>
  <c r="B89" i="8" s="1" a="1"/>
  <c r="B89" i="8" s="1"/>
  <c r="C90" i="8"/>
  <c r="B90" i="8" s="1" a="1"/>
  <c r="B90" i="8" s="1"/>
  <c r="C91" i="8"/>
  <c r="B91" i="8" s="1" a="1"/>
  <c r="B91" i="8" s="1"/>
  <c r="C92" i="8"/>
  <c r="B92" i="8" s="1" a="1"/>
  <c r="B92" i="8" s="1"/>
  <c r="C93" i="8"/>
  <c r="B93" i="8" s="1" a="1"/>
  <c r="B93" i="8" s="1"/>
  <c r="C94" i="8"/>
  <c r="B94" i="8" s="1" a="1"/>
  <c r="B94" i="8" s="1"/>
  <c r="C95" i="8"/>
  <c r="B95" i="8" s="1" a="1"/>
  <c r="B95" i="8" s="1"/>
  <c r="C96" i="8"/>
  <c r="B96" i="8" s="1" a="1"/>
  <c r="B96" i="8" s="1"/>
  <c r="C97" i="8"/>
  <c r="B97" i="8" s="1" a="1"/>
  <c r="B97" i="8" s="1"/>
  <c r="C98" i="8"/>
  <c r="B98" i="8" s="1" a="1"/>
  <c r="B98" i="8" s="1"/>
  <c r="C99" i="8"/>
  <c r="B99" i="8" s="1" a="1"/>
  <c r="B99" i="8" s="1"/>
  <c r="C100" i="8"/>
  <c r="B100" i="8" s="1" a="1"/>
  <c r="B100" i="8" s="1"/>
  <c r="C101" i="8"/>
  <c r="B101" i="8" s="1" a="1"/>
  <c r="B101" i="8" s="1"/>
  <c r="C102" i="8"/>
  <c r="B102" i="8" s="1" a="1"/>
  <c r="B102" i="8" s="1"/>
  <c r="G102" i="8"/>
  <c r="C103" i="8"/>
  <c r="B103" i="8" s="1" a="1"/>
  <c r="B103" i="8" s="1"/>
  <c r="G103" i="8"/>
  <c r="C104" i="8"/>
  <c r="B104" i="8" s="1" a="1"/>
  <c r="B104" i="8" s="1"/>
  <c r="G104" i="8"/>
  <c r="C105" i="8"/>
  <c r="B105" i="8" s="1" a="1"/>
  <c r="B105" i="8" s="1"/>
  <c r="G105" i="8"/>
  <c r="C106" i="8"/>
  <c r="B106" i="8" s="1" a="1"/>
  <c r="B106" i="8" s="1"/>
  <c r="G106" i="8"/>
  <c r="C107" i="8"/>
  <c r="B107" i="8" s="1" a="1"/>
  <c r="B107" i="8" s="1"/>
  <c r="G107" i="8"/>
  <c r="C108" i="8"/>
  <c r="B108" i="8" s="1" a="1"/>
  <c r="B108" i="8" s="1"/>
  <c r="G108" i="8"/>
  <c r="C109" i="8"/>
  <c r="B109" i="8" s="1" a="1"/>
  <c r="B109" i="8" s="1"/>
  <c r="G109" i="8"/>
  <c r="C110" i="8"/>
  <c r="B110" i="8" s="1" a="1"/>
  <c r="B110" i="8" s="1"/>
  <c r="G110" i="8"/>
  <c r="C111" i="8"/>
  <c r="B111" i="8" s="1" a="1"/>
  <c r="B111" i="8" s="1"/>
  <c r="G111" i="8"/>
  <c r="C112" i="8"/>
  <c r="B112" i="8" s="1" a="1"/>
  <c r="B112" i="8" s="1"/>
  <c r="G112" i="8"/>
  <c r="C113" i="8"/>
  <c r="B113" i="8" s="1" a="1"/>
  <c r="B113" i="8" s="1"/>
  <c r="G113" i="8"/>
  <c r="C114" i="8"/>
  <c r="B114" i="8" s="1" a="1"/>
  <c r="B114" i="8" s="1"/>
  <c r="G114" i="8"/>
  <c r="C115" i="8"/>
  <c r="B115" i="8" s="1" a="1"/>
  <c r="B115" i="8" s="1"/>
  <c r="G115" i="8"/>
  <c r="C116" i="8"/>
  <c r="B116" i="8" s="1" a="1"/>
  <c r="B116" i="8" s="1"/>
  <c r="G116" i="8"/>
  <c r="C117" i="8"/>
  <c r="B117" i="8" s="1" a="1"/>
  <c r="B117" i="8" s="1"/>
  <c r="G117" i="8"/>
  <c r="C118" i="8"/>
  <c r="B118" i="8" s="1" a="1"/>
  <c r="B118" i="8" s="1"/>
  <c r="G118" i="8"/>
  <c r="C119" i="8"/>
  <c r="B119" i="8" s="1" a="1"/>
  <c r="B119" i="8" s="1"/>
  <c r="G119" i="8"/>
  <c r="C120" i="8"/>
  <c r="B120" i="8" s="1" a="1"/>
  <c r="B120" i="8" s="1"/>
  <c r="G120" i="8"/>
  <c r="C121" i="8"/>
  <c r="B121" i="8" s="1" a="1"/>
  <c r="B121" i="8" s="1"/>
  <c r="G121" i="8"/>
  <c r="C122" i="8"/>
  <c r="B122" i="8" s="1" a="1"/>
  <c r="B122" i="8" s="1"/>
  <c r="G122" i="8"/>
  <c r="C123" i="8"/>
  <c r="B123" i="8" s="1" a="1"/>
  <c r="B123" i="8" s="1"/>
  <c r="G123" i="8"/>
  <c r="C124" i="8"/>
  <c r="B124" i="8" s="1" a="1"/>
  <c r="B124" i="8" s="1"/>
  <c r="G124" i="8"/>
  <c r="C125" i="8"/>
  <c r="B125" i="8" s="1" a="1"/>
  <c r="B125" i="8" s="1"/>
  <c r="G125" i="8"/>
  <c r="C126" i="8"/>
  <c r="B126" i="8" s="1" a="1"/>
  <c r="B126" i="8" s="1"/>
  <c r="G126" i="8"/>
  <c r="C127" i="8"/>
  <c r="B127" i="8" s="1" a="1"/>
  <c r="B127" i="8" s="1"/>
  <c r="G127" i="8"/>
  <c r="C128" i="8"/>
  <c r="B128" i="8" s="1" a="1"/>
  <c r="B128" i="8" s="1"/>
  <c r="G128" i="8"/>
  <c r="C129" i="8"/>
  <c r="B129" i="8" s="1" a="1"/>
  <c r="B129" i="8" s="1"/>
  <c r="G129" i="8"/>
  <c r="C130" i="8"/>
  <c r="B130" i="8" s="1" a="1"/>
  <c r="B130" i="8" s="1"/>
  <c r="G130" i="8"/>
  <c r="C131" i="8"/>
  <c r="B131" i="8" s="1" a="1"/>
  <c r="B131" i="8" s="1"/>
  <c r="G131" i="8"/>
  <c r="C132" i="8"/>
  <c r="B132" i="8" s="1" a="1"/>
  <c r="B132" i="8" s="1"/>
  <c r="G132" i="8"/>
  <c r="C133" i="8"/>
  <c r="B133" i="8" s="1" a="1"/>
  <c r="B133" i="8" s="1"/>
  <c r="G133" i="8"/>
  <c r="C134" i="8"/>
  <c r="B134" i="8" s="1" a="1"/>
  <c r="B134" i="8" s="1"/>
  <c r="G134" i="8"/>
  <c r="C135" i="8"/>
  <c r="B135" i="8" s="1" a="1"/>
  <c r="B135" i="8" s="1"/>
  <c r="G135" i="8"/>
  <c r="C136" i="8"/>
  <c r="B136" i="8" s="1" a="1"/>
  <c r="B136" i="8" s="1"/>
  <c r="G136" i="8"/>
  <c r="C137" i="8"/>
  <c r="B137" i="8" s="1" a="1"/>
  <c r="B137" i="8" s="1"/>
  <c r="G137" i="8"/>
  <c r="C138" i="8"/>
  <c r="B138" i="8" s="1" a="1"/>
  <c r="B138" i="8" s="1"/>
  <c r="G138" i="8"/>
  <c r="C139" i="8"/>
  <c r="B139" i="8" s="1" a="1"/>
  <c r="B139" i="8" s="1"/>
  <c r="G139" i="8"/>
  <c r="C140" i="8"/>
  <c r="B140" i="8" s="1" a="1"/>
  <c r="B140" i="8" s="1"/>
  <c r="G140" i="8"/>
  <c r="C141" i="8"/>
  <c r="B141" i="8" s="1" a="1"/>
  <c r="B141" i="8" s="1"/>
  <c r="G141" i="8"/>
  <c r="C142" i="8"/>
  <c r="B142" i="8" s="1" a="1"/>
  <c r="B142" i="8" s="1"/>
  <c r="G142" i="8"/>
  <c r="C143" i="8"/>
  <c r="B143" i="8" s="1" a="1"/>
  <c r="B143" i="8" s="1"/>
  <c r="G143" i="8"/>
  <c r="C144" i="8"/>
  <c r="B144" i="8" s="1" a="1"/>
  <c r="B144" i="8" s="1"/>
  <c r="G144" i="8"/>
  <c r="C145" i="8"/>
  <c r="B145" i="8" s="1" a="1"/>
  <c r="B145" i="8" s="1"/>
  <c r="G145" i="8"/>
  <c r="C146" i="8"/>
  <c r="B146" i="8" s="1" a="1"/>
  <c r="B146" i="8" s="1"/>
  <c r="G146" i="8"/>
  <c r="C147" i="8"/>
  <c r="B147" i="8" s="1" a="1"/>
  <c r="B147" i="8" s="1"/>
  <c r="G147" i="8"/>
  <c r="C148" i="8"/>
  <c r="B148" i="8" s="1" a="1"/>
  <c r="B148" i="8" s="1"/>
  <c r="G148" i="8"/>
  <c r="C149" i="8"/>
  <c r="B149" i="8" s="1" a="1"/>
  <c r="B149" i="8" s="1"/>
  <c r="G149" i="8"/>
  <c r="C150" i="8"/>
  <c r="B150" i="8" s="1" a="1"/>
  <c r="B150" i="8" s="1"/>
  <c r="G150" i="8"/>
  <c r="C151" i="8"/>
  <c r="B151" i="8" s="1" a="1"/>
  <c r="B151" i="8" s="1"/>
  <c r="G151" i="8"/>
  <c r="C152" i="8"/>
  <c r="B152" i="8" s="1" a="1"/>
  <c r="B152" i="8" s="1"/>
  <c r="G152" i="8"/>
  <c r="C153" i="8"/>
  <c r="B153" i="8" s="1" a="1"/>
  <c r="B153" i="8" s="1"/>
  <c r="G153" i="8"/>
  <c r="C154" i="8"/>
  <c r="B154" i="8" s="1" a="1"/>
  <c r="B154" i="8" s="1"/>
  <c r="G154" i="8"/>
  <c r="C155" i="8"/>
  <c r="B155" i="8" s="1" a="1"/>
  <c r="B155" i="8" s="1"/>
  <c r="G155" i="8"/>
  <c r="C156" i="8"/>
  <c r="B156" i="8" s="1" a="1"/>
  <c r="B156" i="8" s="1"/>
  <c r="G156" i="8"/>
  <c r="C157" i="8"/>
  <c r="B157" i="8" s="1" a="1"/>
  <c r="B157" i="8" s="1"/>
  <c r="G157" i="8"/>
  <c r="C158" i="8"/>
  <c r="B158" i="8" s="1" a="1"/>
  <c r="B158" i="8" s="1"/>
  <c r="G158" i="8"/>
  <c r="C159" i="8"/>
  <c r="B159" i="8" s="1" a="1"/>
  <c r="B159" i="8" s="1"/>
  <c r="G159" i="8"/>
  <c r="C160" i="8"/>
  <c r="B160" i="8" s="1" a="1"/>
  <c r="B160" i="8" s="1"/>
  <c r="G160" i="8"/>
  <c r="C161" i="8"/>
  <c r="B161" i="8" s="1" a="1"/>
  <c r="B161" i="8" s="1"/>
  <c r="G161" i="8"/>
  <c r="C162" i="8"/>
  <c r="B162" i="8" s="1" a="1"/>
  <c r="B162" i="8" s="1"/>
  <c r="G162" i="8"/>
  <c r="C163" i="8"/>
  <c r="B163" i="8" s="1" a="1"/>
  <c r="B163" i="8" s="1"/>
  <c r="G163" i="8"/>
  <c r="C164" i="8"/>
  <c r="B164" i="8" s="1" a="1"/>
  <c r="B164" i="8" s="1"/>
  <c r="G164" i="8"/>
  <c r="C165" i="8"/>
  <c r="B165" i="8" s="1" a="1"/>
  <c r="B165" i="8" s="1"/>
  <c r="G165" i="8"/>
  <c r="C166" i="8"/>
  <c r="B166" i="8" s="1" a="1"/>
  <c r="B166" i="8" s="1"/>
  <c r="G166" i="8"/>
  <c r="C167" i="8"/>
  <c r="B167" i="8" s="1" a="1"/>
  <c r="B167" i="8" s="1"/>
  <c r="G167" i="8"/>
  <c r="C168" i="8"/>
  <c r="B168" i="8" s="1" a="1"/>
  <c r="B168" i="8" s="1"/>
  <c r="G168" i="8"/>
  <c r="C169" i="8"/>
  <c r="B169" i="8" s="1" a="1"/>
  <c r="B169" i="8" s="1"/>
  <c r="G169" i="8"/>
  <c r="C170" i="8"/>
  <c r="B170" i="8" s="1" a="1"/>
  <c r="B170" i="8" s="1"/>
  <c r="G170" i="8"/>
  <c r="C171" i="8"/>
  <c r="B171" i="8" s="1" a="1"/>
  <c r="B171" i="8" s="1"/>
  <c r="G171" i="8"/>
  <c r="C172" i="8"/>
  <c r="B172" i="8" s="1" a="1"/>
  <c r="B172" i="8" s="1"/>
  <c r="G172" i="8"/>
  <c r="C173" i="8"/>
  <c r="B173" i="8" s="1" a="1"/>
  <c r="B173" i="8" s="1"/>
  <c r="G173" i="8"/>
  <c r="C174" i="8"/>
  <c r="B174" i="8" s="1" a="1"/>
  <c r="B174" i="8" s="1"/>
  <c r="G174" i="8"/>
  <c r="C175" i="8"/>
  <c r="B175" i="8" s="1" a="1"/>
  <c r="B175" i="8" s="1"/>
  <c r="G175" i="8"/>
  <c r="C176" i="8"/>
  <c r="B176" i="8" s="1" a="1"/>
  <c r="B176" i="8" s="1"/>
  <c r="G176" i="8"/>
  <c r="C177" i="8"/>
  <c r="B177" i="8" s="1" a="1"/>
  <c r="B177" i="8" s="1"/>
  <c r="G177" i="8"/>
  <c r="C178" i="8"/>
  <c r="B178" i="8" s="1" a="1"/>
  <c r="B178" i="8" s="1"/>
  <c r="G178" i="8"/>
  <c r="C179" i="8"/>
  <c r="B179" i="8" s="1" a="1"/>
  <c r="B179" i="8" s="1"/>
  <c r="G179" i="8"/>
  <c r="C180" i="8"/>
  <c r="B180" i="8" s="1" a="1"/>
  <c r="B180" i="8" s="1"/>
  <c r="G180" i="8"/>
  <c r="C181" i="8"/>
  <c r="B181" i="8" s="1" a="1"/>
  <c r="B181" i="8" s="1"/>
  <c r="G181" i="8"/>
  <c r="C182" i="8"/>
  <c r="B182" i="8" s="1" a="1"/>
  <c r="B182" i="8" s="1"/>
  <c r="G182" i="8"/>
  <c r="C183" i="8"/>
  <c r="B183" i="8" s="1" a="1"/>
  <c r="B183" i="8" s="1"/>
  <c r="G183" i="8"/>
  <c r="C184" i="8"/>
  <c r="B184" i="8" s="1" a="1"/>
  <c r="B184" i="8" s="1"/>
  <c r="G184" i="8"/>
  <c r="C185" i="8"/>
  <c r="B185" i="8" s="1" a="1"/>
  <c r="B185" i="8" s="1"/>
  <c r="G185" i="8"/>
  <c r="C186" i="8"/>
  <c r="B186" i="8" s="1" a="1"/>
  <c r="B186" i="8" s="1"/>
  <c r="G186" i="8"/>
  <c r="C187" i="8"/>
  <c r="B187" i="8" s="1" a="1"/>
  <c r="B187" i="8" s="1"/>
  <c r="G187" i="8"/>
  <c r="C188" i="8"/>
  <c r="B188" i="8" s="1" a="1"/>
  <c r="B188" i="8" s="1"/>
  <c r="G188" i="8"/>
  <c r="C189" i="8"/>
  <c r="B189" i="8" s="1" a="1"/>
  <c r="B189" i="8" s="1"/>
  <c r="G189" i="8"/>
  <c r="C190" i="8"/>
  <c r="B190" i="8" s="1" a="1"/>
  <c r="B190" i="8" s="1"/>
  <c r="G190" i="8"/>
  <c r="C191" i="8"/>
  <c r="B191" i="8" s="1" a="1"/>
  <c r="B191" i="8" s="1"/>
  <c r="G191" i="8"/>
  <c r="C192" i="8"/>
  <c r="B192" i="8" s="1" a="1"/>
  <c r="B192" i="8" s="1"/>
  <c r="G192" i="8"/>
  <c r="C193" i="8"/>
  <c r="B193" i="8" s="1" a="1"/>
  <c r="B193" i="8" s="1"/>
  <c r="G193" i="8"/>
  <c r="C194" i="8"/>
  <c r="B194" i="8" s="1" a="1"/>
  <c r="B194" i="8" s="1"/>
  <c r="G194" i="8"/>
  <c r="C195" i="8"/>
  <c r="B195" i="8" s="1" a="1"/>
  <c r="B195" i="8" s="1"/>
  <c r="G195" i="8"/>
  <c r="C196" i="8"/>
  <c r="B196" i="8" s="1" a="1"/>
  <c r="B196" i="8" s="1"/>
  <c r="G196" i="8"/>
  <c r="C197" i="8"/>
  <c r="B197" i="8" s="1" a="1"/>
  <c r="B197" i="8" s="1"/>
  <c r="G197" i="8"/>
  <c r="C198" i="8"/>
  <c r="B198" i="8" s="1" a="1"/>
  <c r="B198" i="8" s="1"/>
  <c r="G198" i="8"/>
  <c r="C199" i="8"/>
  <c r="B199" i="8" s="1" a="1"/>
  <c r="B199" i="8" s="1"/>
  <c r="G199" i="8"/>
  <c r="C200" i="8"/>
  <c r="B200" i="8" s="1" a="1"/>
  <c r="B200" i="8" s="1"/>
  <c r="G200" i="8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C5" i="8"/>
  <c r="B5" i="8" s="1" a="1"/>
  <c r="B5" i="8" s="1"/>
  <c r="P127" i="14" l="1"/>
  <c r="L5" i="20"/>
  <c r="L19" i="20"/>
  <c r="L6" i="20"/>
  <c r="L8" i="20"/>
  <c r="L4" i="20"/>
  <c r="L14" i="20"/>
  <c r="L20" i="20"/>
  <c r="L10" i="20"/>
  <c r="L17" i="20"/>
  <c r="L9" i="20"/>
  <c r="L7" i="20"/>
  <c r="L16" i="20"/>
  <c r="L12" i="20"/>
  <c r="L30" i="20"/>
  <c r="L21" i="20"/>
  <c r="L18" i="20"/>
  <c r="L26" i="20"/>
  <c r="L11" i="20"/>
  <c r="L24" i="20"/>
  <c r="L32" i="20"/>
  <c r="L25" i="20"/>
  <c r="L33" i="20"/>
  <c r="L31" i="20"/>
  <c r="L28" i="20"/>
  <c r="L23" i="20"/>
  <c r="L41" i="20"/>
  <c r="L29" i="20"/>
  <c r="L22" i="20"/>
  <c r="L38" i="20"/>
  <c r="L27" i="20"/>
  <c r="L35" i="20"/>
  <c r="L42" i="20"/>
  <c r="L37" i="20"/>
  <c r="L15" i="20"/>
  <c r="L36" i="20"/>
  <c r="L34" i="20"/>
  <c r="L43" i="20"/>
  <c r="L39" i="20"/>
  <c r="L40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3" i="20"/>
  <c r="L64" i="20"/>
  <c r="L65" i="20"/>
  <c r="L66" i="20"/>
  <c r="L13" i="20"/>
  <c r="N3" i="14" l="1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O22" i="14" s="1"/>
  <c r="N23" i="14"/>
  <c r="N24" i="14"/>
  <c r="N25" i="14"/>
  <c r="N26" i="14"/>
  <c r="O26" i="14" s="1"/>
  <c r="N27" i="14"/>
  <c r="N28" i="14"/>
  <c r="O28" i="14" s="1"/>
  <c r="N29" i="14"/>
  <c r="N30" i="14"/>
  <c r="N31" i="14"/>
  <c r="O31" i="14" s="1"/>
  <c r="N32" i="14"/>
  <c r="O32" i="14" s="1"/>
  <c r="N33" i="14"/>
  <c r="N34" i="14"/>
  <c r="N35" i="14"/>
  <c r="N36" i="14"/>
  <c r="N37" i="14"/>
  <c r="O37" i="14" s="1"/>
  <c r="N38" i="14"/>
  <c r="O38" i="14" s="1"/>
  <c r="N39" i="14"/>
  <c r="N40" i="14"/>
  <c r="N41" i="14"/>
  <c r="O41" i="14" s="1"/>
  <c r="N42" i="14"/>
  <c r="N43" i="14"/>
  <c r="O43" i="14" s="1"/>
  <c r="N44" i="14"/>
  <c r="N45" i="14"/>
  <c r="O45" i="14" s="1"/>
  <c r="N46" i="14"/>
  <c r="N47" i="14"/>
  <c r="N48" i="14"/>
  <c r="N49" i="14"/>
  <c r="O49" i="14" s="1"/>
  <c r="N50" i="14"/>
  <c r="O50" i="14" s="1"/>
  <c r="N51" i="14"/>
  <c r="O51" i="14" s="1"/>
  <c r="N52" i="14"/>
  <c r="O52" i="14" s="1"/>
  <c r="N53" i="14"/>
  <c r="O53" i="14" s="1"/>
  <c r="N54" i="14"/>
  <c r="O54" i="14" s="1"/>
  <c r="N55" i="14"/>
  <c r="N56" i="14"/>
  <c r="O56" i="14" s="1"/>
  <c r="N57" i="14"/>
  <c r="O57" i="14" s="1"/>
  <c r="N58" i="14"/>
  <c r="O58" i="14" s="1"/>
  <c r="N59" i="14"/>
  <c r="N60" i="14"/>
  <c r="N61" i="14"/>
  <c r="N62" i="14"/>
  <c r="O62" i="14" s="1"/>
  <c r="N63" i="14"/>
  <c r="N64" i="14"/>
  <c r="N65" i="14"/>
  <c r="O65" i="14" s="1"/>
  <c r="N66" i="14"/>
  <c r="O66" i="14" s="1"/>
  <c r="N67" i="14"/>
  <c r="O67" i="14" s="1"/>
  <c r="N68" i="14"/>
  <c r="O68" i="14" s="1"/>
  <c r="N69" i="14"/>
  <c r="N70" i="14"/>
  <c r="O70" i="14" s="1"/>
  <c r="N71" i="14"/>
  <c r="N72" i="14"/>
  <c r="O72" i="14" s="1"/>
  <c r="N73" i="14"/>
  <c r="O73" i="14" s="1"/>
  <c r="N74" i="14"/>
  <c r="O74" i="14" s="1"/>
  <c r="N75" i="14"/>
  <c r="O75" i="14" s="1"/>
  <c r="N76" i="14"/>
  <c r="O76" i="14" s="1"/>
  <c r="N77" i="14"/>
  <c r="O77" i="14" s="1"/>
  <c r="N78" i="14"/>
  <c r="O78" i="14" s="1"/>
  <c r="N79" i="14"/>
  <c r="O79" i="14" s="1"/>
  <c r="N80" i="14"/>
  <c r="O80" i="14" s="1"/>
  <c r="N81" i="14"/>
  <c r="O81" i="14" s="1"/>
  <c r="N82" i="14"/>
  <c r="O82" i="14" s="1"/>
  <c r="N83" i="14"/>
  <c r="O83" i="14" s="1"/>
  <c r="N84" i="14"/>
  <c r="O84" i="14" s="1"/>
  <c r="N85" i="14"/>
  <c r="O85" i="14" s="1"/>
  <c r="N86" i="14"/>
  <c r="N87" i="14"/>
  <c r="O87" i="14" s="1"/>
  <c r="N88" i="14"/>
  <c r="O88" i="14" s="1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O95" i="14" s="1"/>
  <c r="N96" i="14"/>
  <c r="N97" i="14"/>
  <c r="O97" i="14" s="1"/>
  <c r="N98" i="14"/>
  <c r="O98" i="14" s="1"/>
  <c r="N99" i="14"/>
  <c r="O99" i="14" s="1"/>
  <c r="N100" i="14"/>
  <c r="O100" i="14" s="1"/>
  <c r="N101" i="14"/>
  <c r="O101" i="14" s="1"/>
  <c r="N102" i="14"/>
  <c r="O102" i="14" s="1"/>
  <c r="N103" i="14"/>
  <c r="O103" i="14" s="1"/>
  <c r="N104" i="14"/>
  <c r="O104" i="14" s="1"/>
  <c r="N105" i="14"/>
  <c r="O105" i="14" s="1"/>
  <c r="N106" i="14"/>
  <c r="O106" i="14" s="1"/>
  <c r="N107" i="14"/>
  <c r="O107" i="14" s="1"/>
  <c r="N108" i="14"/>
  <c r="O108" i="14" s="1"/>
  <c r="N109" i="14"/>
  <c r="O109" i="14" s="1"/>
  <c r="N110" i="14"/>
  <c r="O110" i="14" s="1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O121" i="14" s="1"/>
  <c r="N122" i="14"/>
  <c r="O122" i="14" s="1"/>
  <c r="N123" i="14"/>
  <c r="O123" i="14" s="1"/>
  <c r="N124" i="14"/>
  <c r="O124" i="14" s="1"/>
  <c r="N125" i="14"/>
  <c r="O125" i="14" s="1"/>
  <c r="O44" i="14"/>
  <c r="J4" i="23" l="1"/>
  <c r="C4" i="23"/>
  <c r="J3" i="23"/>
  <c r="C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C2" i="23"/>
  <c r="A2" i="23"/>
  <c r="A3" i="23" s="1"/>
  <c r="A4" i="23" s="1"/>
  <c r="J1" i="23"/>
  <c r="F1" i="23"/>
  <c r="H62" i="20" l="1"/>
  <c r="H55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34" i="20"/>
  <c r="H22" i="20"/>
  <c r="H58" i="20"/>
  <c r="H61" i="20"/>
  <c r="D2" i="23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4" i="23"/>
  <c r="F3" i="23" l="1"/>
  <c r="E3" i="23"/>
  <c r="D3" i="23"/>
  <c r="F2" i="23"/>
  <c r="E2" i="23"/>
  <c r="L4" i="23"/>
  <c r="C32" i="13"/>
  <c r="G3" i="23" l="1"/>
  <c r="G2" i="23"/>
  <c r="M4" i="23"/>
  <c r="B44" i="15"/>
  <c r="N4" i="23" l="1"/>
  <c r="O4" i="23" l="1"/>
  <c r="P4" i="23" l="1"/>
  <c r="J4" i="8"/>
  <c r="J3" i="8"/>
  <c r="J64" i="20"/>
  <c r="J65" i="20"/>
  <c r="J66" i="20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M8" i="20"/>
  <c r="H5" i="13" l="1"/>
  <c r="C24" i="13"/>
  <c r="C23" i="13"/>
  <c r="C16" i="13"/>
  <c r="C19" i="13"/>
  <c r="G5" i="13"/>
  <c r="Q4" i="23"/>
  <c r="B35" i="13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M33" i="20"/>
  <c r="M51" i="20"/>
  <c r="M50" i="20"/>
  <c r="M56" i="20"/>
  <c r="M19" i="20"/>
  <c r="M22" i="20"/>
  <c r="M11" i="20"/>
  <c r="M30" i="20"/>
  <c r="M16" i="20"/>
  <c r="M43" i="20"/>
  <c r="M24" i="20"/>
  <c r="M25" i="20"/>
  <c r="M26" i="20"/>
  <c r="M53" i="20"/>
  <c r="M20" i="20"/>
  <c r="M55" i="20"/>
  <c r="C2" i="13"/>
  <c r="B49" i="15" s="1"/>
  <c r="C3" i="8"/>
  <c r="C4" i="8"/>
  <c r="E3" i="8" l="1"/>
  <c r="F4" i="8"/>
  <c r="F3" i="8"/>
  <c r="E4" i="8"/>
  <c r="D4" i="8"/>
  <c r="D3" i="8"/>
  <c r="G8" i="13"/>
  <c r="H13" i="13"/>
  <c r="R4" i="23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D4" i="23" l="1"/>
  <c r="F4" i="23"/>
  <c r="E4" i="23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66" i="20" s="1"/>
  <c r="G79" i="14"/>
  <c r="G71" i="14"/>
  <c r="F13" i="20" s="1"/>
  <c r="G63" i="14"/>
  <c r="G55" i="14"/>
  <c r="F24" i="20" s="1"/>
  <c r="G47" i="14"/>
  <c r="F11" i="20" s="1"/>
  <c r="G39" i="14"/>
  <c r="F30" i="20" s="1"/>
  <c r="G31" i="14"/>
  <c r="F49" i="20" s="1"/>
  <c r="G23" i="14"/>
  <c r="F15" i="20" s="1"/>
  <c r="G15" i="14"/>
  <c r="F17" i="20" s="1"/>
  <c r="G7" i="14"/>
  <c r="F9" i="20" s="1"/>
  <c r="G120" i="14"/>
  <c r="G112" i="14"/>
  <c r="G104" i="14"/>
  <c r="G96" i="14"/>
  <c r="G88" i="14"/>
  <c r="G80" i="14"/>
  <c r="G72" i="14"/>
  <c r="F34" i="20" s="1"/>
  <c r="G64" i="14"/>
  <c r="G56" i="14"/>
  <c r="G48" i="14"/>
  <c r="F18" i="20" s="1"/>
  <c r="G40" i="14"/>
  <c r="F44" i="20" s="1"/>
  <c r="G32" i="14"/>
  <c r="G24" i="14"/>
  <c r="F20" i="20" s="1"/>
  <c r="G16" i="14"/>
  <c r="F57" i="20" s="1"/>
  <c r="G8" i="14"/>
  <c r="G126" i="14"/>
  <c r="M126" i="14" s="1"/>
  <c r="G121" i="14"/>
  <c r="G113" i="14"/>
  <c r="G105" i="14"/>
  <c r="G97" i="14"/>
  <c r="G89" i="14"/>
  <c r="G81" i="14"/>
  <c r="G73" i="14"/>
  <c r="G65" i="14"/>
  <c r="G57" i="14"/>
  <c r="F64" i="20" s="1"/>
  <c r="G49" i="14"/>
  <c r="F36" i="20" s="1"/>
  <c r="G41" i="14"/>
  <c r="F55" i="20" s="1"/>
  <c r="G33" i="14"/>
  <c r="F6" i="20" s="1"/>
  <c r="G25" i="14"/>
  <c r="F47" i="20" s="1"/>
  <c r="G17" i="14"/>
  <c r="F59" i="20" s="1"/>
  <c r="G9" i="14"/>
  <c r="F7" i="20" s="1"/>
  <c r="G122" i="14"/>
  <c r="G114" i="14"/>
  <c r="G106" i="14"/>
  <c r="G98" i="14"/>
  <c r="G90" i="14"/>
  <c r="G82" i="14"/>
  <c r="G74" i="14"/>
  <c r="G66" i="14"/>
  <c r="F22" i="20" s="1"/>
  <c r="G58" i="14"/>
  <c r="F42" i="20" s="1"/>
  <c r="G50" i="14"/>
  <c r="G42" i="14"/>
  <c r="F51" i="20" s="1"/>
  <c r="G34" i="14"/>
  <c r="F48" i="20" s="1"/>
  <c r="G26" i="14"/>
  <c r="F53" i="20" s="1"/>
  <c r="G18" i="14"/>
  <c r="F8" i="20" s="1"/>
  <c r="G10" i="14"/>
  <c r="F16" i="20" s="1"/>
  <c r="G123" i="14"/>
  <c r="G115" i="14"/>
  <c r="G107" i="14"/>
  <c r="G99" i="14"/>
  <c r="G91" i="14"/>
  <c r="G83" i="14"/>
  <c r="G75" i="14"/>
  <c r="F63" i="20" s="1"/>
  <c r="G67" i="14"/>
  <c r="F38" i="20" s="1"/>
  <c r="G59" i="14"/>
  <c r="G51" i="14"/>
  <c r="F31" i="20" s="1"/>
  <c r="G43" i="14"/>
  <c r="F54" i="20" s="1"/>
  <c r="G35" i="14"/>
  <c r="F32" i="20" s="1"/>
  <c r="G27" i="14"/>
  <c r="F28" i="20" s="1"/>
  <c r="G19" i="14"/>
  <c r="F4" i="20" s="1"/>
  <c r="G11" i="14"/>
  <c r="F45" i="20" s="1"/>
  <c r="G124" i="14"/>
  <c r="G116" i="14"/>
  <c r="G108" i="14"/>
  <c r="G100" i="14"/>
  <c r="G92" i="14"/>
  <c r="G84" i="14"/>
  <c r="G76" i="14"/>
  <c r="G68" i="14"/>
  <c r="G60" i="14"/>
  <c r="F33" i="20" s="1"/>
  <c r="G52" i="14"/>
  <c r="F23" i="20" s="1"/>
  <c r="G44" i="14"/>
  <c r="F35" i="20" s="1"/>
  <c r="G36" i="14"/>
  <c r="F27" i="20" s="1"/>
  <c r="G28" i="14"/>
  <c r="F37" i="20" s="1"/>
  <c r="G20" i="14"/>
  <c r="F58" i="20" s="1"/>
  <c r="G12" i="14"/>
  <c r="F46" i="20" s="1"/>
  <c r="G4" i="14"/>
  <c r="F56" i="20" s="1"/>
  <c r="G125" i="14"/>
  <c r="G117" i="14"/>
  <c r="G109" i="14"/>
  <c r="G101" i="14"/>
  <c r="G93" i="14"/>
  <c r="G85" i="14"/>
  <c r="G77" i="14"/>
  <c r="G69" i="14"/>
  <c r="F65" i="20" s="1"/>
  <c r="G61" i="14"/>
  <c r="F41" i="20" s="1"/>
  <c r="G53" i="14"/>
  <c r="G45" i="14"/>
  <c r="F25" i="20" s="1"/>
  <c r="G37" i="14"/>
  <c r="F29" i="20" s="1"/>
  <c r="G29" i="14"/>
  <c r="F5" i="20" s="1"/>
  <c r="G21" i="14"/>
  <c r="F26" i="20" s="1"/>
  <c r="G13" i="14"/>
  <c r="F50" i="20" s="1"/>
  <c r="G5" i="14"/>
  <c r="G118" i="14"/>
  <c r="G110" i="14"/>
  <c r="G102" i="14"/>
  <c r="G94" i="14"/>
  <c r="G86" i="14"/>
  <c r="G78" i="14"/>
  <c r="G70" i="14"/>
  <c r="G62" i="14"/>
  <c r="G54" i="14"/>
  <c r="G46" i="14"/>
  <c r="F19" i="20" s="1"/>
  <c r="G38" i="14"/>
  <c r="F52" i="20" s="1"/>
  <c r="G30" i="14"/>
  <c r="G22" i="14"/>
  <c r="F43" i="20" s="1"/>
  <c r="G14" i="14"/>
  <c r="F10" i="20" s="1"/>
  <c r="G6" i="14"/>
  <c r="F12" i="20" s="1"/>
  <c r="G2" i="14"/>
  <c r="F60" i="20" s="1"/>
  <c r="G3" i="14"/>
  <c r="F21" i="20" s="1"/>
  <c r="A2" i="8"/>
  <c r="A3" i="8" s="1"/>
  <c r="O133" i="14" l="1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G4" i="23"/>
  <c r="F40" i="20"/>
  <c r="F39" i="20"/>
  <c r="F14" i="20"/>
  <c r="C8" i="13"/>
  <c r="A4" i="8"/>
  <c r="P62" i="14"/>
  <c r="P65" i="14"/>
  <c r="P82" i="14"/>
  <c r="P84" i="14"/>
  <c r="P85" i="14"/>
  <c r="P89" i="14"/>
  <c r="P91" i="14"/>
  <c r="P93" i="14"/>
  <c r="P95" i="14"/>
  <c r="P97" i="14"/>
  <c r="P99" i="14"/>
  <c r="P100" i="14"/>
  <c r="P101" i="14"/>
  <c r="P103" i="14"/>
  <c r="P105" i="14"/>
  <c r="P106" i="14"/>
  <c r="P107" i="14"/>
  <c r="P108" i="14"/>
  <c r="P109" i="14"/>
  <c r="P111" i="14"/>
  <c r="P112" i="14"/>
  <c r="P113" i="14"/>
  <c r="P114" i="14"/>
  <c r="P115" i="14"/>
  <c r="P116" i="14"/>
  <c r="P117" i="14"/>
  <c r="P118" i="14"/>
  <c r="P119" i="14"/>
  <c r="P121" i="14"/>
  <c r="P122" i="14"/>
  <c r="P123" i="14"/>
  <c r="P124" i="14"/>
  <c r="P125" i="14"/>
  <c r="F61" i="20" l="1"/>
  <c r="L61" i="20"/>
  <c r="F62" i="20"/>
  <c r="L62" i="20"/>
  <c r="N126" i="14"/>
  <c r="O126" i="14" s="1"/>
  <c r="A5" i="8"/>
  <c r="H4" i="13"/>
  <c r="F1" i="8"/>
  <c r="C2" i="8"/>
  <c r="C4" i="13" s="1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H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G128" i="3" s="1"/>
  <c r="BH2" i="3"/>
  <c r="BI2" i="3"/>
  <c r="BI128" i="3" s="1"/>
  <c r="BJ2" i="3"/>
  <c r="BK2" i="3"/>
  <c r="BL2" i="3"/>
  <c r="BM2" i="3"/>
  <c r="BN2" i="3"/>
  <c r="BO2" i="3"/>
  <c r="BO128" i="3" s="1"/>
  <c r="BP2" i="3"/>
  <c r="BQ2" i="3"/>
  <c r="BQ128" i="3" s="1"/>
  <c r="BR2" i="3"/>
  <c r="BS2" i="3"/>
  <c r="BT2" i="3"/>
  <c r="BU2" i="3"/>
  <c r="A6" i="8" l="1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P126" i="14"/>
  <c r="G61" i="20"/>
  <c r="G62" i="20"/>
  <c r="I4" i="13"/>
  <c r="J2" i="8"/>
  <c r="R21" i="12"/>
  <c r="R22" i="12" s="1"/>
  <c r="R23" i="12" s="1"/>
  <c r="R24" i="12" s="1"/>
  <c r="R25" i="12" s="1"/>
  <c r="R26" i="12" s="1"/>
  <c r="R27" i="12" s="1"/>
  <c r="R28" i="12" s="1"/>
  <c r="R29" i="12" s="1"/>
  <c r="A7" i="8" l="1"/>
  <c r="I5" i="13"/>
  <c r="J4" i="13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BB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D2" i="8" l="1"/>
  <c r="E2" i="8"/>
  <c r="F2" i="8"/>
  <c r="A8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P3" i="14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E128" i="14" s="1"/>
  <c r="P128" i="14" s="1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P9" i="14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P70" i="14"/>
  <c r="P98" i="14"/>
  <c r="AX127" i="3"/>
  <c r="AP127" i="3"/>
  <c r="AH127" i="3"/>
  <c r="Z127" i="3"/>
  <c r="R127" i="3"/>
  <c r="J127" i="3"/>
  <c r="P74" i="14"/>
  <c r="AW127" i="3"/>
  <c r="AO127" i="3"/>
  <c r="AG127" i="3"/>
  <c r="Y127" i="3"/>
  <c r="Q127" i="3"/>
  <c r="I127" i="3"/>
  <c r="P81" i="14"/>
  <c r="AV127" i="3"/>
  <c r="AN127" i="3"/>
  <c r="AF127" i="3"/>
  <c r="X127" i="3"/>
  <c r="P127" i="3"/>
  <c r="H127" i="3"/>
  <c r="P102" i="14"/>
  <c r="P104" i="14"/>
  <c r="P73" i="14"/>
  <c r="P53" i="14"/>
  <c r="P90" i="14"/>
  <c r="P56" i="14"/>
  <c r="P88" i="14"/>
  <c r="P94" i="14"/>
  <c r="P79" i="14"/>
  <c r="P75" i="14"/>
  <c r="I13" i="13"/>
  <c r="J5" i="13"/>
  <c r="P45" i="14"/>
  <c r="P47" i="14"/>
  <c r="P76" i="14"/>
  <c r="P16" i="14"/>
  <c r="P39" i="14"/>
  <c r="P25" i="14"/>
  <c r="P57" i="14"/>
  <c r="P24" i="14"/>
  <c r="P21" i="14"/>
  <c r="P37" i="14"/>
  <c r="P48" i="14"/>
  <c r="P80" i="14"/>
  <c r="P44" i="14"/>
  <c r="P32" i="14"/>
  <c r="P7" i="14"/>
  <c r="P71" i="14"/>
  <c r="P6" i="14"/>
  <c r="P42" i="14"/>
  <c r="P61" i="14"/>
  <c r="P18" i="14"/>
  <c r="P83" i="14"/>
  <c r="P66" i="14"/>
  <c r="P51" i="14"/>
  <c r="P14" i="14"/>
  <c r="P41" i="14"/>
  <c r="P27" i="14"/>
  <c r="P13" i="14"/>
  <c r="P15" i="14"/>
  <c r="P49" i="14"/>
  <c r="P31" i="14"/>
  <c r="P36" i="14"/>
  <c r="P63" i="14"/>
  <c r="P5" i="14"/>
  <c r="P35" i="14"/>
  <c r="P8" i="14"/>
  <c r="P30" i="14"/>
  <c r="P78" i="14"/>
  <c r="P58" i="14"/>
  <c r="P60" i="14"/>
  <c r="P86" i="14"/>
  <c r="P23" i="14"/>
  <c r="P34" i="14"/>
  <c r="P28" i="14"/>
  <c r="P26" i="14"/>
  <c r="P110" i="14"/>
  <c r="P50" i="14"/>
  <c r="P22" i="14"/>
  <c r="P20" i="14"/>
  <c r="P55" i="14"/>
  <c r="P52" i="14"/>
  <c r="P12" i="14"/>
  <c r="P54" i="14"/>
  <c r="P33" i="14"/>
  <c r="P11" i="14"/>
  <c r="P87" i="14"/>
  <c r="P120" i="14"/>
  <c r="P46" i="14"/>
  <c r="P43" i="14"/>
  <c r="P17" i="14"/>
  <c r="P77" i="14"/>
  <c r="P19" i="14"/>
  <c r="P38" i="14"/>
  <c r="P96" i="14"/>
  <c r="P10" i="14"/>
  <c r="P69" i="14"/>
  <c r="P92" i="14"/>
  <c r="P68" i="14"/>
  <c r="P64" i="14"/>
  <c r="P72" i="14"/>
  <c r="P59" i="14"/>
  <c r="P67" i="14"/>
  <c r="P2" i="14"/>
  <c r="F15" i="14"/>
  <c r="M15" i="14" s="1"/>
  <c r="F125" i="14"/>
  <c r="M125" i="14" s="1"/>
  <c r="F81" i="14"/>
  <c r="M81" i="14" s="1"/>
  <c r="F47" i="14"/>
  <c r="F76" i="14"/>
  <c r="M76" i="14" s="1"/>
  <c r="F88" i="14"/>
  <c r="M88" i="14" s="1"/>
  <c r="F122" i="14"/>
  <c r="M122" i="14" s="1"/>
  <c r="F16" i="14"/>
  <c r="M16" i="14" s="1"/>
  <c r="F39" i="14"/>
  <c r="F25" i="14"/>
  <c r="M25" i="14" s="1"/>
  <c r="F40" i="14"/>
  <c r="F57" i="14"/>
  <c r="M57" i="14" s="1"/>
  <c r="F24" i="14"/>
  <c r="M24" i="14" s="1"/>
  <c r="F100" i="14"/>
  <c r="M100" i="14" s="1"/>
  <c r="F21" i="14"/>
  <c r="M21" i="14" s="1"/>
  <c r="F85" i="14"/>
  <c r="M85" i="14" s="1"/>
  <c r="F90" i="14"/>
  <c r="M90" i="14" s="1"/>
  <c r="F37" i="14"/>
  <c r="F48" i="14"/>
  <c r="F109" i="14"/>
  <c r="M109" i="14" s="1"/>
  <c r="F80" i="14"/>
  <c r="M80" i="14" s="1"/>
  <c r="F44" i="14"/>
  <c r="F84" i="14"/>
  <c r="M84" i="14" s="1"/>
  <c r="F32" i="14"/>
  <c r="M32" i="14" s="1"/>
  <c r="F7" i="14"/>
  <c r="M7" i="14" s="1"/>
  <c r="F71" i="14"/>
  <c r="F114" i="14"/>
  <c r="M114" i="14" s="1"/>
  <c r="F105" i="14"/>
  <c r="M105" i="14" s="1"/>
  <c r="F112" i="14"/>
  <c r="M112" i="14" s="1"/>
  <c r="F103" i="14"/>
  <c r="M103" i="14" s="1"/>
  <c r="F9" i="14"/>
  <c r="M9" i="14" s="1"/>
  <c r="F6" i="14"/>
  <c r="M6" i="14" s="1"/>
  <c r="C15" i="13" s="1"/>
  <c r="F42" i="14"/>
  <c r="F61" i="14"/>
  <c r="F94" i="14"/>
  <c r="M94" i="14" s="1"/>
  <c r="F101" i="14"/>
  <c r="M101" i="14" s="1"/>
  <c r="F72" i="14"/>
  <c r="F3" i="14"/>
  <c r="M3" i="14" s="1"/>
  <c r="F69" i="14"/>
  <c r="M69" i="14" s="1"/>
  <c r="F65" i="14"/>
  <c r="M65" i="14" s="1"/>
  <c r="F92" i="14"/>
  <c r="M92" i="14" s="1"/>
  <c r="F68" i="14"/>
  <c r="M68" i="14" s="1"/>
  <c r="F91" i="14"/>
  <c r="M91" i="14" s="1"/>
  <c r="F18" i="14"/>
  <c r="M18" i="14" s="1"/>
  <c r="F83" i="14"/>
  <c r="M83" i="14" s="1"/>
  <c r="F66" i="14"/>
  <c r="F51" i="14"/>
  <c r="F89" i="14"/>
  <c r="M89" i="14" s="1"/>
  <c r="F14" i="14"/>
  <c r="M14" i="14" s="1"/>
  <c r="F79" i="14"/>
  <c r="M79" i="14" s="1"/>
  <c r="F41" i="14"/>
  <c r="F27" i="14"/>
  <c r="M27" i="14" s="1"/>
  <c r="F107" i="14"/>
  <c r="M107" i="14" s="1"/>
  <c r="F93" i="14"/>
  <c r="M93" i="14" s="1"/>
  <c r="F13" i="14"/>
  <c r="M13" i="14" s="1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F31" i="14"/>
  <c r="M31" i="14" s="1"/>
  <c r="F36" i="14"/>
  <c r="M36" i="14" s="1"/>
  <c r="F63" i="14"/>
  <c r="M63" i="14" s="1"/>
  <c r="F124" i="14"/>
  <c r="M124" i="14" s="1"/>
  <c r="F82" i="14"/>
  <c r="M82" i="14" s="1"/>
  <c r="F5" i="14"/>
  <c r="M5" i="14" s="1"/>
  <c r="F35" i="14"/>
  <c r="M35" i="14" s="1"/>
  <c r="F119" i="14"/>
  <c r="M119" i="14" s="1"/>
  <c r="F8" i="14"/>
  <c r="M8" i="14" s="1"/>
  <c r="F30" i="14"/>
  <c r="M30" i="14" s="1"/>
  <c r="F78" i="14"/>
  <c r="M78" i="14" s="1"/>
  <c r="F67" i="14"/>
  <c r="F99" i="14"/>
  <c r="M99" i="14" s="1"/>
  <c r="F111" i="14"/>
  <c r="M111" i="14" s="1"/>
  <c r="F58" i="14"/>
  <c r="F95" i="14"/>
  <c r="M95" i="14" s="1"/>
  <c r="F60" i="14"/>
  <c r="M60" i="14" s="1"/>
  <c r="F86" i="14"/>
  <c r="M86" i="14" s="1"/>
  <c r="F23" i="14"/>
  <c r="M23" i="14" s="1"/>
  <c r="F121" i="14"/>
  <c r="M121" i="14" s="1"/>
  <c r="F34" i="14"/>
  <c r="F118" i="14"/>
  <c r="M118" i="14" s="1"/>
  <c r="F28" i="14"/>
  <c r="M28" i="14" s="1"/>
  <c r="F75" i="14"/>
  <c r="F2" i="14"/>
  <c r="M2" i="14" s="1"/>
  <c r="F53" i="14"/>
  <c r="M53" i="14" s="1"/>
  <c r="F26" i="14"/>
  <c r="F110" i="14"/>
  <c r="M110" i="14" s="1"/>
  <c r="F50" i="14"/>
  <c r="M50" i="14" s="1"/>
  <c r="F45" i="14"/>
  <c r="F22" i="14"/>
  <c r="M22" i="14" s="1"/>
  <c r="F20" i="14"/>
  <c r="M20" i="14" s="1"/>
  <c r="F70" i="14"/>
  <c r="M70" i="14" s="1"/>
  <c r="F123" i="14"/>
  <c r="M123" i="14" s="1"/>
  <c r="F55" i="14"/>
  <c r="F98" i="14"/>
  <c r="M98" i="14" s="1"/>
  <c r="F4" i="14"/>
  <c r="M4" i="14" s="1"/>
  <c r="F117" i="14"/>
  <c r="M117" i="14" s="1"/>
  <c r="F115" i="14"/>
  <c r="M115" i="14" s="1"/>
  <c r="F97" i="14"/>
  <c r="M97" i="14" s="1"/>
  <c r="F52" i="14"/>
  <c r="F29" i="14"/>
  <c r="M29" i="14" s="1"/>
  <c r="F74" i="14"/>
  <c r="M74" i="14" s="1"/>
  <c r="F64" i="14"/>
  <c r="M64" i="14" s="1"/>
  <c r="F12" i="14"/>
  <c r="M12" i="14" s="1"/>
  <c r="F54" i="14"/>
  <c r="M54" i="14" s="1"/>
  <c r="F33" i="14"/>
  <c r="M33" i="14" s="1"/>
  <c r="F11" i="14"/>
  <c r="M11" i="14" s="1"/>
  <c r="F108" i="14"/>
  <c r="M108" i="14" s="1"/>
  <c r="F87" i="14"/>
  <c r="M87" i="14" s="1"/>
  <c r="F120" i="14"/>
  <c r="M120" i="14" s="1"/>
  <c r="F46" i="14"/>
  <c r="F116" i="14"/>
  <c r="M116" i="14" s="1"/>
  <c r="F43" i="14"/>
  <c r="M43" i="14" s="1"/>
  <c r="F17" i="14"/>
  <c r="M17" i="14" s="1"/>
  <c r="F113" i="14"/>
  <c r="M113" i="14" s="1"/>
  <c r="F77" i="14"/>
  <c r="M77" i="14" s="1"/>
  <c r="F19" i="14"/>
  <c r="M19" i="14" s="1"/>
  <c r="F56" i="14"/>
  <c r="M56" i="14" s="1"/>
  <c r="F38" i="14"/>
  <c r="F96" i="14"/>
  <c r="M96" i="14" s="1"/>
  <c r="F10" i="14"/>
  <c r="M10" i="14" s="1"/>
  <c r="K1" i="8"/>
  <c r="K4" i="13"/>
  <c r="E133" i="14" l="1"/>
  <c r="P133" i="14" s="1"/>
  <c r="E130" i="14"/>
  <c r="P130" i="14" s="1"/>
  <c r="E131" i="14"/>
  <c r="P131" i="14" s="1"/>
  <c r="E132" i="14"/>
  <c r="P132" i="14" s="1"/>
  <c r="E129" i="14"/>
  <c r="P129" i="14" s="1"/>
  <c r="C9" i="13" s="1"/>
  <c r="X6" i="13" s="1"/>
  <c r="A9" i="8"/>
  <c r="P29" i="14"/>
  <c r="P4" i="14"/>
  <c r="P40" i="14"/>
  <c r="C36" i="15"/>
  <c r="J13" i="13"/>
  <c r="K5" i="13"/>
  <c r="D33" i="20"/>
  <c r="M66" i="14"/>
  <c r="D25" i="20"/>
  <c r="M45" i="14"/>
  <c r="D63" i="20"/>
  <c r="M75" i="14"/>
  <c r="D4" i="20"/>
  <c r="M67" i="14"/>
  <c r="D56" i="20"/>
  <c r="M41" i="14"/>
  <c r="D13" i="20"/>
  <c r="M71" i="14"/>
  <c r="D44" i="20"/>
  <c r="M52" i="14"/>
  <c r="D24" i="20"/>
  <c r="M55" i="14"/>
  <c r="D20" i="20"/>
  <c r="M47" i="14"/>
  <c r="D39" i="20"/>
  <c r="M49" i="14"/>
  <c r="D37" i="20"/>
  <c r="M72" i="14"/>
  <c r="D43" i="20"/>
  <c r="M48" i="14"/>
  <c r="D8" i="20"/>
  <c r="M39" i="14"/>
  <c r="D26" i="20"/>
  <c r="M46" i="14"/>
  <c r="D55" i="20"/>
  <c r="M26" i="14"/>
  <c r="D11" i="20"/>
  <c r="M34" i="14"/>
  <c r="D30" i="20"/>
  <c r="M37" i="14"/>
  <c r="D28" i="20"/>
  <c r="M58" i="14"/>
  <c r="D19" i="20"/>
  <c r="M61" i="14"/>
  <c r="D47" i="20"/>
  <c r="M38" i="14"/>
  <c r="D22" i="20"/>
  <c r="E22" i="20" s="1"/>
  <c r="M51" i="14"/>
  <c r="D51" i="20"/>
  <c r="M42" i="14"/>
  <c r="D50" i="20"/>
  <c r="M44" i="14"/>
  <c r="D16" i="20"/>
  <c r="M40" i="14"/>
  <c r="D53" i="20"/>
  <c r="D42" i="20"/>
  <c r="L1" i="8"/>
  <c r="L4" i="13"/>
  <c r="G3" i="13" l="1"/>
  <c r="G25" i="13" s="1"/>
  <c r="A10" i="8"/>
  <c r="K13" i="13"/>
  <c r="G6" i="13"/>
  <c r="G7" i="13" s="1"/>
  <c r="L5" i="13"/>
  <c r="H6" i="13"/>
  <c r="I6" i="13"/>
  <c r="J6" i="13"/>
  <c r="K6" i="13"/>
  <c r="L6" i="13"/>
  <c r="E16" i="20"/>
  <c r="E47" i="20"/>
  <c r="E11" i="20"/>
  <c r="E53" i="20"/>
  <c r="E30" i="20"/>
  <c r="E20" i="20"/>
  <c r="E8" i="20"/>
  <c r="E56" i="20"/>
  <c r="E33" i="20"/>
  <c r="E4" i="20"/>
  <c r="E24" i="20"/>
  <c r="E43" i="20"/>
  <c r="E19" i="20"/>
  <c r="E55" i="20"/>
  <c r="E37" i="20"/>
  <c r="E44" i="20"/>
  <c r="E63" i="20"/>
  <c r="E50" i="20"/>
  <c r="E42" i="20"/>
  <c r="E51" i="20"/>
  <c r="E28" i="20"/>
  <c r="E26" i="20"/>
  <c r="E39" i="20"/>
  <c r="E13" i="20"/>
  <c r="E25" i="20"/>
  <c r="M1" i="8"/>
  <c r="M4" i="13"/>
  <c r="A11" i="8" l="1"/>
  <c r="H7" i="13"/>
  <c r="K7" i="13"/>
  <c r="I7" i="13"/>
  <c r="J7" i="13"/>
  <c r="L7" i="13"/>
  <c r="L13" i="13"/>
  <c r="M5" i="13"/>
  <c r="I15" i="13"/>
  <c r="L15" i="13"/>
  <c r="K15" i="13"/>
  <c r="J15" i="13"/>
  <c r="M6" i="13"/>
  <c r="N1" i="8"/>
  <c r="N4" i="13"/>
  <c r="A12" i="8" l="1"/>
  <c r="L17" i="13"/>
  <c r="K17" i="13"/>
  <c r="M7" i="13"/>
  <c r="M8" i="13" s="1"/>
  <c r="K8" i="13"/>
  <c r="J8" i="13"/>
  <c r="H8" i="13"/>
  <c r="I8" i="13"/>
  <c r="L8" i="13"/>
  <c r="M13" i="13"/>
  <c r="M15" i="13"/>
  <c r="M17" i="13" s="1"/>
  <c r="N5" i="13"/>
  <c r="N6" i="13"/>
  <c r="O1" i="8"/>
  <c r="O4" i="13"/>
  <c r="A13" i="8" l="1"/>
  <c r="J14" i="13"/>
  <c r="M14" i="13"/>
  <c r="H14" i="13"/>
  <c r="I14" i="13"/>
  <c r="K14" i="13"/>
  <c r="L14" i="13"/>
  <c r="N7" i="13"/>
  <c r="N8" i="13" s="1"/>
  <c r="N14" i="13" s="1"/>
  <c r="N13" i="13"/>
  <c r="N15" i="13"/>
  <c r="O5" i="13"/>
  <c r="O6" i="13"/>
  <c r="P1" i="8"/>
  <c r="P4" i="13"/>
  <c r="A14" i="8" l="1"/>
  <c r="L16" i="13"/>
  <c r="J16" i="13"/>
  <c r="K16" i="13"/>
  <c r="G14" i="13"/>
  <c r="H16" i="13" s="1"/>
  <c r="N16" i="13"/>
  <c r="M16" i="13"/>
  <c r="N17" i="13"/>
  <c r="O7" i="13"/>
  <c r="O8" i="13" s="1"/>
  <c r="O13" i="13"/>
  <c r="O15" i="13"/>
  <c r="P5" i="13"/>
  <c r="P6" i="13"/>
  <c r="Q1" i="8"/>
  <c r="Q4" i="13"/>
  <c r="A15" i="8" l="1"/>
  <c r="I16" i="13"/>
  <c r="G16" i="13"/>
  <c r="O14" i="13"/>
  <c r="O16" i="13" s="1"/>
  <c r="O17" i="13"/>
  <c r="P7" i="13"/>
  <c r="P13" i="13"/>
  <c r="P15" i="13"/>
  <c r="Q5" i="13"/>
  <c r="Q6" i="13"/>
  <c r="R1" i="8"/>
  <c r="R4" i="13"/>
  <c r="A16" i="8" l="1"/>
  <c r="P17" i="13"/>
  <c r="Q7" i="13"/>
  <c r="Q8" i="13" s="1"/>
  <c r="P8" i="13"/>
  <c r="Q13" i="13"/>
  <c r="Q15" i="13"/>
  <c r="R5" i="13"/>
  <c r="R6" i="13"/>
  <c r="S1" i="8"/>
  <c r="S4" i="13"/>
  <c r="A17" i="8" l="1"/>
  <c r="Q14" i="13"/>
  <c r="P14" i="13"/>
  <c r="P16" i="13" s="1"/>
  <c r="Q17" i="13"/>
  <c r="R7" i="13"/>
  <c r="R8" i="13" s="1"/>
  <c r="R13" i="13"/>
  <c r="R15" i="13"/>
  <c r="S5" i="13"/>
  <c r="S6" i="13"/>
  <c r="T1" i="8"/>
  <c r="T4" i="13"/>
  <c r="A18" i="8" l="1"/>
  <c r="Q16" i="13"/>
  <c r="R14" i="13"/>
  <c r="R16" i="13" s="1"/>
  <c r="R17" i="13"/>
  <c r="S7" i="13"/>
  <c r="S8" i="13" s="1"/>
  <c r="S13" i="13"/>
  <c r="S15" i="13"/>
  <c r="T5" i="13"/>
  <c r="T6" i="13"/>
  <c r="U1" i="8"/>
  <c r="U4" i="13"/>
  <c r="A19" i="8" l="1"/>
  <c r="S14" i="13"/>
  <c r="S16" i="13" s="1"/>
  <c r="S17" i="13"/>
  <c r="T7" i="13"/>
  <c r="T8" i="13" s="1"/>
  <c r="T13" i="13"/>
  <c r="T15" i="13"/>
  <c r="U5" i="13"/>
  <c r="U6" i="13"/>
  <c r="V1" i="8"/>
  <c r="V4" i="13"/>
  <c r="A20" i="8" l="1"/>
  <c r="T14" i="13"/>
  <c r="T16" i="13" s="1"/>
  <c r="T17" i="13"/>
  <c r="U7" i="13"/>
  <c r="U8" i="13" s="1"/>
  <c r="U13" i="13"/>
  <c r="U15" i="13"/>
  <c r="V5" i="13"/>
  <c r="V6" i="13"/>
  <c r="W1" i="8"/>
  <c r="W4" i="13"/>
  <c r="A21" i="8" l="1"/>
  <c r="U14" i="13"/>
  <c r="U16" i="13" s="1"/>
  <c r="U17" i="13"/>
  <c r="V7" i="13"/>
  <c r="V13" i="13"/>
  <c r="V15" i="13"/>
  <c r="W5" i="13"/>
  <c r="W6" i="13"/>
  <c r="X1" i="8"/>
  <c r="X4" i="13"/>
  <c r="G20" i="8" l="1"/>
  <c r="A22" i="8"/>
  <c r="V17" i="13"/>
  <c r="V8" i="13"/>
  <c r="W7" i="13"/>
  <c r="W13" i="13"/>
  <c r="W15" i="13"/>
  <c r="X5" i="13"/>
  <c r="Y1" i="8"/>
  <c r="Y4" i="13"/>
  <c r="A23" i="8" l="1"/>
  <c r="V14" i="13"/>
  <c r="W17" i="13"/>
  <c r="X7" i="13"/>
  <c r="X8" i="13" s="1"/>
  <c r="W8" i="13"/>
  <c r="X13" i="13"/>
  <c r="X15" i="13"/>
  <c r="Y5" i="13"/>
  <c r="Y6" i="13"/>
  <c r="Z1" i="8"/>
  <c r="Z4" i="13"/>
  <c r="A24" i="8" l="1"/>
  <c r="X14" i="13"/>
  <c r="V16" i="13"/>
  <c r="W14" i="13"/>
  <c r="W16" i="13" s="1"/>
  <c r="X17" i="13"/>
  <c r="Y7" i="13"/>
  <c r="Y8" i="13" s="1"/>
  <c r="Y13" i="13"/>
  <c r="Y15" i="13"/>
  <c r="Z5" i="13"/>
  <c r="Z6" i="13"/>
  <c r="AA1" i="8"/>
  <c r="AA4" i="13"/>
  <c r="G22" i="8" l="1"/>
  <c r="A25" i="8"/>
  <c r="X16" i="13"/>
  <c r="Y14" i="13"/>
  <c r="Y17" i="13"/>
  <c r="Z7" i="13"/>
  <c r="Z13" i="13"/>
  <c r="Z15" i="13"/>
  <c r="AA5" i="13"/>
  <c r="AA6" i="13"/>
  <c r="AB1" i="8"/>
  <c r="AB4" i="13"/>
  <c r="G21" i="8" l="1"/>
  <c r="G24" i="8"/>
  <c r="A26" i="8"/>
  <c r="G23" i="8"/>
  <c r="Y16" i="13"/>
  <c r="Z17" i="13"/>
  <c r="Z8" i="13"/>
  <c r="AA7" i="13"/>
  <c r="AA8" i="13" s="1"/>
  <c r="AA13" i="13"/>
  <c r="AA15" i="13"/>
  <c r="AB5" i="13"/>
  <c r="AB13" i="13" s="1"/>
  <c r="AB6" i="13"/>
  <c r="AC1" i="8"/>
  <c r="AC4" i="13"/>
  <c r="G25" i="8" l="1"/>
  <c r="A27" i="8"/>
  <c r="AA14" i="13"/>
  <c r="Z14" i="13"/>
  <c r="Z16" i="13" s="1"/>
  <c r="AA17" i="13"/>
  <c r="AB7" i="13"/>
  <c r="AB15" i="13"/>
  <c r="AB17" i="13" s="1"/>
  <c r="AC5" i="13"/>
  <c r="AC13" i="13" s="1"/>
  <c r="AC6" i="13"/>
  <c r="AD1" i="8"/>
  <c r="AD4" i="13"/>
  <c r="G26" i="8" l="1"/>
  <c r="A28" i="8"/>
  <c r="AA16" i="13"/>
  <c r="AB8" i="13"/>
  <c r="AC7" i="13"/>
  <c r="AC15" i="13"/>
  <c r="AC17" i="13" s="1"/>
  <c r="AD5" i="13"/>
  <c r="AD13" i="13" s="1"/>
  <c r="AD6" i="13"/>
  <c r="AE1" i="8"/>
  <c r="AE4" i="13"/>
  <c r="G27" i="8" l="1"/>
  <c r="A29" i="8"/>
  <c r="AB14" i="13"/>
  <c r="AC8" i="13"/>
  <c r="AD7" i="13"/>
  <c r="AD15" i="13"/>
  <c r="AD17" i="13" s="1"/>
  <c r="AE5" i="13"/>
  <c r="AE13" i="13" s="1"/>
  <c r="AE6" i="13"/>
  <c r="AF1" i="8"/>
  <c r="AF4" i="13"/>
  <c r="G28" i="8" l="1"/>
  <c r="G5" i="20" s="1"/>
  <c r="A30" i="8"/>
  <c r="AB16" i="13"/>
  <c r="AC14" i="13"/>
  <c r="AC16" i="13" s="1"/>
  <c r="AD8" i="13"/>
  <c r="AE7" i="13"/>
  <c r="AE15" i="13"/>
  <c r="AE17" i="13" s="1"/>
  <c r="AF5" i="13"/>
  <c r="AF13" i="13" s="1"/>
  <c r="AF6" i="13"/>
  <c r="AG1" i="8"/>
  <c r="AG4" i="13"/>
  <c r="G29" i="8" l="1"/>
  <c r="A31" i="8"/>
  <c r="AD14" i="13"/>
  <c r="AD16" i="13" s="1"/>
  <c r="AF7" i="13"/>
  <c r="AF8" i="13" s="1"/>
  <c r="AE8" i="13"/>
  <c r="AF15" i="13"/>
  <c r="AG5" i="13"/>
  <c r="AG6" i="13"/>
  <c r="AH1" i="8"/>
  <c r="AH4" i="13"/>
  <c r="G30" i="8" l="1"/>
  <c r="A32" i="8"/>
  <c r="AF14" i="13"/>
  <c r="AE14" i="13"/>
  <c r="AG7" i="13"/>
  <c r="AG13" i="13"/>
  <c r="AG15" i="13"/>
  <c r="AG17" i="13" s="1"/>
  <c r="AF17" i="13"/>
  <c r="AH5" i="13"/>
  <c r="AH13" i="13" s="1"/>
  <c r="AH6" i="13"/>
  <c r="AI1" i="8"/>
  <c r="AI4" i="13"/>
  <c r="G31" i="8" l="1"/>
  <c r="A33" i="8"/>
  <c r="AH7" i="13"/>
  <c r="AH8" i="13" s="1"/>
  <c r="AG8" i="13"/>
  <c r="AH15" i="13"/>
  <c r="AH17" i="13" s="1"/>
  <c r="AI5" i="13"/>
  <c r="AI13" i="13" s="1"/>
  <c r="AI6" i="13"/>
  <c r="AJ1" i="8"/>
  <c r="AJ4" i="13"/>
  <c r="G32" i="8" l="1"/>
  <c r="A34" i="8"/>
  <c r="AH14" i="13"/>
  <c r="AG14" i="13"/>
  <c r="AI7" i="13"/>
  <c r="AI15" i="13"/>
  <c r="AI17" i="13" s="1"/>
  <c r="AJ5" i="13"/>
  <c r="AJ13" i="13" s="1"/>
  <c r="AJ6" i="13"/>
  <c r="AK1" i="8"/>
  <c r="AK4" i="13"/>
  <c r="G33" i="8" l="1"/>
  <c r="A35" i="8"/>
  <c r="AI8" i="13"/>
  <c r="AJ7" i="13"/>
  <c r="AJ15" i="13"/>
  <c r="AK5" i="13"/>
  <c r="AK13" i="13" s="1"/>
  <c r="AK6" i="13"/>
  <c r="AL1" i="8"/>
  <c r="AL4" i="13"/>
  <c r="G34" i="8" l="1"/>
  <c r="A36" i="8"/>
  <c r="AI14" i="13"/>
  <c r="AJ8" i="13"/>
  <c r="AK7" i="13"/>
  <c r="AK8" i="13" s="1"/>
  <c r="AL6" i="13"/>
  <c r="AK15" i="13"/>
  <c r="AK17" i="13" s="1"/>
  <c r="AJ17" i="13"/>
  <c r="AL5" i="13"/>
  <c r="AM1" i="8"/>
  <c r="AM4" i="13"/>
  <c r="G35" i="8" l="1"/>
  <c r="A37" i="8"/>
  <c r="AK14" i="13"/>
  <c r="AJ14" i="13"/>
  <c r="AL7" i="13"/>
  <c r="AL13" i="13"/>
  <c r="AL15" i="13"/>
  <c r="AL17" i="13" s="1"/>
  <c r="AM5" i="13"/>
  <c r="AM13" i="13" s="1"/>
  <c r="AM6" i="13"/>
  <c r="AN1" i="8"/>
  <c r="AN4" i="13"/>
  <c r="G36" i="8" l="1"/>
  <c r="G32" i="20" s="1"/>
  <c r="A38" i="8"/>
  <c r="AL8" i="13"/>
  <c r="AM7" i="13"/>
  <c r="AM8" i="13" s="1"/>
  <c r="AM15" i="13"/>
  <c r="AM17" i="13" s="1"/>
  <c r="AN5" i="13"/>
  <c r="AN6" i="13"/>
  <c r="AO1" i="8"/>
  <c r="AO4" i="13"/>
  <c r="G37" i="8" l="1"/>
  <c r="G24" i="20" s="1"/>
  <c r="A39" i="8"/>
  <c r="AM14" i="13"/>
  <c r="AL14" i="13"/>
  <c r="AN7" i="13"/>
  <c r="AN8" i="13" s="1"/>
  <c r="AN13" i="13"/>
  <c r="AN15" i="13"/>
  <c r="AN17" i="13" s="1"/>
  <c r="AO5" i="13"/>
  <c r="AO13" i="13" s="1"/>
  <c r="AO6" i="13"/>
  <c r="AP1" i="8"/>
  <c r="AP4" i="13"/>
  <c r="G38" i="8" l="1"/>
  <c r="A40" i="8"/>
  <c r="AN14" i="13"/>
  <c r="AO7" i="13"/>
  <c r="AO15" i="13"/>
  <c r="AO17" i="13" s="1"/>
  <c r="AP5" i="13"/>
  <c r="AP6" i="13"/>
  <c r="AQ1" i="8"/>
  <c r="AQ4" i="13"/>
  <c r="G39" i="8" l="1"/>
  <c r="A41" i="8"/>
  <c r="AO8" i="13"/>
  <c r="AP7" i="13"/>
  <c r="AP8" i="13" s="1"/>
  <c r="AP13" i="13"/>
  <c r="AP15" i="13"/>
  <c r="AP17" i="13" s="1"/>
  <c r="AQ5" i="13"/>
  <c r="AQ13" i="13" s="1"/>
  <c r="AQ6" i="13"/>
  <c r="AR1" i="8"/>
  <c r="AR4" i="13"/>
  <c r="G40" i="8" l="1"/>
  <c r="A42" i="8"/>
  <c r="AP14" i="13"/>
  <c r="AO14" i="13"/>
  <c r="AQ7" i="13"/>
  <c r="AQ8" i="13" s="1"/>
  <c r="AQ15" i="13"/>
  <c r="AQ17" i="13" s="1"/>
  <c r="AR5" i="13"/>
  <c r="AR6" i="13"/>
  <c r="AS1" i="8"/>
  <c r="AS4" i="13"/>
  <c r="G41" i="8" l="1"/>
  <c r="A43" i="8"/>
  <c r="AQ14" i="13"/>
  <c r="AR7" i="13"/>
  <c r="AR8" i="13" s="1"/>
  <c r="AR14" i="13" s="1"/>
  <c r="AR13" i="13"/>
  <c r="AR15" i="13"/>
  <c r="AR17" i="13" s="1"/>
  <c r="AS5" i="13"/>
  <c r="AS13" i="13" s="1"/>
  <c r="AS6" i="13"/>
  <c r="AT1" i="8"/>
  <c r="G23" i="20"/>
  <c r="AT4" i="13"/>
  <c r="G42" i="8" l="1"/>
  <c r="A44" i="8"/>
  <c r="AS7" i="13"/>
  <c r="AS8" i="13" s="1"/>
  <c r="AS15" i="13"/>
  <c r="AS17" i="13" s="1"/>
  <c r="AT5" i="13"/>
  <c r="AT6" i="13"/>
  <c r="AU1" i="8"/>
  <c r="AU4" i="13"/>
  <c r="G43" i="8" l="1"/>
  <c r="A45" i="8"/>
  <c r="AS14" i="13"/>
  <c r="AT7" i="13"/>
  <c r="AT13" i="13"/>
  <c r="AT15" i="13"/>
  <c r="AT17" i="13" s="1"/>
  <c r="AU5" i="13"/>
  <c r="AU6" i="13"/>
  <c r="AV1" i="8"/>
  <c r="AV4" i="13"/>
  <c r="G44" i="8" l="1"/>
  <c r="A46" i="8"/>
  <c r="AT8" i="13"/>
  <c r="AU7" i="13"/>
  <c r="AU8" i="13" s="1"/>
  <c r="AU13" i="13"/>
  <c r="AU15" i="13"/>
  <c r="AU17" i="13" s="1"/>
  <c r="AV5" i="13"/>
  <c r="AV13" i="13" s="1"/>
  <c r="AV6" i="13"/>
  <c r="AW1" i="8"/>
  <c r="AW4" i="13"/>
  <c r="G45" i="8" l="1"/>
  <c r="G29" i="20" s="1"/>
  <c r="A47" i="8"/>
  <c r="AU14" i="13"/>
  <c r="AT14" i="13"/>
  <c r="AV7" i="13"/>
  <c r="AV8" i="13" s="1"/>
  <c r="AV14" i="13" s="1"/>
  <c r="AV15" i="13"/>
  <c r="AV17" i="13" s="1"/>
  <c r="AW5" i="13"/>
  <c r="AW6" i="13"/>
  <c r="AX1" i="8"/>
  <c r="G27" i="20"/>
  <c r="AX4" i="13"/>
  <c r="G46" i="8" l="1"/>
  <c r="A48" i="8"/>
  <c r="AW7" i="13"/>
  <c r="AW8" i="13" s="1"/>
  <c r="AW14" i="13" s="1"/>
  <c r="AW13" i="13"/>
  <c r="AW15" i="13"/>
  <c r="AW17" i="13" s="1"/>
  <c r="AX5" i="13"/>
  <c r="AX6" i="13"/>
  <c r="AY1" i="8"/>
  <c r="AY4" i="13"/>
  <c r="G47" i="8" l="1"/>
  <c r="A49" i="8"/>
  <c r="AX7" i="13"/>
  <c r="AX8" i="13" s="1"/>
  <c r="AX13" i="13"/>
  <c r="AX15" i="13"/>
  <c r="AY5" i="13"/>
  <c r="AY13" i="13" s="1"/>
  <c r="AY6" i="13"/>
  <c r="AZ1" i="8"/>
  <c r="AZ4" i="13"/>
  <c r="G48" i="8" l="1"/>
  <c r="A50" i="8"/>
  <c r="AX14" i="13"/>
  <c r="AY7" i="13"/>
  <c r="AY8" i="13" s="1"/>
  <c r="AX17" i="13"/>
  <c r="AY15" i="13"/>
  <c r="AZ5" i="13"/>
  <c r="AZ13" i="13" s="1"/>
  <c r="AZ6" i="13"/>
  <c r="BA1" i="8"/>
  <c r="G6" i="20"/>
  <c r="BA4" i="13"/>
  <c r="G49" i="8" l="1"/>
  <c r="A51" i="8"/>
  <c r="AY14" i="13"/>
  <c r="AZ7" i="13"/>
  <c r="AZ8" i="13" s="1"/>
  <c r="AZ15" i="13"/>
  <c r="AZ17" i="13" s="1"/>
  <c r="AY17" i="13"/>
  <c r="BA5" i="13"/>
  <c r="BA6" i="13"/>
  <c r="BB1" i="8"/>
  <c r="G26" i="20"/>
  <c r="J26" i="20" s="1"/>
  <c r="G25" i="20"/>
  <c r="J25" i="20" s="1"/>
  <c r="BB4" i="13"/>
  <c r="G50" i="8" l="1"/>
  <c r="A52" i="8"/>
  <c r="AZ14" i="13"/>
  <c r="BA7" i="13"/>
  <c r="BA8" i="13" s="1"/>
  <c r="BA13" i="13"/>
  <c r="BA15" i="13"/>
  <c r="BA17" i="13" s="1"/>
  <c r="BB5" i="13"/>
  <c r="BB13" i="13" s="1"/>
  <c r="BB6" i="13"/>
  <c r="BC1" i="8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C4" i="13"/>
  <c r="G51" i="8" l="1"/>
  <c r="G40" i="20" s="1"/>
  <c r="G5" i="8"/>
  <c r="G6" i="8"/>
  <c r="G7" i="8"/>
  <c r="G9" i="8"/>
  <c r="G12" i="8"/>
  <c r="G10" i="8"/>
  <c r="G15" i="8"/>
  <c r="G18" i="8"/>
  <c r="G19" i="8"/>
  <c r="A53" i="8"/>
  <c r="BA14" i="13"/>
  <c r="G45" i="20"/>
  <c r="G57" i="20"/>
  <c r="BB7" i="13"/>
  <c r="BB8" i="13" s="1"/>
  <c r="BB15" i="13"/>
  <c r="BB17" i="13" s="1"/>
  <c r="BC5" i="13"/>
  <c r="BC13" i="13" s="1"/>
  <c r="BC6" i="13"/>
  <c r="G2" i="8"/>
  <c r="BD4" i="13"/>
  <c r="G52" i="8" l="1"/>
  <c r="G30" i="20" s="1"/>
  <c r="J30" i="20" s="1"/>
  <c r="G17" i="8"/>
  <c r="G13" i="8"/>
  <c r="C12" i="13" s="1"/>
  <c r="G11" i="8"/>
  <c r="G17" i="20" s="1"/>
  <c r="G8" i="8"/>
  <c r="G12" i="20" s="1"/>
  <c r="A54" i="8"/>
  <c r="G4" i="8"/>
  <c r="G14" i="8"/>
  <c r="G3" i="8"/>
  <c r="G16" i="8"/>
  <c r="BB14" i="13"/>
  <c r="G16" i="20"/>
  <c r="J16" i="20" s="1"/>
  <c r="G9" i="20"/>
  <c r="G10" i="20"/>
  <c r="G59" i="20"/>
  <c r="BC7" i="13"/>
  <c r="BC8" i="13" s="1"/>
  <c r="BC15" i="13"/>
  <c r="BC17" i="13" s="1"/>
  <c r="BD5" i="13"/>
  <c r="BD6" i="13"/>
  <c r="G8" i="20"/>
  <c r="J8" i="20" s="1"/>
  <c r="C29" i="13"/>
  <c r="BE4" i="13"/>
  <c r="G53" i="8" l="1"/>
  <c r="A55" i="8"/>
  <c r="BC14" i="13"/>
  <c r="BD7" i="13"/>
  <c r="BD8" i="13" s="1"/>
  <c r="BD13" i="13"/>
  <c r="G60" i="20"/>
  <c r="BD15" i="13"/>
  <c r="BD17" i="13" s="1"/>
  <c r="BE5" i="13"/>
  <c r="BE13" i="13" s="1"/>
  <c r="BE6" i="13"/>
  <c r="C21" i="13"/>
  <c r="G10" i="13" s="1"/>
  <c r="D29" i="13"/>
  <c r="H3" i="13"/>
  <c r="B29" i="15"/>
  <c r="B34" i="13"/>
  <c r="BF4" i="13"/>
  <c r="G54" i="8" l="1"/>
  <c r="G43" i="20" s="1"/>
  <c r="J43" i="20" s="1"/>
  <c r="A56" i="8"/>
  <c r="BD14" i="13"/>
  <c r="H10" i="13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AL12" i="13" s="1"/>
  <c r="AM12" i="13" s="1"/>
  <c r="AN12" i="13" s="1"/>
  <c r="AO12" i="13" s="1"/>
  <c r="AP12" i="13" s="1"/>
  <c r="AQ12" i="13" s="1"/>
  <c r="AR12" i="13" s="1"/>
  <c r="AS12" i="13" s="1"/>
  <c r="AT12" i="13" s="1"/>
  <c r="AU12" i="13" s="1"/>
  <c r="AV12" i="13" s="1"/>
  <c r="AW12" i="13" s="1"/>
  <c r="AX12" i="13" s="1"/>
  <c r="AY12" i="13" s="1"/>
  <c r="AZ12" i="13" s="1"/>
  <c r="BA12" i="13" s="1"/>
  <c r="BB12" i="13" s="1"/>
  <c r="BC12" i="13" s="1"/>
  <c r="BD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5" i="13"/>
  <c r="BE17" i="13" s="1"/>
  <c r="G27" i="13"/>
  <c r="G28" i="13" s="1"/>
  <c r="H27" i="13"/>
  <c r="H28" i="13" s="1"/>
  <c r="H25" i="13"/>
  <c r="BF5" i="13"/>
  <c r="BF13" i="13" s="1"/>
  <c r="BF6" i="13"/>
  <c r="C14" i="13"/>
  <c r="C20" i="15" s="1"/>
  <c r="G11" i="20"/>
  <c r="J11" i="20" s="1"/>
  <c r="G18" i="20"/>
  <c r="C16" i="15"/>
  <c r="C34" i="15"/>
  <c r="I3" i="13"/>
  <c r="C10" i="15"/>
  <c r="BG4" i="13"/>
  <c r="G55" i="8" l="1"/>
  <c r="A57" i="8"/>
  <c r="BE14" i="13"/>
  <c r="BF7" i="13"/>
  <c r="BF8" i="13" s="1"/>
  <c r="BE10" i="13"/>
  <c r="BE12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5" i="13"/>
  <c r="BG6" i="13"/>
  <c r="J3" i="13"/>
  <c r="BH4" i="13"/>
  <c r="G56" i="8" l="1"/>
  <c r="A58" i="8"/>
  <c r="BF14" i="13"/>
  <c r="BG7" i="13"/>
  <c r="BG8" i="13" s="1"/>
  <c r="BF12" i="13"/>
  <c r="BF11" i="13"/>
  <c r="BF10" i="13"/>
  <c r="BG13" i="13"/>
  <c r="BG15" i="13"/>
  <c r="BG17" i="13" s="1"/>
  <c r="Z23" i="13"/>
  <c r="Z22" i="13"/>
  <c r="J25" i="13"/>
  <c r="J27" i="13"/>
  <c r="J28" i="13" s="1"/>
  <c r="BH5" i="13"/>
  <c r="BH6" i="13"/>
  <c r="G22" i="20"/>
  <c r="J22" i="20" s="1"/>
  <c r="K3" i="13"/>
  <c r="BI4" i="13"/>
  <c r="G57" i="8" l="1"/>
  <c r="A59" i="8"/>
  <c r="BG14" i="13"/>
  <c r="BH7" i="13"/>
  <c r="BH8" i="13" s="1"/>
  <c r="BH14" i="13" s="1"/>
  <c r="BG12" i="13"/>
  <c r="BG11" i="13"/>
  <c r="BG10" i="13"/>
  <c r="BH13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G58" i="8" l="1"/>
  <c r="G58" i="20" s="1"/>
  <c r="A60" i="8"/>
  <c r="BH12" i="13"/>
  <c r="BH11" i="13"/>
  <c r="BH10" i="13"/>
  <c r="BI7" i="13"/>
  <c r="BI8" i="13" s="1"/>
  <c r="BI14" i="13" s="1"/>
  <c r="BI15" i="13"/>
  <c r="BI17" i="13" s="1"/>
  <c r="AB21" i="13"/>
  <c r="AB22" i="13"/>
  <c r="AB23" i="13"/>
  <c r="L27" i="13"/>
  <c r="L28" i="13" s="1"/>
  <c r="L25" i="13"/>
  <c r="BJ5" i="13"/>
  <c r="BJ6" i="13"/>
  <c r="G50" i="20"/>
  <c r="J50" i="20" s="1"/>
  <c r="M3" i="13"/>
  <c r="BK4" i="13"/>
  <c r="G59" i="8" l="1"/>
  <c r="H29" i="20"/>
  <c r="A61" i="8"/>
  <c r="BJ7" i="13"/>
  <c r="BI12" i="13"/>
  <c r="BI11" i="13"/>
  <c r="BI10" i="13"/>
  <c r="BJ13" i="13"/>
  <c r="BJ15" i="13"/>
  <c r="BJ17" i="13" s="1"/>
  <c r="AC21" i="13"/>
  <c r="AC23" i="13"/>
  <c r="AC22" i="13"/>
  <c r="M27" i="13"/>
  <c r="M28" i="13" s="1"/>
  <c r="M25" i="13"/>
  <c r="BK5" i="13"/>
  <c r="BK13" i="13" s="1"/>
  <c r="BK6" i="13"/>
  <c r="N3" i="13"/>
  <c r="BL4" i="13"/>
  <c r="G60" i="8" l="1"/>
  <c r="A62" i="8"/>
  <c r="BJ8" i="13"/>
  <c r="BJ14" i="13" s="1"/>
  <c r="BK7" i="13"/>
  <c r="BK8" i="13" s="1"/>
  <c r="BK15" i="13"/>
  <c r="BK17" i="13" s="1"/>
  <c r="AD21" i="13"/>
  <c r="AD22" i="13"/>
  <c r="AD23" i="13"/>
  <c r="N27" i="13"/>
  <c r="N28" i="13" s="1"/>
  <c r="N25" i="13"/>
  <c r="BL5" i="13"/>
  <c r="BL6" i="13"/>
  <c r="G46" i="20"/>
  <c r="G14" i="20"/>
  <c r="G47" i="20"/>
  <c r="J47" i="20" s="1"/>
  <c r="O3" i="13"/>
  <c r="BM4" i="13"/>
  <c r="G61" i="8" l="1"/>
  <c r="G44" i="20" s="1"/>
  <c r="J44" i="20" s="1"/>
  <c r="A63" i="8"/>
  <c r="BJ12" i="13"/>
  <c r="BK12" i="13" s="1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5" i="13"/>
  <c r="BM6" i="13"/>
  <c r="P3" i="13"/>
  <c r="BN4" i="13"/>
  <c r="G62" i="8" l="1"/>
  <c r="A64" i="8"/>
  <c r="BL8" i="13"/>
  <c r="BL14" i="13" s="1"/>
  <c r="BM13" i="13"/>
  <c r="BM7" i="13"/>
  <c r="BM8" i="13" s="1"/>
  <c r="BL17" i="13"/>
  <c r="BM15" i="13"/>
  <c r="AF21" i="13"/>
  <c r="AF22" i="13"/>
  <c r="AF23" i="13"/>
  <c r="P27" i="13"/>
  <c r="P28" i="13" s="1"/>
  <c r="P25" i="13"/>
  <c r="BN5" i="13"/>
  <c r="BN6" i="13"/>
  <c r="J24" i="20"/>
  <c r="Q3" i="13"/>
  <c r="BO4" i="13"/>
  <c r="H54" i="20" l="1"/>
  <c r="G63" i="8"/>
  <c r="A65" i="8"/>
  <c r="BL12" i="13"/>
  <c r="BM12" i="13" s="1"/>
  <c r="BM14" i="13"/>
  <c r="BL10" i="13"/>
  <c r="BM10" i="13" s="1"/>
  <c r="BL11" i="13"/>
  <c r="BM11" i="13" s="1"/>
  <c r="BN7" i="13"/>
  <c r="BN13" i="13"/>
  <c r="BN15" i="13"/>
  <c r="BN17" i="13" s="1"/>
  <c r="BM17" i="13"/>
  <c r="AG21" i="13"/>
  <c r="AG23" i="13"/>
  <c r="AG22" i="13"/>
  <c r="Q27" i="13"/>
  <c r="Q28" i="13" s="1"/>
  <c r="Q25" i="13"/>
  <c r="BO5" i="13"/>
  <c r="BO6" i="13"/>
  <c r="G31" i="20"/>
  <c r="G41" i="20"/>
  <c r="R3" i="13"/>
  <c r="BP4" i="13"/>
  <c r="G64" i="8" l="1"/>
  <c r="A66" i="8"/>
  <c r="BN8" i="13"/>
  <c r="BN14" i="13" s="1"/>
  <c r="BO7" i="13"/>
  <c r="BO13" i="13"/>
  <c r="BO15" i="13"/>
  <c r="BO17" i="13" s="1"/>
  <c r="AH21" i="13"/>
  <c r="AH22" i="13"/>
  <c r="AH23" i="13"/>
  <c r="R27" i="13"/>
  <c r="R28" i="13" s="1"/>
  <c r="R25" i="13"/>
  <c r="BP5" i="13"/>
  <c r="BP13" i="13" s="1"/>
  <c r="BP6" i="13"/>
  <c r="S3" i="13"/>
  <c r="BQ4" i="13"/>
  <c r="G65" i="8" l="1"/>
  <c r="A67" i="8"/>
  <c r="BN11" i="13"/>
  <c r="BN12" i="13"/>
  <c r="BN10" i="13"/>
  <c r="BO8" i="13"/>
  <c r="BP7" i="13"/>
  <c r="BP15" i="13"/>
  <c r="BP17" i="13" s="1"/>
  <c r="AI21" i="13"/>
  <c r="AI23" i="13"/>
  <c r="AI22" i="13"/>
  <c r="S27" i="13"/>
  <c r="S28" i="13" s="1"/>
  <c r="S25" i="13"/>
  <c r="BQ5" i="13"/>
  <c r="BQ6" i="13"/>
  <c r="G39" i="20"/>
  <c r="J39" i="20" s="1"/>
  <c r="T3" i="13"/>
  <c r="BR4" i="13"/>
  <c r="G66" i="8" l="1"/>
  <c r="G53" i="20" s="1"/>
  <c r="J53" i="20" s="1"/>
  <c r="A68" i="8"/>
  <c r="BO14" i="13"/>
  <c r="BO10" i="13"/>
  <c r="BO12" i="13"/>
  <c r="BO11" i="13"/>
  <c r="BP8" i="13"/>
  <c r="BQ7" i="13"/>
  <c r="BQ13" i="13"/>
  <c r="BQ15" i="13"/>
  <c r="AJ21" i="13"/>
  <c r="AJ22" i="13"/>
  <c r="AJ23" i="13"/>
  <c r="T27" i="13"/>
  <c r="T28" i="13" s="1"/>
  <c r="T25" i="13"/>
  <c r="BR5" i="13"/>
  <c r="BR6" i="13"/>
  <c r="BR15" i="13" s="1"/>
  <c r="U3" i="13"/>
  <c r="BS4" i="13"/>
  <c r="G67" i="8" l="1"/>
  <c r="A69" i="8"/>
  <c r="BP14" i="13"/>
  <c r="BR13" i="13"/>
  <c r="BP10" i="13"/>
  <c r="BP12" i="13"/>
  <c r="BP11" i="13"/>
  <c r="BQ8" i="13"/>
  <c r="BR7" i="13"/>
  <c r="BR8" i="13" s="1"/>
  <c r="BQ17" i="13"/>
  <c r="BR17" i="13"/>
  <c r="U27" i="13"/>
  <c r="U28" i="13" s="1"/>
  <c r="U25" i="13"/>
  <c r="BS5" i="13"/>
  <c r="BS6" i="13"/>
  <c r="BS15" i="13" s="1"/>
  <c r="G56" i="20"/>
  <c r="J56" i="20" s="1"/>
  <c r="G28" i="20"/>
  <c r="J28" i="20" s="1"/>
  <c r="V3" i="13"/>
  <c r="BT4" i="13"/>
  <c r="G68" i="8" l="1"/>
  <c r="G48" i="20" s="1"/>
  <c r="A70" i="8"/>
  <c r="BR14" i="13"/>
  <c r="BQ14" i="13"/>
  <c r="BS17" i="13"/>
  <c r="BS13" i="13"/>
  <c r="BQ12" i="13"/>
  <c r="BR12" i="13" s="1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BT15" i="13" s="1"/>
  <c r="W3" i="13"/>
  <c r="BU4" i="13"/>
  <c r="BR16" i="13" l="1"/>
  <c r="G69" i="8"/>
  <c r="G35" i="20" s="1"/>
  <c r="A71" i="8"/>
  <c r="BX17" i="13"/>
  <c r="BW17" i="13"/>
  <c r="BU17" i="13"/>
  <c r="BV17" i="13"/>
  <c r="BT17" i="13"/>
  <c r="BS8" i="13"/>
  <c r="BS14" i="13" s="1"/>
  <c r="BT7" i="13"/>
  <c r="BZ8" i="13" s="1"/>
  <c r="BU13" i="13"/>
  <c r="W27" i="13"/>
  <c r="W28" i="13" s="1"/>
  <c r="W25" i="13"/>
  <c r="BU15" i="13"/>
  <c r="BY17" i="13" s="1"/>
  <c r="BU5" i="13"/>
  <c r="BU6" i="13"/>
  <c r="G15" i="20"/>
  <c r="G20" i="20"/>
  <c r="J20" i="20" s="1"/>
  <c r="X3" i="13"/>
  <c r="BV4" i="13"/>
  <c r="BU8" i="13" l="1"/>
  <c r="BV14" i="13" s="1"/>
  <c r="BV8" i="13"/>
  <c r="G70" i="8"/>
  <c r="A72" i="8"/>
  <c r="CA14" i="13"/>
  <c r="BS12" i="13"/>
  <c r="CC8" i="13"/>
  <c r="CD14" i="13" s="1"/>
  <c r="CB8" i="13"/>
  <c r="BX8" i="13"/>
  <c r="CA8" i="13"/>
  <c r="CB14" i="13" s="1"/>
  <c r="BT8" i="13"/>
  <c r="BT14" i="13" s="1"/>
  <c r="BY8" i="13"/>
  <c r="BZ14" i="13" s="1"/>
  <c r="BW8" i="13"/>
  <c r="BS10" i="13"/>
  <c r="BS11" i="13"/>
  <c r="BU7" i="13"/>
  <c r="CE8" i="13" s="1"/>
  <c r="CF14" i="13" s="1"/>
  <c r="CD8" i="13"/>
  <c r="CE14" i="13" s="1"/>
  <c r="BV15" i="13"/>
  <c r="BZ17" i="13" s="1"/>
  <c r="BV13" i="13"/>
  <c r="X27" i="13"/>
  <c r="X28" i="13" s="1"/>
  <c r="X25" i="13"/>
  <c r="BV5" i="13"/>
  <c r="BV6" i="13"/>
  <c r="G21" i="20"/>
  <c r="Y3" i="13"/>
  <c r="BW4" i="13"/>
  <c r="G71" i="8" l="1"/>
  <c r="A73" i="8"/>
  <c r="CC14" i="13"/>
  <c r="BY14" i="13"/>
  <c r="BX14" i="13"/>
  <c r="BW14" i="13"/>
  <c r="BT12" i="13"/>
  <c r="BU12" i="13" s="1"/>
  <c r="BV12" i="13" s="1"/>
  <c r="BW12" i="13" s="1"/>
  <c r="BX12" i="13" s="1"/>
  <c r="BY12" i="13" s="1"/>
  <c r="BZ12" i="13" s="1"/>
  <c r="CA12" i="13" s="1"/>
  <c r="CB12" i="13" s="1"/>
  <c r="CC12" i="13" s="1"/>
  <c r="CD12" i="13" s="1"/>
  <c r="BU14" i="13"/>
  <c r="BT11" i="13"/>
  <c r="BU11" i="13" s="1"/>
  <c r="BV11" i="13" s="1"/>
  <c r="BW11" i="13" s="1"/>
  <c r="BX11" i="13" s="1"/>
  <c r="BY11" i="13" s="1"/>
  <c r="BZ11" i="13" s="1"/>
  <c r="CA11" i="13" s="1"/>
  <c r="CB11" i="13" s="1"/>
  <c r="CC11" i="13" s="1"/>
  <c r="CD11" i="13" s="1"/>
  <c r="BT10" i="13"/>
  <c r="BU10" i="13" s="1"/>
  <c r="BV10" i="13" s="1"/>
  <c r="BW10" i="13" s="1"/>
  <c r="BX10" i="13" s="1"/>
  <c r="BY10" i="13" s="1"/>
  <c r="BZ10" i="13" s="1"/>
  <c r="CA10" i="13" s="1"/>
  <c r="CB10" i="13" s="1"/>
  <c r="CC10" i="13" s="1"/>
  <c r="CD10" i="13" s="1"/>
  <c r="BV7" i="13"/>
  <c r="CF8" i="13" s="1"/>
  <c r="CG14" i="13" s="1"/>
  <c r="BW13" i="13"/>
  <c r="Y27" i="13"/>
  <c r="Y28" i="13" s="1"/>
  <c r="Y25" i="13"/>
  <c r="BW15" i="13"/>
  <c r="CA17" i="13" s="1"/>
  <c r="BW5" i="13"/>
  <c r="BW6" i="13"/>
  <c r="G49" i="20"/>
  <c r="Z3" i="13"/>
  <c r="BX4" i="13"/>
  <c r="G72" i="8" l="1"/>
  <c r="A74" i="8"/>
  <c r="CE12" i="13"/>
  <c r="CE11" i="13"/>
  <c r="CE10" i="13"/>
  <c r="BW7" i="13"/>
  <c r="CG8" i="13" s="1"/>
  <c r="CH14" i="13" s="1"/>
  <c r="BX15" i="13"/>
  <c r="CB17" i="13" s="1"/>
  <c r="BX13" i="13"/>
  <c r="Z25" i="13"/>
  <c r="Z27" i="13"/>
  <c r="Z28" i="13" s="1"/>
  <c r="BX5" i="13"/>
  <c r="BX6" i="13"/>
  <c r="G54" i="20"/>
  <c r="G52" i="20"/>
  <c r="AA3" i="13"/>
  <c r="BY4" i="13"/>
  <c r="G73" i="8" l="1"/>
  <c r="A75" i="8"/>
  <c r="CF10" i="13"/>
  <c r="CF11" i="13"/>
  <c r="CF12" i="13"/>
  <c r="BX7" i="13"/>
  <c r="CH8" i="13" s="1"/>
  <c r="CI14" i="13" s="1"/>
  <c r="BY13" i="13"/>
  <c r="BY15" i="13"/>
  <c r="CC17" i="13" s="1"/>
  <c r="AA27" i="13"/>
  <c r="AA28" i="13" s="1"/>
  <c r="AA25" i="13"/>
  <c r="BY5" i="13"/>
  <c r="BY6" i="13"/>
  <c r="AB3" i="13"/>
  <c r="BZ4" i="13"/>
  <c r="G74" i="8" l="1"/>
  <c r="A76" i="8"/>
  <c r="CG10" i="13"/>
  <c r="CG12" i="13"/>
  <c r="CG11" i="13"/>
  <c r="CH11" i="13" s="1"/>
  <c r="BY7" i="13"/>
  <c r="CI8" i="13" s="1"/>
  <c r="CJ14" i="13" s="1"/>
  <c r="BZ13" i="13"/>
  <c r="AB27" i="13"/>
  <c r="AB28" i="13" s="1"/>
  <c r="AB25" i="13"/>
  <c r="BZ15" i="13"/>
  <c r="CD17" i="13" s="1"/>
  <c r="BZ5" i="13"/>
  <c r="BZ6" i="13"/>
  <c r="AC3" i="13"/>
  <c r="CA4" i="13"/>
  <c r="G75" i="8" l="1"/>
  <c r="A77" i="8"/>
  <c r="CH10" i="13"/>
  <c r="CH12" i="13"/>
  <c r="CI12" i="13" s="1"/>
  <c r="BZ7" i="13"/>
  <c r="CJ8" i="13" s="1"/>
  <c r="CK14" i="13" s="1"/>
  <c r="CA15" i="13"/>
  <c r="CE17" i="13" s="1"/>
  <c r="CA13" i="13"/>
  <c r="AC27" i="13"/>
  <c r="AC28" i="13" s="1"/>
  <c r="AC25" i="13"/>
  <c r="CA5" i="13"/>
  <c r="CA6" i="13"/>
  <c r="G7" i="20"/>
  <c r="AD3" i="13"/>
  <c r="CB4" i="13"/>
  <c r="G76" i="8" l="1"/>
  <c r="G38" i="20" s="1"/>
  <c r="A78" i="8"/>
  <c r="CI10" i="13"/>
  <c r="CI11" i="13"/>
  <c r="CA7" i="13"/>
  <c r="CK8" i="13" s="1"/>
  <c r="CL14" i="13" s="1"/>
  <c r="CB13" i="13"/>
  <c r="CB15" i="13"/>
  <c r="CF17" i="13" s="1"/>
  <c r="AD27" i="13"/>
  <c r="AD28" i="13" s="1"/>
  <c r="AD25" i="13"/>
  <c r="CB5" i="13"/>
  <c r="CB6" i="13"/>
  <c r="AE3" i="13"/>
  <c r="CC4" i="13"/>
  <c r="G77" i="8" l="1"/>
  <c r="A79" i="8"/>
  <c r="CJ10" i="13"/>
  <c r="CJ11" i="13"/>
  <c r="CJ12" i="13"/>
  <c r="CK12" i="13" s="1"/>
  <c r="CB7" i="13"/>
  <c r="CL8" i="13" s="1"/>
  <c r="CM14" i="13" s="1"/>
  <c r="CC13" i="13"/>
  <c r="AE27" i="13"/>
  <c r="AE28" i="13" s="1"/>
  <c r="AE25" i="13"/>
  <c r="CC15" i="13"/>
  <c r="CG17" i="13" s="1"/>
  <c r="CC5" i="13"/>
  <c r="CC6" i="13"/>
  <c r="AF3" i="13"/>
  <c r="CD4" i="13"/>
  <c r="G78" i="8" l="1"/>
  <c r="G36" i="20" s="1"/>
  <c r="A80" i="8"/>
  <c r="CK10" i="13"/>
  <c r="CK11" i="13"/>
  <c r="CC7" i="13"/>
  <c r="CM8" i="13" s="1"/>
  <c r="CN14" i="13" s="1"/>
  <c r="CD13" i="13"/>
  <c r="AF27" i="13"/>
  <c r="AF28" i="13" s="1"/>
  <c r="AF25" i="13"/>
  <c r="CD15" i="13"/>
  <c r="CH17" i="13" s="1"/>
  <c r="CD5" i="13"/>
  <c r="CD6" i="13"/>
  <c r="AG3" i="13"/>
  <c r="CE4" i="13"/>
  <c r="G79" i="8" l="1"/>
  <c r="G34" i="20" s="1"/>
  <c r="A81" i="8"/>
  <c r="CL10" i="13"/>
  <c r="CL11" i="13"/>
  <c r="CL12" i="13"/>
  <c r="CD7" i="13"/>
  <c r="CN8" i="13" s="1"/>
  <c r="CO14" i="13" s="1"/>
  <c r="CE13" i="13"/>
  <c r="AG27" i="13"/>
  <c r="AG28" i="13" s="1"/>
  <c r="AG25" i="13"/>
  <c r="CE15" i="13"/>
  <c r="CI17" i="13" s="1"/>
  <c r="CE5" i="13"/>
  <c r="CE6" i="13"/>
  <c r="AH3" i="13"/>
  <c r="CF4" i="13"/>
  <c r="G80" i="8" l="1"/>
  <c r="A82" i="8"/>
  <c r="CM10" i="13"/>
  <c r="CM11" i="13"/>
  <c r="CM12" i="13"/>
  <c r="CN12" i="13" s="1"/>
  <c r="CE7" i="13"/>
  <c r="CF13" i="13"/>
  <c r="CF15" i="13"/>
  <c r="CJ17" i="13" s="1"/>
  <c r="AH27" i="13"/>
  <c r="AH28" i="13" s="1"/>
  <c r="AH25" i="13"/>
  <c r="CF5" i="13"/>
  <c r="CF6" i="13"/>
  <c r="AI3" i="13"/>
  <c r="CG4" i="13"/>
  <c r="G81" i="8" l="1"/>
  <c r="G42" i="20" s="1"/>
  <c r="J42" i="20" s="1"/>
  <c r="A83" i="8"/>
  <c r="CN10" i="13"/>
  <c r="CO8" i="13"/>
  <c r="CP14" i="13" s="1"/>
  <c r="CN11" i="13"/>
  <c r="CF7" i="13"/>
  <c r="CG13" i="13"/>
  <c r="CG15" i="13"/>
  <c r="CK17" i="13" s="1"/>
  <c r="AI27" i="13"/>
  <c r="AI28" i="13" s="1"/>
  <c r="AI25" i="13"/>
  <c r="CG5" i="13"/>
  <c r="CG6" i="13"/>
  <c r="G19" i="20"/>
  <c r="J19" i="20" s="1"/>
  <c r="AJ3" i="13"/>
  <c r="CH4" i="13"/>
  <c r="G82" i="8" l="1"/>
  <c r="A84" i="8"/>
  <c r="CO10" i="13"/>
  <c r="CP8" i="13"/>
  <c r="CQ14" i="13" s="1"/>
  <c r="CO11" i="13"/>
  <c r="CO12" i="13"/>
  <c r="CG7" i="13"/>
  <c r="CH13" i="13"/>
  <c r="CH15" i="13"/>
  <c r="CL17" i="13" s="1"/>
  <c r="AJ27" i="13"/>
  <c r="AJ28" i="13" s="1"/>
  <c r="AJ25" i="13"/>
  <c r="CH5" i="13"/>
  <c r="CH6" i="13"/>
  <c r="AK3" i="13"/>
  <c r="CI4" i="13"/>
  <c r="A85" i="8" l="1"/>
  <c r="G83" i="8"/>
  <c r="CP12" i="13"/>
  <c r="CP10" i="13"/>
  <c r="CQ8" i="13"/>
  <c r="CR14" i="13" s="1"/>
  <c r="CP11" i="13"/>
  <c r="CH7" i="13"/>
  <c r="CI15" i="13"/>
  <c r="CM17" i="13" s="1"/>
  <c r="CI13" i="13"/>
  <c r="AK27" i="13"/>
  <c r="AK28" i="13" s="1"/>
  <c r="AK25" i="13"/>
  <c r="CI5" i="13"/>
  <c r="CI6" i="13"/>
  <c r="AL3" i="13"/>
  <c r="CJ4" i="13"/>
  <c r="G84" i="8" l="1"/>
  <c r="G55" i="20" s="1"/>
  <c r="J55" i="20" s="1"/>
  <c r="A86" i="8"/>
  <c r="CQ11" i="13"/>
  <c r="CQ10" i="13"/>
  <c r="CR8" i="13"/>
  <c r="CS14" i="13" s="1"/>
  <c r="CQ12" i="13"/>
  <c r="CI7" i="13"/>
  <c r="CJ15" i="13"/>
  <c r="CN17" i="13" s="1"/>
  <c r="CJ13" i="13"/>
  <c r="AL25" i="13"/>
  <c r="AL27" i="13"/>
  <c r="AL28" i="13" s="1"/>
  <c r="CJ5" i="13"/>
  <c r="CJ6" i="13"/>
  <c r="AM3" i="13"/>
  <c r="CK4" i="13"/>
  <c r="G85" i="8" l="1"/>
  <c r="G51" i="20" s="1"/>
  <c r="J51" i="20" s="1"/>
  <c r="A87" i="8"/>
  <c r="CR10" i="13"/>
  <c r="CS8" i="13"/>
  <c r="CT14" i="13" s="1"/>
  <c r="CR11" i="13"/>
  <c r="CR12" i="13"/>
  <c r="CJ7" i="13"/>
  <c r="CK13" i="13"/>
  <c r="CK15" i="13"/>
  <c r="CO17" i="13" s="1"/>
  <c r="AM27" i="13"/>
  <c r="AM28" i="13" s="1"/>
  <c r="AM25" i="13"/>
  <c r="CK5" i="13"/>
  <c r="CK6" i="13"/>
  <c r="AN3" i="13"/>
  <c r="CL4" i="13"/>
  <c r="A88" i="8" l="1"/>
  <c r="G86" i="8"/>
  <c r="CS10" i="13"/>
  <c r="CT8" i="13"/>
  <c r="CU14" i="13" s="1"/>
  <c r="CS12" i="13"/>
  <c r="CS11" i="13"/>
  <c r="CK7" i="13"/>
  <c r="CL13" i="13"/>
  <c r="CL15" i="13"/>
  <c r="CP17" i="13" s="1"/>
  <c r="AN27" i="13"/>
  <c r="AN28" i="13" s="1"/>
  <c r="AN25" i="13"/>
  <c r="CL5" i="13"/>
  <c r="CL6" i="13"/>
  <c r="AO3" i="13"/>
  <c r="CM4" i="13"/>
  <c r="G87" i="8" l="1"/>
  <c r="A89" i="8"/>
  <c r="CT10" i="13"/>
  <c r="CU8" i="13"/>
  <c r="CV14" i="13" s="1"/>
  <c r="CT11" i="13"/>
  <c r="CT12" i="13"/>
  <c r="CL7" i="13"/>
  <c r="CV8" i="13" s="1"/>
  <c r="CW14" i="13" s="1"/>
  <c r="CM15" i="13"/>
  <c r="CQ17" i="13" s="1"/>
  <c r="CM13" i="13"/>
  <c r="AO27" i="13"/>
  <c r="AO28" i="13" s="1"/>
  <c r="AO25" i="13"/>
  <c r="CM5" i="13"/>
  <c r="CM6" i="13"/>
  <c r="AP3" i="13"/>
  <c r="CN4" i="13"/>
  <c r="G88" i="8" l="1"/>
  <c r="A90" i="8"/>
  <c r="CU12" i="13"/>
  <c r="CV12" i="13" s="1"/>
  <c r="CU10" i="13"/>
  <c r="CU11" i="13"/>
  <c r="CV11" i="13" s="1"/>
  <c r="CM7" i="13"/>
  <c r="CN15" i="13"/>
  <c r="CR17" i="13" s="1"/>
  <c r="CN13" i="13"/>
  <c r="AP25" i="13"/>
  <c r="AP27" i="13"/>
  <c r="AP28" i="13" s="1"/>
  <c r="CN5" i="13"/>
  <c r="CN6" i="13"/>
  <c r="AQ3" i="13"/>
  <c r="CO4" i="13"/>
  <c r="G89" i="8" l="1"/>
  <c r="A91" i="8"/>
  <c r="CV10" i="13"/>
  <c r="CW8" i="13"/>
  <c r="CX14" i="13" s="1"/>
  <c r="CN7" i="13"/>
  <c r="CO13" i="13"/>
  <c r="CO15" i="13"/>
  <c r="CS17" i="13" s="1"/>
  <c r="AQ27" i="13"/>
  <c r="AQ28" i="13" s="1"/>
  <c r="AQ25" i="13"/>
  <c r="CO5" i="13"/>
  <c r="CO6" i="13"/>
  <c r="AR3" i="13"/>
  <c r="CP4" i="13"/>
  <c r="A92" i="8" l="1"/>
  <c r="G90" i="8"/>
  <c r="CW10" i="13"/>
  <c r="CX8" i="13"/>
  <c r="CY14" i="13" s="1"/>
  <c r="CW12" i="13"/>
  <c r="CW11" i="13"/>
  <c r="CO7" i="13"/>
  <c r="CP15" i="13"/>
  <c r="CT17" i="13" s="1"/>
  <c r="CP13" i="13"/>
  <c r="AR27" i="13"/>
  <c r="AR28" i="13" s="1"/>
  <c r="AR25" i="13"/>
  <c r="CP5" i="13"/>
  <c r="CP6" i="13"/>
  <c r="AS3" i="13"/>
  <c r="CQ4" i="13"/>
  <c r="G91" i="8" l="1"/>
  <c r="A93" i="8"/>
  <c r="CX11" i="13"/>
  <c r="CX10" i="13"/>
  <c r="CY8" i="13"/>
  <c r="CZ14" i="13" s="1"/>
  <c r="CX12" i="13"/>
  <c r="CP7" i="13"/>
  <c r="CQ13" i="13"/>
  <c r="CQ15" i="13"/>
  <c r="CU17" i="13" s="1"/>
  <c r="AS27" i="13"/>
  <c r="AS28" i="13" s="1"/>
  <c r="AS25" i="13"/>
  <c r="CQ5" i="13"/>
  <c r="CQ6" i="13"/>
  <c r="AT3" i="13"/>
  <c r="CR4" i="13"/>
  <c r="G92" i="8" l="1"/>
  <c r="A94" i="8"/>
  <c r="CY10" i="13"/>
  <c r="CZ8" i="13"/>
  <c r="DA14" i="13" s="1"/>
  <c r="CY12" i="13"/>
  <c r="CY11" i="13"/>
  <c r="CQ7" i="13"/>
  <c r="CR13" i="13"/>
  <c r="AT27" i="13"/>
  <c r="AT28" i="13" s="1"/>
  <c r="AT25" i="13"/>
  <c r="CR15" i="13"/>
  <c r="CV17" i="13" s="1"/>
  <c r="CR5" i="13"/>
  <c r="CR6" i="13"/>
  <c r="AU3" i="13"/>
  <c r="CS4" i="13"/>
  <c r="G93" i="8" l="1"/>
  <c r="A95" i="8"/>
  <c r="CZ10" i="13"/>
  <c r="DA8" i="13"/>
  <c r="DB14" i="13" s="1"/>
  <c r="CZ11" i="13"/>
  <c r="CZ12" i="13"/>
  <c r="CR7" i="13"/>
  <c r="CS13" i="13"/>
  <c r="CS15" i="13"/>
  <c r="CW17" i="13" s="1"/>
  <c r="AU27" i="13"/>
  <c r="AU28" i="13" s="1"/>
  <c r="AU25" i="13"/>
  <c r="CS5" i="13"/>
  <c r="CS6" i="13"/>
  <c r="AV3" i="13"/>
  <c r="CT4" i="13"/>
  <c r="G94" i="8" l="1"/>
  <c r="A96" i="8"/>
  <c r="DA12" i="13"/>
  <c r="DA10" i="13"/>
  <c r="DB8" i="13"/>
  <c r="DC14" i="13" s="1"/>
  <c r="DA11" i="13"/>
  <c r="CS7" i="13"/>
  <c r="CT15" i="13"/>
  <c r="CX17" i="13" s="1"/>
  <c r="CT13" i="13"/>
  <c r="AV27" i="13"/>
  <c r="AV28" i="13" s="1"/>
  <c r="AV25" i="13"/>
  <c r="CT5" i="13"/>
  <c r="CT6" i="13"/>
  <c r="AW3" i="13"/>
  <c r="CU4" i="13"/>
  <c r="A97" i="8" l="1"/>
  <c r="G95" i="8"/>
  <c r="DB10" i="13"/>
  <c r="DC8" i="13"/>
  <c r="DD14" i="13" s="1"/>
  <c r="DB11" i="13"/>
  <c r="DB12" i="13"/>
  <c r="CT7" i="13"/>
  <c r="DD8" i="13" s="1"/>
  <c r="DE14" i="13" s="1"/>
  <c r="CU13" i="13"/>
  <c r="CU15" i="13"/>
  <c r="CY17" i="13" s="1"/>
  <c r="AW27" i="13"/>
  <c r="AW28" i="13" s="1"/>
  <c r="AW25" i="13"/>
  <c r="CU5" i="13"/>
  <c r="CU6" i="13"/>
  <c r="AX3" i="13"/>
  <c r="CV4" i="13"/>
  <c r="A98" i="8" l="1"/>
  <c r="G96" i="8"/>
  <c r="DC12" i="13"/>
  <c r="DC10" i="13"/>
  <c r="DC11" i="13"/>
  <c r="CU7" i="13"/>
  <c r="CV13" i="13"/>
  <c r="CV15" i="13"/>
  <c r="CZ17" i="13" s="1"/>
  <c r="AX25" i="13"/>
  <c r="AX27" i="13"/>
  <c r="AX28" i="13" s="1"/>
  <c r="CV5" i="13"/>
  <c r="CV6" i="13"/>
  <c r="AY3" i="13"/>
  <c r="CW4" i="13"/>
  <c r="G97" i="8" l="1"/>
  <c r="A99" i="8"/>
  <c r="DD12" i="13"/>
  <c r="DE8" i="13"/>
  <c r="DF14" i="13" s="1"/>
  <c r="DD10" i="13"/>
  <c r="DD11" i="13"/>
  <c r="CV7" i="13"/>
  <c r="DF8" i="13" s="1"/>
  <c r="DG14" i="13" s="1"/>
  <c r="CW15" i="13"/>
  <c r="DA17" i="13" s="1"/>
  <c r="CW13" i="13"/>
  <c r="AY27" i="13"/>
  <c r="AY28" i="13" s="1"/>
  <c r="AY25" i="13"/>
  <c r="CW5" i="13"/>
  <c r="CW6" i="13"/>
  <c r="AZ3" i="13"/>
  <c r="CX4" i="13"/>
  <c r="A100" i="8" l="1"/>
  <c r="G98" i="8"/>
  <c r="DE11" i="13"/>
  <c r="DE12" i="13"/>
  <c r="DE10" i="13"/>
  <c r="DF10" i="13" s="1"/>
  <c r="CW7" i="13"/>
  <c r="CX13" i="13"/>
  <c r="CX15" i="13"/>
  <c r="DB17" i="13" s="1"/>
  <c r="AZ27" i="13"/>
  <c r="AZ28" i="13" s="1"/>
  <c r="AZ25" i="13"/>
  <c r="CX5" i="13"/>
  <c r="CX6" i="13"/>
  <c r="BA3" i="13"/>
  <c r="CY4" i="13"/>
  <c r="G99" i="8" l="1"/>
  <c r="A101" i="8"/>
  <c r="DF12" i="13"/>
  <c r="DG8" i="13"/>
  <c r="DH14" i="13" s="1"/>
  <c r="DF11" i="13"/>
  <c r="CX7" i="13"/>
  <c r="CY15" i="13"/>
  <c r="DC17" i="13" s="1"/>
  <c r="CY13" i="13"/>
  <c r="BA27" i="13"/>
  <c r="BA28" i="13" s="1"/>
  <c r="BA25" i="13"/>
  <c r="CY5" i="13"/>
  <c r="CY6" i="13"/>
  <c r="BB3" i="13"/>
  <c r="CZ4" i="13"/>
  <c r="A102" i="8" l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G100" i="8"/>
  <c r="DG11" i="13"/>
  <c r="DG12" i="13"/>
  <c r="DH8" i="13"/>
  <c r="DI14" i="13" s="1"/>
  <c r="DG10" i="13"/>
  <c r="CY7" i="13"/>
  <c r="CZ13" i="13"/>
  <c r="BB25" i="13"/>
  <c r="BB27" i="13"/>
  <c r="BB28" i="13" s="1"/>
  <c r="CZ15" i="13"/>
  <c r="DD17" i="13" s="1"/>
  <c r="CZ5" i="13"/>
  <c r="CZ6" i="13"/>
  <c r="BC3" i="13"/>
  <c r="DA4" i="13"/>
  <c r="G101" i="8" l="1"/>
  <c r="DH10" i="13"/>
  <c r="DH12" i="13"/>
  <c r="DI8" i="13"/>
  <c r="DJ14" i="13" s="1"/>
  <c r="DH11" i="13"/>
  <c r="CZ7" i="13"/>
  <c r="DA13" i="13"/>
  <c r="DA15" i="13"/>
  <c r="DE17" i="13" s="1"/>
  <c r="BC27" i="13"/>
  <c r="BC28" i="13" s="1"/>
  <c r="BC25" i="13"/>
  <c r="DA5" i="13"/>
  <c r="DA6" i="13"/>
  <c r="BD3" i="13"/>
  <c r="DB4" i="13"/>
  <c r="DI12" i="13" l="1"/>
  <c r="DJ8" i="13"/>
  <c r="DK14" i="13" s="1"/>
  <c r="DI10" i="13"/>
  <c r="DI11" i="13"/>
  <c r="DJ11" i="13" s="1"/>
  <c r="DA7" i="13"/>
  <c r="DB13" i="13"/>
  <c r="BD27" i="13"/>
  <c r="BD28" i="13" s="1"/>
  <c r="BD25" i="13"/>
  <c r="DB15" i="13"/>
  <c r="DF17" i="13" s="1"/>
  <c r="DB5" i="13"/>
  <c r="DB6" i="13"/>
  <c r="BE3" i="13"/>
  <c r="DC4" i="13"/>
  <c r="DJ12" i="13" l="1"/>
  <c r="DK8" i="13"/>
  <c r="DL14" i="13" s="1"/>
  <c r="DJ10" i="13"/>
  <c r="DB7" i="13"/>
  <c r="DC15" i="13"/>
  <c r="DG17" i="13" s="1"/>
  <c r="DC13" i="13"/>
  <c r="BE27" i="13"/>
  <c r="BE28" i="13" s="1"/>
  <c r="BE25" i="13"/>
  <c r="DC5" i="13"/>
  <c r="DC6" i="13"/>
  <c r="BF3" i="13"/>
  <c r="DD4" i="13"/>
  <c r="DK12" i="13" l="1"/>
  <c r="DL8" i="13"/>
  <c r="DM14" i="13" s="1"/>
  <c r="DK10" i="13"/>
  <c r="DK11" i="13"/>
  <c r="DC7" i="13"/>
  <c r="DD13" i="13"/>
  <c r="BF25" i="13"/>
  <c r="BF27" i="13"/>
  <c r="BF28" i="13" s="1"/>
  <c r="DD15" i="13"/>
  <c r="DH17" i="13" s="1"/>
  <c r="DD5" i="13"/>
  <c r="DD6" i="13"/>
  <c r="BG3" i="13"/>
  <c r="DE4" i="13"/>
  <c r="DL11" i="13" l="1"/>
  <c r="DL10" i="13"/>
  <c r="DL12" i="13"/>
  <c r="DM8" i="13"/>
  <c r="DN14" i="13" s="1"/>
  <c r="DD7" i="13"/>
  <c r="DE15" i="13"/>
  <c r="DI17" i="13" s="1"/>
  <c r="DE13" i="13"/>
  <c r="BG27" i="13"/>
  <c r="BG28" i="13" s="1"/>
  <c r="BG25" i="13"/>
  <c r="DE5" i="13"/>
  <c r="DE6" i="13"/>
  <c r="BH3" i="13"/>
  <c r="DF4" i="13"/>
  <c r="DM12" i="13" l="1"/>
  <c r="DN8" i="13"/>
  <c r="DO14" i="13" s="1"/>
  <c r="DM10" i="13"/>
  <c r="DM11" i="13"/>
  <c r="DE7" i="13"/>
  <c r="DF13" i="13"/>
  <c r="BH27" i="13"/>
  <c r="BH28" i="13" s="1"/>
  <c r="BH25" i="13"/>
  <c r="DF15" i="13"/>
  <c r="DJ17" i="13" s="1"/>
  <c r="DF5" i="13"/>
  <c r="DF6" i="13"/>
  <c r="BI3" i="13"/>
  <c r="DG4" i="13"/>
  <c r="DN11" i="13" l="1"/>
  <c r="DN12" i="13"/>
  <c r="DO8" i="13"/>
  <c r="DP14" i="13" s="1"/>
  <c r="DN10" i="13"/>
  <c r="DF7" i="13"/>
  <c r="DG13" i="13"/>
  <c r="BI27" i="13"/>
  <c r="BI28" i="13" s="1"/>
  <c r="BI25" i="13"/>
  <c r="DG15" i="13"/>
  <c r="DK17" i="13" s="1"/>
  <c r="DG5" i="13"/>
  <c r="DG6" i="13"/>
  <c r="BJ3" i="13"/>
  <c r="DH4" i="13"/>
  <c r="DO12" i="13" l="1"/>
  <c r="DP8" i="13"/>
  <c r="DQ14" i="13" s="1"/>
  <c r="DO10" i="13"/>
  <c r="DO11" i="13"/>
  <c r="DG7" i="13"/>
  <c r="DQ8" i="13" s="1"/>
  <c r="DR14" i="13" s="1"/>
  <c r="DH15" i="13"/>
  <c r="DL17" i="13" s="1"/>
  <c r="DH13" i="13"/>
  <c r="BJ27" i="13"/>
  <c r="BJ28" i="13" s="1"/>
  <c r="BJ25" i="13"/>
  <c r="DH5" i="13"/>
  <c r="DH6" i="13"/>
  <c r="BK3" i="13"/>
  <c r="DI4" i="13"/>
  <c r="DP12" i="13" l="1"/>
  <c r="DP11" i="13"/>
  <c r="DP10" i="13"/>
  <c r="DH7" i="13"/>
  <c r="DI13" i="13"/>
  <c r="DI15" i="13"/>
  <c r="DM17" i="13" s="1"/>
  <c r="BK27" i="13"/>
  <c r="BK28" i="13" s="1"/>
  <c r="BK25" i="13"/>
  <c r="DI5" i="13"/>
  <c r="DI6" i="13"/>
  <c r="BL3" i="13"/>
  <c r="DJ4" i="13"/>
  <c r="DQ11" i="13" l="1"/>
  <c r="DR8" i="13"/>
  <c r="DS14" i="13" s="1"/>
  <c r="DQ12" i="13"/>
  <c r="DQ10" i="13"/>
  <c r="DI7" i="13"/>
  <c r="DJ13" i="13"/>
  <c r="DJ15" i="13"/>
  <c r="DN17" i="13" s="1"/>
  <c r="BL27" i="13"/>
  <c r="BL28" i="13" s="1"/>
  <c r="BL25" i="13"/>
  <c r="DJ5" i="13"/>
  <c r="DJ6" i="13"/>
  <c r="BM3" i="13"/>
  <c r="DK4" i="13"/>
  <c r="DR11" i="13" l="1"/>
  <c r="DS8" i="13"/>
  <c r="DT14" i="13" s="1"/>
  <c r="DR10" i="13"/>
  <c r="DR12" i="13"/>
  <c r="DJ7" i="13"/>
  <c r="DT8" i="13" s="1"/>
  <c r="DU14" i="13" s="1"/>
  <c r="DK13" i="13"/>
  <c r="BM27" i="13"/>
  <c r="BM28" i="13" s="1"/>
  <c r="BM25" i="13"/>
  <c r="DK15" i="13"/>
  <c r="DO17" i="13" s="1"/>
  <c r="DK5" i="13"/>
  <c r="DK6" i="13"/>
  <c r="BN3" i="13"/>
  <c r="DL4" i="13"/>
  <c r="DS12" i="13" l="1"/>
  <c r="DS11" i="13"/>
  <c r="DS10" i="13"/>
  <c r="DT10" i="13" s="1"/>
  <c r="DK7" i="13"/>
  <c r="DL13" i="13"/>
  <c r="BN25" i="13"/>
  <c r="BN27" i="13"/>
  <c r="BN28" i="13" s="1"/>
  <c r="DL15" i="13"/>
  <c r="DP17" i="13" s="1"/>
  <c r="DL5" i="13"/>
  <c r="DL6" i="13"/>
  <c r="BO3" i="13"/>
  <c r="DM4" i="13"/>
  <c r="DT11" i="13" l="1"/>
  <c r="DU8" i="13"/>
  <c r="DV14" i="13" s="1"/>
  <c r="DT12" i="13"/>
  <c r="DL7" i="13"/>
  <c r="DM13" i="13"/>
  <c r="DM15" i="13"/>
  <c r="DQ17" i="13" s="1"/>
  <c r="BO27" i="13"/>
  <c r="BO28" i="13" s="1"/>
  <c r="BO25" i="13"/>
  <c r="DM5" i="13"/>
  <c r="DM6" i="13"/>
  <c r="BP3" i="13"/>
  <c r="DN4" i="13"/>
  <c r="DU11" i="13" l="1"/>
  <c r="DV8" i="13"/>
  <c r="DW14" i="13" s="1"/>
  <c r="DU12" i="13"/>
  <c r="DU10" i="13"/>
  <c r="DM7" i="13"/>
  <c r="DN15" i="13"/>
  <c r="DR17" i="13" s="1"/>
  <c r="DN13" i="13"/>
  <c r="BP27" i="13"/>
  <c r="BP28" i="13" s="1"/>
  <c r="BP25" i="13"/>
  <c r="DN5" i="13"/>
  <c r="DN6" i="13"/>
  <c r="BQ3" i="13"/>
  <c r="DO4" i="13"/>
  <c r="DV11" i="13" l="1"/>
  <c r="DW8" i="13"/>
  <c r="DX14" i="13" s="1"/>
  <c r="DV10" i="13"/>
  <c r="DV12" i="13"/>
  <c r="DN7" i="13"/>
  <c r="DO13" i="13"/>
  <c r="DO15" i="13"/>
  <c r="DS17" i="13" s="1"/>
  <c r="BQ27" i="13"/>
  <c r="BQ28" i="13" s="1"/>
  <c r="BQ25" i="13"/>
  <c r="DO5" i="13"/>
  <c r="DO6" i="13"/>
  <c r="BR3" i="13"/>
  <c r="DP4" i="13"/>
  <c r="DW12" i="13" l="1"/>
  <c r="DW11" i="13"/>
  <c r="DX8" i="13"/>
  <c r="DY14" i="13" s="1"/>
  <c r="DW10" i="13"/>
  <c r="DT16" i="13"/>
  <c r="DO7" i="13"/>
  <c r="DP15" i="13"/>
  <c r="DT17" i="13" s="1"/>
  <c r="DP13" i="13"/>
  <c r="DS16" i="13"/>
  <c r="BR27" i="13"/>
  <c r="BR28" i="13" s="1"/>
  <c r="BR25" i="13"/>
  <c r="DP5" i="13"/>
  <c r="DP6" i="13"/>
  <c r="BS3" i="13"/>
  <c r="DQ4" i="13"/>
  <c r="DX10" i="13" l="1"/>
  <c r="DX11" i="13"/>
  <c r="DY8" i="13"/>
  <c r="DZ14" i="13" s="1"/>
  <c r="DX12" i="13"/>
  <c r="DU16" i="13"/>
  <c r="DP7" i="13"/>
  <c r="DQ15" i="13"/>
  <c r="DU17" i="13" s="1"/>
  <c r="DQ13" i="13"/>
  <c r="BS27" i="13"/>
  <c r="BS28" i="13" s="1"/>
  <c r="BS25" i="13"/>
  <c r="DR16" i="13"/>
  <c r="DQ5" i="13"/>
  <c r="DQ6" i="13"/>
  <c r="BT3" i="13"/>
  <c r="DR4" i="13"/>
  <c r="DY12" i="13" l="1"/>
  <c r="DY11" i="13"/>
  <c r="DZ8" i="13"/>
  <c r="EA14" i="13" s="1"/>
  <c r="DY10" i="13"/>
  <c r="DV16" i="13"/>
  <c r="DQ7" i="13"/>
  <c r="DR13" i="13"/>
  <c r="DR15" i="13"/>
  <c r="DV17" i="13" s="1"/>
  <c r="BT27" i="13"/>
  <c r="BT28" i="13" s="1"/>
  <c r="BT25" i="13"/>
  <c r="DQ16" i="13"/>
  <c r="DR5" i="13"/>
  <c r="DR6" i="13"/>
  <c r="BU3" i="13"/>
  <c r="DS4" i="13"/>
  <c r="DZ11" i="13" l="1"/>
  <c r="EA8" i="13"/>
  <c r="EB14" i="13" s="1"/>
  <c r="DZ10" i="13"/>
  <c r="DZ12" i="13"/>
  <c r="DW16" i="13"/>
  <c r="DR7" i="13"/>
  <c r="DS15" i="13"/>
  <c r="DW17" i="13" s="1"/>
  <c r="DS13" i="13"/>
  <c r="DP16" i="13"/>
  <c r="BU27" i="13"/>
  <c r="BU28" i="13" s="1"/>
  <c r="BU25" i="13"/>
  <c r="DS5" i="13"/>
  <c r="DS6" i="13"/>
  <c r="BV3" i="13"/>
  <c r="DT4" i="13"/>
  <c r="EA12" i="13" l="1"/>
  <c r="EA11" i="13"/>
  <c r="EB8" i="13"/>
  <c r="EC14" i="13" s="1"/>
  <c r="EA10" i="13"/>
  <c r="DX16" i="13"/>
  <c r="DS7" i="13"/>
  <c r="DT13" i="13"/>
  <c r="DT15" i="13"/>
  <c r="DX17" i="13" s="1"/>
  <c r="BV25" i="13"/>
  <c r="BV27" i="13"/>
  <c r="BV28" i="13" s="1"/>
  <c r="DO16" i="13"/>
  <c r="DT5" i="13"/>
  <c r="DT6" i="13"/>
  <c r="BW3" i="13"/>
  <c r="DU4" i="13"/>
  <c r="EB11" i="13" l="1"/>
  <c r="EC8" i="13"/>
  <c r="ED14" i="13" s="1"/>
  <c r="EB10" i="13"/>
  <c r="EB12" i="13"/>
  <c r="DY16" i="13"/>
  <c r="DT7" i="13"/>
  <c r="DU13" i="13"/>
  <c r="DU15" i="13"/>
  <c r="DY17" i="13" s="1"/>
  <c r="DN16" i="13"/>
  <c r="BW27" i="13"/>
  <c r="BW28" i="13" s="1"/>
  <c r="BW25" i="13"/>
  <c r="DU5" i="13"/>
  <c r="DU6" i="13"/>
  <c r="BX3" i="13"/>
  <c r="DV4" i="13"/>
  <c r="EC12" i="13" l="1"/>
  <c r="EC11" i="13"/>
  <c r="ED8" i="13"/>
  <c r="EE14" i="13" s="1"/>
  <c r="EC10" i="13"/>
  <c r="DZ16" i="13"/>
  <c r="DU7" i="13"/>
  <c r="DV13" i="13"/>
  <c r="DV15" i="13"/>
  <c r="DZ17" i="13" s="1"/>
  <c r="BX27" i="13"/>
  <c r="BX28" i="13" s="1"/>
  <c r="BX25" i="13"/>
  <c r="DM16" i="13"/>
  <c r="DV5" i="13"/>
  <c r="DV6" i="13"/>
  <c r="BY3" i="13"/>
  <c r="DW4" i="13"/>
  <c r="ED10" i="13" l="1"/>
  <c r="ED11" i="13"/>
  <c r="EE8" i="13"/>
  <c r="EF14" i="13" s="1"/>
  <c r="ED12" i="13"/>
  <c r="EA16" i="13"/>
  <c r="DV7" i="13"/>
  <c r="DW13" i="13"/>
  <c r="DL16" i="13"/>
  <c r="DW15" i="13"/>
  <c r="EA17" i="13" s="1"/>
  <c r="BY27" i="13"/>
  <c r="BY28" i="13" s="1"/>
  <c r="BY25" i="13"/>
  <c r="DW5" i="13"/>
  <c r="DW6" i="13"/>
  <c r="BZ3" i="13"/>
  <c r="DX4" i="13"/>
  <c r="EE11" i="13" l="1"/>
  <c r="EF8" i="13"/>
  <c r="EG14" i="13" s="1"/>
  <c r="EE12" i="13"/>
  <c r="EE10" i="13"/>
  <c r="EB16" i="13"/>
  <c r="DW7" i="13"/>
  <c r="DX15" i="13"/>
  <c r="EB17" i="13" s="1"/>
  <c r="DX13" i="13"/>
  <c r="DK16" i="13"/>
  <c r="BZ27" i="13"/>
  <c r="BZ28" i="13" s="1"/>
  <c r="BZ25" i="13"/>
  <c r="DX5" i="13"/>
  <c r="DX6" i="13"/>
  <c r="CA3" i="13"/>
  <c r="DY4" i="13"/>
  <c r="EF11" i="13" l="1"/>
  <c r="EG8" i="13"/>
  <c r="EH14" i="13" s="1"/>
  <c r="EF10" i="13"/>
  <c r="EF12" i="13"/>
  <c r="EC16" i="13"/>
  <c r="DX7" i="13"/>
  <c r="DY15" i="13"/>
  <c r="EC17" i="13" s="1"/>
  <c r="DY13" i="13"/>
  <c r="CA27" i="13"/>
  <c r="CA28" i="13" s="1"/>
  <c r="CA25" i="13"/>
  <c r="DJ16" i="13"/>
  <c r="DY5" i="13"/>
  <c r="DY6" i="13"/>
  <c r="CB3" i="13"/>
  <c r="DZ4" i="13"/>
  <c r="EG11" i="13" l="1"/>
  <c r="EH8" i="13"/>
  <c r="EI14" i="13" s="1"/>
  <c r="EG12" i="13"/>
  <c r="EG10" i="13"/>
  <c r="ED16" i="13"/>
  <c r="DY7" i="13"/>
  <c r="DZ15" i="13"/>
  <c r="ED17" i="13" s="1"/>
  <c r="DZ13" i="13"/>
  <c r="CB27" i="13"/>
  <c r="CB28" i="13" s="1"/>
  <c r="CB25" i="13"/>
  <c r="DI16" i="13"/>
  <c r="DZ5" i="13"/>
  <c r="DZ6" i="13"/>
  <c r="G33" i="20"/>
  <c r="J33" i="20" s="1"/>
  <c r="CC3" i="13"/>
  <c r="EA4" i="13"/>
  <c r="EH11" i="13" l="1"/>
  <c r="EI8" i="13"/>
  <c r="EJ14" i="13" s="1"/>
  <c r="EH10" i="13"/>
  <c r="EH12" i="13"/>
  <c r="EE16" i="13"/>
  <c r="DZ7" i="13"/>
  <c r="EA15" i="13"/>
  <c r="EE17" i="13" s="1"/>
  <c r="EA13" i="13"/>
  <c r="CC27" i="13"/>
  <c r="CC28" i="13" s="1"/>
  <c r="CC25" i="13"/>
  <c r="DH16" i="13"/>
  <c r="EA5" i="13"/>
  <c r="EA6" i="13"/>
  <c r="CD3" i="13"/>
  <c r="EB4" i="13"/>
  <c r="EI11" i="13" l="1"/>
  <c r="EJ8" i="13"/>
  <c r="EK14" i="13" s="1"/>
  <c r="EI12" i="13"/>
  <c r="EI10" i="13"/>
  <c r="EF16" i="13"/>
  <c r="EA7" i="13"/>
  <c r="EB15" i="13"/>
  <c r="EF17" i="13" s="1"/>
  <c r="EB13" i="13"/>
  <c r="CD27" i="13"/>
  <c r="CD28" i="13" s="1"/>
  <c r="CD25" i="13"/>
  <c r="DG16" i="13"/>
  <c r="EB5" i="13"/>
  <c r="EB6" i="13"/>
  <c r="G4" i="20"/>
  <c r="J4" i="20" s="1"/>
  <c r="CE3" i="13"/>
  <c r="EC4" i="13"/>
  <c r="EJ11" i="13" l="1"/>
  <c r="EK8" i="13"/>
  <c r="EL14" i="13" s="1"/>
  <c r="EJ10" i="13"/>
  <c r="EJ12" i="13"/>
  <c r="EG16" i="13"/>
  <c r="EB7" i="13"/>
  <c r="EC15" i="13"/>
  <c r="EG17" i="13" s="1"/>
  <c r="EC13" i="13"/>
  <c r="CE27" i="13"/>
  <c r="CE28" i="13" s="1"/>
  <c r="CE25" i="13"/>
  <c r="DF16" i="13"/>
  <c r="EC5" i="13"/>
  <c r="EC6" i="13"/>
  <c r="CF3" i="13"/>
  <c r="ED4" i="13"/>
  <c r="EK11" i="13" l="1"/>
  <c r="EL8" i="13"/>
  <c r="EM14" i="13" s="1"/>
  <c r="EK12" i="13"/>
  <c r="EK10" i="13"/>
  <c r="EH16" i="13"/>
  <c r="EC7" i="13"/>
  <c r="ED13" i="13"/>
  <c r="CF27" i="13"/>
  <c r="CF28" i="13" s="1"/>
  <c r="CF25" i="13"/>
  <c r="ED15" i="13"/>
  <c r="EH17" i="13" s="1"/>
  <c r="DE16" i="13"/>
  <c r="ED5" i="13"/>
  <c r="ED6" i="13"/>
  <c r="CG3" i="13"/>
  <c r="EE4" i="13"/>
  <c r="EL11" i="13" l="1"/>
  <c r="EM8" i="13"/>
  <c r="EN14" i="13" s="1"/>
  <c r="EL10" i="13"/>
  <c r="EL12" i="13"/>
  <c r="EI16" i="13"/>
  <c r="ED7" i="13"/>
  <c r="EE15" i="13"/>
  <c r="EI17" i="13" s="1"/>
  <c r="EE13" i="13"/>
  <c r="CG27" i="13"/>
  <c r="CG28" i="13" s="1"/>
  <c r="CG25" i="13"/>
  <c r="DD16" i="13"/>
  <c r="EE5" i="13"/>
  <c r="EE6" i="13"/>
  <c r="CH3" i="13"/>
  <c r="EF4" i="13"/>
  <c r="EM11" i="13" l="1"/>
  <c r="EN8" i="13"/>
  <c r="EO14" i="13" s="1"/>
  <c r="EM12" i="13"/>
  <c r="EM10" i="13"/>
  <c r="EJ16" i="13"/>
  <c r="EE7" i="13"/>
  <c r="EF15" i="13"/>
  <c r="EJ17" i="13" s="1"/>
  <c r="EF13" i="13"/>
  <c r="CH25" i="13"/>
  <c r="CH27" i="13"/>
  <c r="CH28" i="13" s="1"/>
  <c r="DC16" i="13"/>
  <c r="EF5" i="13"/>
  <c r="EF6" i="13"/>
  <c r="G13" i="20"/>
  <c r="J13" i="20" s="1"/>
  <c r="G37" i="20"/>
  <c r="J37" i="20" s="1"/>
  <c r="CI3" i="13"/>
  <c r="EG4" i="13"/>
  <c r="EN11" i="13" l="1"/>
  <c r="EO8" i="13"/>
  <c r="EP14" i="13" s="1"/>
  <c r="EN10" i="13"/>
  <c r="EN12" i="13"/>
  <c r="EK16" i="13"/>
  <c r="EF7" i="13"/>
  <c r="EG13" i="13"/>
  <c r="EG15" i="13"/>
  <c r="EK17" i="13" s="1"/>
  <c r="CI27" i="13"/>
  <c r="CI28" i="13" s="1"/>
  <c r="CI25" i="13"/>
  <c r="DB16" i="13"/>
  <c r="EG5" i="13"/>
  <c r="EG6" i="13"/>
  <c r="CJ3" i="13"/>
  <c r="EH4" i="13"/>
  <c r="EO11" i="13" l="1"/>
  <c r="EP8" i="13"/>
  <c r="EQ14" i="13" s="1"/>
  <c r="EO12" i="13"/>
  <c r="EO10" i="13"/>
  <c r="EL16" i="13"/>
  <c r="EG7" i="13"/>
  <c r="EH13" i="13"/>
  <c r="EH15" i="13"/>
  <c r="EL17" i="13" s="1"/>
  <c r="DA16" i="13"/>
  <c r="CJ27" i="13"/>
  <c r="CJ28" i="13" s="1"/>
  <c r="CJ25" i="13"/>
  <c r="EH5" i="13"/>
  <c r="EH6" i="13"/>
  <c r="CK3" i="13"/>
  <c r="EI4" i="13"/>
  <c r="EP11" i="13" l="1"/>
  <c r="EQ8" i="13"/>
  <c r="ER14" i="13" s="1"/>
  <c r="EP10" i="13"/>
  <c r="EP12" i="13"/>
  <c r="EM16" i="13"/>
  <c r="EH7" i="13"/>
  <c r="EI15" i="13"/>
  <c r="EM17" i="13" s="1"/>
  <c r="EI13" i="13"/>
  <c r="CZ16" i="13"/>
  <c r="CK27" i="13"/>
  <c r="CK28" i="13" s="1"/>
  <c r="CK25" i="13"/>
  <c r="EI5" i="13"/>
  <c r="EI6" i="13"/>
  <c r="CL3" i="13"/>
  <c r="EJ4" i="13"/>
  <c r="EQ12" i="13" l="1"/>
  <c r="EQ11" i="13"/>
  <c r="ER8" i="13"/>
  <c r="ES14" i="13" s="1"/>
  <c r="EQ10" i="13"/>
  <c r="EN16" i="13"/>
  <c r="EI7" i="13"/>
  <c r="EJ13" i="13"/>
  <c r="EJ15" i="13"/>
  <c r="EN17" i="13" s="1"/>
  <c r="CY16" i="13"/>
  <c r="CL25" i="13"/>
  <c r="CL27" i="13"/>
  <c r="CL28" i="13" s="1"/>
  <c r="EJ5" i="13"/>
  <c r="EJ6" i="13"/>
  <c r="G63" i="20"/>
  <c r="J63" i="20" s="1"/>
  <c r="CM3" i="13"/>
  <c r="EK4" i="13"/>
  <c r="ER11" i="13" l="1"/>
  <c r="ES8" i="13"/>
  <c r="ET14" i="13" s="1"/>
  <c r="ER12" i="13"/>
  <c r="ER10" i="13"/>
  <c r="EO16" i="13"/>
  <c r="EJ7" i="13"/>
  <c r="EK13" i="13"/>
  <c r="CX16" i="13"/>
  <c r="EK15" i="13"/>
  <c r="EO17" i="13" s="1"/>
  <c r="CM27" i="13"/>
  <c r="CM28" i="13" s="1"/>
  <c r="CM25" i="13"/>
  <c r="EK5" i="13"/>
  <c r="EK6" i="13"/>
  <c r="CN3" i="13"/>
  <c r="EL4" i="13"/>
  <c r="ES10" i="13" l="1"/>
  <c r="ES11" i="13"/>
  <c r="ET8" i="13"/>
  <c r="EU14" i="13" s="1"/>
  <c r="ES12" i="13"/>
  <c r="EP16" i="13"/>
  <c r="EK7" i="13"/>
  <c r="EL13" i="13"/>
  <c r="EL15" i="13"/>
  <c r="EP17" i="13" s="1"/>
  <c r="CN27" i="13"/>
  <c r="CN28" i="13" s="1"/>
  <c r="CN25" i="13"/>
  <c r="CW16" i="13"/>
  <c r="EL5" i="13"/>
  <c r="EL6" i="13"/>
  <c r="CO3" i="13"/>
  <c r="EM4" i="13"/>
  <c r="ET11" i="13" l="1"/>
  <c r="EU8" i="13"/>
  <c r="EV14" i="13" s="1"/>
  <c r="ET12" i="13"/>
  <c r="ET10" i="13"/>
  <c r="EQ16" i="13"/>
  <c r="EL7" i="13"/>
  <c r="EM15" i="13"/>
  <c r="EQ17" i="13" s="1"/>
  <c r="EM13" i="13"/>
  <c r="CV16" i="13"/>
  <c r="CO27" i="13"/>
  <c r="CO28" i="13" s="1"/>
  <c r="CO25" i="13"/>
  <c r="EM5" i="13"/>
  <c r="EM6" i="13"/>
  <c r="CP3" i="13"/>
  <c r="EN4" i="13"/>
  <c r="EU11" i="13" l="1"/>
  <c r="EV8" i="13"/>
  <c r="EW14" i="13" s="1"/>
  <c r="EU10" i="13"/>
  <c r="EU12" i="13"/>
  <c r="ER16" i="13"/>
  <c r="EM7" i="13"/>
  <c r="EN13" i="13"/>
  <c r="CU16" i="13"/>
  <c r="EN15" i="13"/>
  <c r="ER17" i="13" s="1"/>
  <c r="CP27" i="13"/>
  <c r="CP28" i="13" s="1"/>
  <c r="CP25" i="13"/>
  <c r="EN5" i="13"/>
  <c r="EN6" i="13"/>
  <c r="CQ3" i="13"/>
  <c r="EO4" i="13"/>
  <c r="EV11" i="13" l="1"/>
  <c r="EW8" i="13"/>
  <c r="EX14" i="13" s="1"/>
  <c r="EV12" i="13"/>
  <c r="EV10" i="13"/>
  <c r="ES16" i="13"/>
  <c r="EN7" i="13"/>
  <c r="EO15" i="13"/>
  <c r="ES17" i="13" s="1"/>
  <c r="EO13" i="13"/>
  <c r="CQ27" i="13"/>
  <c r="CQ28" i="13" s="1"/>
  <c r="CQ25" i="13"/>
  <c r="CT16" i="13"/>
  <c r="EO5" i="13"/>
  <c r="EO6" i="13"/>
  <c r="CR3" i="13"/>
  <c r="EP4" i="13"/>
  <c r="EW11" i="13" l="1"/>
  <c r="EX8" i="13"/>
  <c r="EY14" i="13" s="1"/>
  <c r="EW10" i="13"/>
  <c r="EW12" i="13"/>
  <c r="ET16" i="13"/>
  <c r="EO7" i="13"/>
  <c r="EP15" i="13"/>
  <c r="ET17" i="13" s="1"/>
  <c r="EP13" i="13"/>
  <c r="CR25" i="13"/>
  <c r="CR27" i="13"/>
  <c r="CR28" i="13" s="1"/>
  <c r="CS16" i="13"/>
  <c r="EP5" i="13"/>
  <c r="EP6" i="13"/>
  <c r="CS3" i="13"/>
  <c r="EQ4" i="13"/>
  <c r="EX11" i="13" l="1"/>
  <c r="EY8" i="13"/>
  <c r="EZ14" i="13" s="1"/>
  <c r="EX12" i="13"/>
  <c r="EX10" i="13"/>
  <c r="EU16" i="13"/>
  <c r="EP7" i="13"/>
  <c r="EQ15" i="13"/>
  <c r="EU17" i="13" s="1"/>
  <c r="EQ13" i="13"/>
  <c r="CS27" i="13"/>
  <c r="CS28" i="13" s="1"/>
  <c r="CS25" i="13"/>
  <c r="CR16" i="13"/>
  <c r="EQ5" i="13"/>
  <c r="EQ6" i="13"/>
  <c r="CT3" i="13"/>
  <c r="ER4" i="13"/>
  <c r="EY11" i="13" l="1"/>
  <c r="EZ8" i="13"/>
  <c r="FA14" i="13" s="1"/>
  <c r="EY10" i="13"/>
  <c r="EY12" i="13"/>
  <c r="EV16" i="13"/>
  <c r="EQ7" i="13"/>
  <c r="ER15" i="13"/>
  <c r="EV17" i="13" s="1"/>
  <c r="ER13" i="13"/>
  <c r="CT27" i="13"/>
  <c r="CT28" i="13" s="1"/>
  <c r="CT25" i="13"/>
  <c r="CQ16" i="13"/>
  <c r="ER5" i="13"/>
  <c r="ER6" i="13"/>
  <c r="CU3" i="13"/>
  <c r="ES4" i="13"/>
  <c r="EZ11" i="13" l="1"/>
  <c r="FA8" i="13"/>
  <c r="FB14" i="13" s="1"/>
  <c r="EZ12" i="13"/>
  <c r="EZ10" i="13"/>
  <c r="EW16" i="13"/>
  <c r="ER7" i="13"/>
  <c r="ES13" i="13"/>
  <c r="ES15" i="13"/>
  <c r="EW17" i="13" s="1"/>
  <c r="CU27" i="13"/>
  <c r="CU28" i="13" s="1"/>
  <c r="CU25" i="13"/>
  <c r="CP16" i="13"/>
  <c r="ES5" i="13"/>
  <c r="ES6" i="13"/>
  <c r="CV3" i="13"/>
  <c r="ET4" i="13"/>
  <c r="FA11" i="13" l="1"/>
  <c r="FB8" i="13"/>
  <c r="FC14" i="13" s="1"/>
  <c r="FA10" i="13"/>
  <c r="FA12" i="13"/>
  <c r="EX16" i="13"/>
  <c r="ES7" i="13"/>
  <c r="ET15" i="13"/>
  <c r="EX17" i="13" s="1"/>
  <c r="ET13" i="13"/>
  <c r="CV27" i="13"/>
  <c r="CV28" i="13" s="1"/>
  <c r="CV25" i="13"/>
  <c r="CO16" i="13"/>
  <c r="ET5" i="13"/>
  <c r="ET6" i="13"/>
  <c r="CW3" i="13"/>
  <c r="EU4" i="13"/>
  <c r="FB11" i="13" l="1"/>
  <c r="FC8" i="13"/>
  <c r="FD14" i="13" s="1"/>
  <c r="FB12" i="13"/>
  <c r="FB10" i="13"/>
  <c r="EY16" i="13"/>
  <c r="ET7" i="13"/>
  <c r="EU13" i="13"/>
  <c r="CN16" i="13"/>
  <c r="EU15" i="13"/>
  <c r="EY17" i="13" s="1"/>
  <c r="CW27" i="13"/>
  <c r="CW28" i="13" s="1"/>
  <c r="CW25" i="13"/>
  <c r="EU5" i="13"/>
  <c r="EU6" i="13"/>
  <c r="CX3" i="13"/>
  <c r="EV4" i="13"/>
  <c r="FC11" i="13" l="1"/>
  <c r="FD8" i="13"/>
  <c r="FE14" i="13" s="1"/>
  <c r="FC10" i="13"/>
  <c r="FC12" i="13"/>
  <c r="EZ16" i="13"/>
  <c r="EU7" i="13"/>
  <c r="EV15" i="13"/>
  <c r="EZ17" i="13" s="1"/>
  <c r="EV13" i="13"/>
  <c r="CM16" i="13"/>
  <c r="CX25" i="13"/>
  <c r="CX27" i="13"/>
  <c r="CX28" i="13" s="1"/>
  <c r="EV5" i="13"/>
  <c r="EV6" i="13"/>
  <c r="CY3" i="13"/>
  <c r="EW4" i="13"/>
  <c r="FD11" i="13" l="1"/>
  <c r="FE8" i="13"/>
  <c r="FF14" i="13" s="1"/>
  <c r="FD12" i="13"/>
  <c r="FD10" i="13"/>
  <c r="FA16" i="13"/>
  <c r="EV7" i="13"/>
  <c r="EW15" i="13"/>
  <c r="FA17" i="13" s="1"/>
  <c r="EW13" i="13"/>
  <c r="CY27" i="13"/>
  <c r="CY28" i="13" s="1"/>
  <c r="CY25" i="13"/>
  <c r="CL16" i="13"/>
  <c r="EW5" i="13"/>
  <c r="EW6" i="13"/>
  <c r="CZ3" i="13"/>
  <c r="EX4" i="13"/>
  <c r="FE11" i="13" l="1"/>
  <c r="FF8" i="13"/>
  <c r="FG14" i="13" s="1"/>
  <c r="FE10" i="13"/>
  <c r="FE12" i="13"/>
  <c r="FB16" i="13"/>
  <c r="EW7" i="13"/>
  <c r="EX13" i="13"/>
  <c r="EX15" i="13"/>
  <c r="FB17" i="13" s="1"/>
  <c r="CZ27" i="13"/>
  <c r="CZ28" i="13" s="1"/>
  <c r="CZ25" i="13"/>
  <c r="CK16" i="13"/>
  <c r="EX5" i="13"/>
  <c r="EX6" i="13"/>
  <c r="DA3" i="13"/>
  <c r="EY4" i="13"/>
  <c r="FF11" i="13" l="1"/>
  <c r="FG8" i="13"/>
  <c r="FH14" i="13" s="1"/>
  <c r="FF12" i="13"/>
  <c r="FF10" i="13"/>
  <c r="FC16" i="13"/>
  <c r="EX7" i="13"/>
  <c r="EY15" i="13"/>
  <c r="FC17" i="13" s="1"/>
  <c r="EY13" i="13"/>
  <c r="CJ16" i="13"/>
  <c r="DA27" i="13"/>
  <c r="DA28" i="13" s="1"/>
  <c r="DA25" i="13"/>
  <c r="EY5" i="13"/>
  <c r="EY6" i="13"/>
  <c r="DB3" i="13"/>
  <c r="EZ4" i="13"/>
  <c r="FG11" i="13" l="1"/>
  <c r="FH8" i="13"/>
  <c r="FI14" i="13" s="1"/>
  <c r="FG10" i="13"/>
  <c r="FG12" i="13"/>
  <c r="FD16" i="13"/>
  <c r="EY7" i="13"/>
  <c r="EZ13" i="13"/>
  <c r="EZ15" i="13"/>
  <c r="FD17" i="13" s="1"/>
  <c r="CI16" i="13"/>
  <c r="DB25" i="13"/>
  <c r="DB27" i="13"/>
  <c r="DB28" i="13" s="1"/>
  <c r="EZ5" i="13"/>
  <c r="EZ6" i="13"/>
  <c r="DC3" i="13"/>
  <c r="FA4" i="13"/>
  <c r="FH11" i="13" l="1"/>
  <c r="FI8" i="13"/>
  <c r="FJ14" i="13" s="1"/>
  <c r="FH12" i="13"/>
  <c r="FH10" i="13"/>
  <c r="FE16" i="13"/>
  <c r="EZ7" i="13"/>
  <c r="FA15" i="13"/>
  <c r="FE17" i="13" s="1"/>
  <c r="FA13" i="13"/>
  <c r="DC27" i="13"/>
  <c r="DC28" i="13" s="1"/>
  <c r="DC25" i="13"/>
  <c r="CH16" i="13"/>
  <c r="FA5" i="13"/>
  <c r="FA6" i="13"/>
  <c r="DD3" i="13"/>
  <c r="FB4" i="13"/>
  <c r="FI11" i="13" l="1"/>
  <c r="FJ8" i="13"/>
  <c r="FK14" i="13" s="1"/>
  <c r="FI10" i="13"/>
  <c r="FI12" i="13"/>
  <c r="FF16" i="13"/>
  <c r="FA7" i="13"/>
  <c r="FB13" i="13"/>
  <c r="FB15" i="13"/>
  <c r="FF17" i="13" s="1"/>
  <c r="CG16" i="13"/>
  <c r="DD27" i="13"/>
  <c r="DD28" i="13" s="1"/>
  <c r="DD25" i="13"/>
  <c r="FB5" i="13"/>
  <c r="FB6" i="13"/>
  <c r="DE3" i="13"/>
  <c r="FC4" i="13"/>
  <c r="FJ11" i="13" l="1"/>
  <c r="FK8" i="13"/>
  <c r="FL14" i="13" s="1"/>
  <c r="FJ12" i="13"/>
  <c r="FJ10" i="13"/>
  <c r="FG16" i="13"/>
  <c r="FB7" i="13"/>
  <c r="FL8" i="13" s="1"/>
  <c r="FM14" i="13" s="1"/>
  <c r="FC15" i="13"/>
  <c r="FG17" i="13" s="1"/>
  <c r="FC13" i="13"/>
  <c r="CF16" i="13"/>
  <c r="DE27" i="13"/>
  <c r="DE28" i="13" s="1"/>
  <c r="DE25" i="13"/>
  <c r="FC5" i="13"/>
  <c r="FC6" i="13"/>
  <c r="DF3" i="13"/>
  <c r="FD4" i="13"/>
  <c r="FK11" i="13" l="1"/>
  <c r="FK10" i="13"/>
  <c r="FK12" i="13"/>
  <c r="FH16" i="13"/>
  <c r="FC7" i="13"/>
  <c r="FD15" i="13"/>
  <c r="FH17" i="13" s="1"/>
  <c r="FD13" i="13"/>
  <c r="DF27" i="13"/>
  <c r="DF28" i="13" s="1"/>
  <c r="DF25" i="13"/>
  <c r="CE16" i="13"/>
  <c r="FD5" i="13"/>
  <c r="FD6" i="13"/>
  <c r="DG3" i="13"/>
  <c r="FE4" i="13"/>
  <c r="FL11" i="13" l="1"/>
  <c r="FM8" i="13"/>
  <c r="FN14" i="13" s="1"/>
  <c r="FL12" i="13"/>
  <c r="FL10" i="13"/>
  <c r="FI16" i="13"/>
  <c r="FD7" i="13"/>
  <c r="FE15" i="13"/>
  <c r="FI17" i="13" s="1"/>
  <c r="FE13" i="13"/>
  <c r="DG27" i="13"/>
  <c r="DG28" i="13" s="1"/>
  <c r="DG25" i="13"/>
  <c r="CD16" i="13"/>
  <c r="FE5" i="13"/>
  <c r="FE6" i="13"/>
  <c r="DH3" i="13"/>
  <c r="FF4" i="13"/>
  <c r="FM11" i="13" l="1"/>
  <c r="FN8" i="13"/>
  <c r="FO14" i="13" s="1"/>
  <c r="FM10" i="13"/>
  <c r="FM12" i="13"/>
  <c r="FJ16" i="13"/>
  <c r="FE7" i="13"/>
  <c r="FF15" i="13"/>
  <c r="FJ17" i="13" s="1"/>
  <c r="FF13" i="13"/>
  <c r="DH25" i="13"/>
  <c r="DH27" i="13"/>
  <c r="DH28" i="13" s="1"/>
  <c r="CC16" i="13"/>
  <c r="FF5" i="13"/>
  <c r="FF6" i="13"/>
  <c r="DI3" i="13"/>
  <c r="FG4" i="13"/>
  <c r="FN11" i="13" l="1"/>
  <c r="FO8" i="13"/>
  <c r="FP14" i="13" s="1"/>
  <c r="FN12" i="13"/>
  <c r="FN10" i="13"/>
  <c r="FK16" i="13"/>
  <c r="FF7" i="13"/>
  <c r="FG15" i="13"/>
  <c r="FK17" i="13" s="1"/>
  <c r="FG13" i="13"/>
  <c r="DI27" i="13"/>
  <c r="DI28" i="13" s="1"/>
  <c r="DI25" i="13"/>
  <c r="CB16" i="13"/>
  <c r="FG5" i="13"/>
  <c r="FG6" i="13"/>
  <c r="DJ3" i="13"/>
  <c r="FH4" i="13"/>
  <c r="FO11" i="13" l="1"/>
  <c r="FP8" i="13"/>
  <c r="FQ14" i="13" s="1"/>
  <c r="FO10" i="13"/>
  <c r="FO12" i="13"/>
  <c r="FL16" i="13"/>
  <c r="FG7" i="13"/>
  <c r="FQ8" i="13" s="1"/>
  <c r="FR14" i="13" s="1"/>
  <c r="FH15" i="13"/>
  <c r="FL17" i="13" s="1"/>
  <c r="FH13" i="13"/>
  <c r="DJ25" i="13"/>
  <c r="DJ27" i="13"/>
  <c r="DJ28" i="13" s="1"/>
  <c r="CA16" i="13"/>
  <c r="FH5" i="13"/>
  <c r="FH6" i="13"/>
  <c r="DK3" i="13"/>
  <c r="FI4" i="13"/>
  <c r="FP10" i="13" l="1"/>
  <c r="FP12" i="13"/>
  <c r="FP11" i="13"/>
  <c r="FM16" i="13"/>
  <c r="FH7" i="13"/>
  <c r="FI15" i="13"/>
  <c r="FM17" i="13" s="1"/>
  <c r="FI13" i="13"/>
  <c r="DK27" i="13"/>
  <c r="DK28" i="13" s="1"/>
  <c r="DK25" i="13"/>
  <c r="BZ16" i="13"/>
  <c r="FI5" i="13"/>
  <c r="FI6" i="13"/>
  <c r="DL3" i="13"/>
  <c r="FJ4" i="13"/>
  <c r="FQ11" i="13" l="1"/>
  <c r="FR8" i="13"/>
  <c r="FS14" i="13" s="1"/>
  <c r="FQ10" i="13"/>
  <c r="FQ12" i="13"/>
  <c r="FN16" i="13"/>
  <c r="FI7" i="13"/>
  <c r="FS8" i="13" s="1"/>
  <c r="FT14" i="13" s="1"/>
  <c r="FJ15" i="13"/>
  <c r="FN17" i="13" s="1"/>
  <c r="FJ13" i="13"/>
  <c r="DL27" i="13"/>
  <c r="DL28" i="13" s="1"/>
  <c r="DL25" i="13"/>
  <c r="BY16" i="13"/>
  <c r="FJ5" i="13"/>
  <c r="FJ6" i="13"/>
  <c r="DM3" i="13"/>
  <c r="FK4" i="13"/>
  <c r="FR11" i="13" l="1"/>
  <c r="FS11" i="13" s="1"/>
  <c r="FR12" i="13"/>
  <c r="FR10" i="13"/>
  <c r="FO16" i="13"/>
  <c r="FJ7" i="13"/>
  <c r="FT8" i="13" s="1"/>
  <c r="FU14" i="13" s="1"/>
  <c r="FK15" i="13"/>
  <c r="FO17" i="13" s="1"/>
  <c r="FK13" i="13"/>
  <c r="DM27" i="13"/>
  <c r="DM28" i="13" s="1"/>
  <c r="DM25" i="13"/>
  <c r="BX16" i="13"/>
  <c r="FK5" i="13"/>
  <c r="FK6" i="13"/>
  <c r="DN3" i="13"/>
  <c r="FL4" i="13"/>
  <c r="FS10" i="13" l="1"/>
  <c r="FS12" i="13"/>
  <c r="FP16" i="13"/>
  <c r="FK7" i="13"/>
  <c r="FL15" i="13"/>
  <c r="FP17" i="13" s="1"/>
  <c r="FL13" i="13"/>
  <c r="DN25" i="13"/>
  <c r="DN27" i="13"/>
  <c r="DN28" i="13" s="1"/>
  <c r="BW16" i="13"/>
  <c r="FL5" i="13"/>
  <c r="FL6" i="13"/>
  <c r="DO3" i="13"/>
  <c r="FM4" i="13"/>
  <c r="FT11" i="13" l="1"/>
  <c r="FU8" i="13"/>
  <c r="FV14" i="13" s="1"/>
  <c r="FT12" i="13"/>
  <c r="FT10" i="13"/>
  <c r="FQ16" i="13"/>
  <c r="FL7" i="13"/>
  <c r="FM15" i="13"/>
  <c r="FQ17" i="13" s="1"/>
  <c r="FM13" i="13"/>
  <c r="DO27" i="13"/>
  <c r="DO28" i="13" s="1"/>
  <c r="DO25" i="13"/>
  <c r="BV16" i="13"/>
  <c r="FM5" i="13"/>
  <c r="FM6" i="13"/>
  <c r="DP3" i="13"/>
  <c r="FN4" i="13"/>
  <c r="FU11" i="13" l="1"/>
  <c r="FV8" i="13"/>
  <c r="FW14" i="13" s="1"/>
  <c r="FU10" i="13"/>
  <c r="FU12" i="13"/>
  <c r="FR16" i="13"/>
  <c r="FM7" i="13"/>
  <c r="FN15" i="13"/>
  <c r="FR17" i="13" s="1"/>
  <c r="FN13" i="13"/>
  <c r="DP27" i="13"/>
  <c r="DP28" i="13" s="1"/>
  <c r="DP25" i="13"/>
  <c r="BU16" i="13"/>
  <c r="FN5" i="13"/>
  <c r="FN6" i="13"/>
  <c r="DQ3" i="13"/>
  <c r="FO4" i="13"/>
  <c r="FV11" i="13" l="1"/>
  <c r="FW8" i="13"/>
  <c r="FX14" i="13" s="1"/>
  <c r="FV12" i="13"/>
  <c r="FV10" i="13"/>
  <c r="FS16" i="13"/>
  <c r="FN7" i="13"/>
  <c r="FO15" i="13"/>
  <c r="FS17" i="13" s="1"/>
  <c r="FO13" i="13"/>
  <c r="DQ27" i="13"/>
  <c r="DQ28" i="13" s="1"/>
  <c r="DQ25" i="13"/>
  <c r="BT16" i="13"/>
  <c r="FO5" i="13"/>
  <c r="FO6" i="13"/>
  <c r="DR3" i="13"/>
  <c r="FP4" i="13"/>
  <c r="FW11" i="13" l="1"/>
  <c r="FX8" i="13"/>
  <c r="FY14" i="13" s="1"/>
  <c r="FW10" i="13"/>
  <c r="FW12" i="13"/>
  <c r="FT16" i="13"/>
  <c r="FO7" i="13"/>
  <c r="FP15" i="13"/>
  <c r="FT17" i="13" s="1"/>
  <c r="FP13" i="13"/>
  <c r="DR25" i="13"/>
  <c r="DR27" i="13"/>
  <c r="DR28" i="13" s="1"/>
  <c r="BS16" i="13"/>
  <c r="FP5" i="13"/>
  <c r="FP6" i="13"/>
  <c r="DS3" i="13"/>
  <c r="FQ4" i="13"/>
  <c r="FX11" i="13" l="1"/>
  <c r="FY8" i="13"/>
  <c r="FZ14" i="13" s="1"/>
  <c r="FX12" i="13"/>
  <c r="FX10" i="13"/>
  <c r="FU16" i="13"/>
  <c r="FP7" i="13"/>
  <c r="FQ15" i="13"/>
  <c r="FU17" i="13" s="1"/>
  <c r="FQ13" i="13"/>
  <c r="DS27" i="13"/>
  <c r="DS28" i="13" s="1"/>
  <c r="DS25" i="13"/>
  <c r="FQ5" i="13"/>
  <c r="FQ6" i="13"/>
  <c r="DT3" i="13"/>
  <c r="FR4" i="13"/>
  <c r="FY11" i="13" l="1"/>
  <c r="FZ8" i="13"/>
  <c r="GA14" i="13" s="1"/>
  <c r="FY10" i="13"/>
  <c r="FY12" i="13"/>
  <c r="FV16" i="13"/>
  <c r="FQ7" i="13"/>
  <c r="FR13" i="13"/>
  <c r="FR15" i="13"/>
  <c r="FV17" i="13" s="1"/>
  <c r="DT27" i="13"/>
  <c r="DT28" i="13" s="1"/>
  <c r="DT25" i="13"/>
  <c r="BQ16" i="13"/>
  <c r="FR5" i="13"/>
  <c r="FR6" i="13"/>
  <c r="DU3" i="13"/>
  <c r="FS4" i="13"/>
  <c r="FZ11" i="13" l="1"/>
  <c r="GA8" i="13"/>
  <c r="GB14" i="13" s="1"/>
  <c r="FZ12" i="13"/>
  <c r="FZ10" i="13"/>
  <c r="FW16" i="13"/>
  <c r="FR7" i="13"/>
  <c r="FS13" i="13"/>
  <c r="FS15" i="13"/>
  <c r="FW17" i="13" s="1"/>
  <c r="DU27" i="13"/>
  <c r="DU28" i="13" s="1"/>
  <c r="DU25" i="13"/>
  <c r="BP16" i="13"/>
  <c r="FS5" i="13"/>
  <c r="FS6" i="13"/>
  <c r="DV3" i="13"/>
  <c r="FT4" i="13"/>
  <c r="GA11" i="13" l="1"/>
  <c r="GB8" i="13"/>
  <c r="GC14" i="13" s="1"/>
  <c r="GA10" i="13"/>
  <c r="GA12" i="13"/>
  <c r="FX16" i="13"/>
  <c r="FS7" i="13"/>
  <c r="FT15" i="13"/>
  <c r="FX17" i="13" s="1"/>
  <c r="FT13" i="13"/>
  <c r="DV27" i="13"/>
  <c r="DV28" i="13" s="1"/>
  <c r="DV25" i="13"/>
  <c r="BO16" i="13"/>
  <c r="FT5" i="13"/>
  <c r="FT6" i="13"/>
  <c r="DW3" i="13"/>
  <c r="FU4" i="13"/>
  <c r="GB11" i="13" l="1"/>
  <c r="GC8" i="13"/>
  <c r="GD14" i="13" s="1"/>
  <c r="GB12" i="13"/>
  <c r="GB10" i="13"/>
  <c r="FY16" i="13"/>
  <c r="FT7" i="13"/>
  <c r="FU13" i="13"/>
  <c r="FU15" i="13"/>
  <c r="FY17" i="13" s="1"/>
  <c r="DW27" i="13"/>
  <c r="DW28" i="13" s="1"/>
  <c r="DW25" i="13"/>
  <c r="BN16" i="13"/>
  <c r="FU5" i="13"/>
  <c r="FU6" i="13"/>
  <c r="DX3" i="13"/>
  <c r="FV4" i="13"/>
  <c r="GC11" i="13" l="1"/>
  <c r="GD8" i="13"/>
  <c r="GE14" i="13" s="1"/>
  <c r="GC10" i="13"/>
  <c r="GC12" i="13"/>
  <c r="FZ16" i="13"/>
  <c r="FU7" i="13"/>
  <c r="FV15" i="13"/>
  <c r="FZ17" i="13" s="1"/>
  <c r="FV13" i="13"/>
  <c r="BM16" i="13"/>
  <c r="DX25" i="13"/>
  <c r="DX27" i="13"/>
  <c r="DX28" i="13" s="1"/>
  <c r="FV5" i="13"/>
  <c r="FV6" i="13"/>
  <c r="DY3" i="13"/>
  <c r="FW4" i="13"/>
  <c r="GD11" i="13" l="1"/>
  <c r="GE8" i="13"/>
  <c r="GF14" i="13" s="1"/>
  <c r="GD12" i="13"/>
  <c r="GD10" i="13"/>
  <c r="GA16" i="13"/>
  <c r="FV7" i="13"/>
  <c r="FW13" i="13"/>
  <c r="FW15" i="13"/>
  <c r="GA17" i="13" s="1"/>
  <c r="DY27" i="13"/>
  <c r="DY28" i="13" s="1"/>
  <c r="DY25" i="13"/>
  <c r="BL16" i="13"/>
  <c r="FW5" i="13"/>
  <c r="FW6" i="13"/>
  <c r="DZ3" i="13"/>
  <c r="FX4" i="13"/>
  <c r="GE11" i="13" l="1"/>
  <c r="GF8" i="13"/>
  <c r="GG14" i="13" s="1"/>
  <c r="GE10" i="13"/>
  <c r="GE12" i="13"/>
  <c r="GB16" i="13"/>
  <c r="FW7" i="13"/>
  <c r="FX15" i="13"/>
  <c r="GB17" i="13" s="1"/>
  <c r="FX13" i="13"/>
  <c r="DZ25" i="13"/>
  <c r="DZ27" i="13"/>
  <c r="DZ28" i="13" s="1"/>
  <c r="BK16" i="13"/>
  <c r="FX5" i="13"/>
  <c r="FX6" i="13"/>
  <c r="EA3" i="13"/>
  <c r="FY4" i="13"/>
  <c r="GF11" i="13" l="1"/>
  <c r="GG8" i="13"/>
  <c r="GH14" i="13" s="1"/>
  <c r="GF12" i="13"/>
  <c r="GF10" i="13"/>
  <c r="GC16" i="13"/>
  <c r="FX7" i="13"/>
  <c r="FY13" i="13"/>
  <c r="BJ16" i="13"/>
  <c r="FY15" i="13"/>
  <c r="GC17" i="13" s="1"/>
  <c r="EA27" i="13"/>
  <c r="EA28" i="13" s="1"/>
  <c r="EA25" i="13"/>
  <c r="FY5" i="13"/>
  <c r="FY6" i="13"/>
  <c r="EB3" i="13"/>
  <c r="FZ4" i="13"/>
  <c r="GG11" i="13" l="1"/>
  <c r="GH8" i="13"/>
  <c r="GI14" i="13" s="1"/>
  <c r="GG10" i="13"/>
  <c r="GG12" i="13"/>
  <c r="GD16" i="13"/>
  <c r="FY7" i="13"/>
  <c r="GI8" i="13" s="1"/>
  <c r="GJ14" i="13" s="1"/>
  <c r="FZ13" i="13"/>
  <c r="EB27" i="13"/>
  <c r="EB28" i="13" s="1"/>
  <c r="EB25" i="13"/>
  <c r="BI16" i="13"/>
  <c r="FZ15" i="13"/>
  <c r="GD17" i="13" s="1"/>
  <c r="FZ5" i="13"/>
  <c r="FZ6" i="13"/>
  <c r="EC3" i="13"/>
  <c r="GA4" i="13"/>
  <c r="GH11" i="13" l="1"/>
  <c r="GH12" i="13"/>
  <c r="GH10" i="13"/>
  <c r="GE16" i="13"/>
  <c r="FZ7" i="13"/>
  <c r="GA15" i="13"/>
  <c r="GE17" i="13" s="1"/>
  <c r="GA13" i="13"/>
  <c r="EC27" i="13"/>
  <c r="EC28" i="13" s="1"/>
  <c r="EC25" i="13"/>
  <c r="BH16" i="13"/>
  <c r="GA5" i="13"/>
  <c r="GA6" i="13"/>
  <c r="ED3" i="13"/>
  <c r="GB4" i="13"/>
  <c r="GI11" i="13" l="1"/>
  <c r="GJ8" i="13"/>
  <c r="GK14" i="13" s="1"/>
  <c r="GI10" i="13"/>
  <c r="GI12" i="13"/>
  <c r="GF16" i="13"/>
  <c r="GA7" i="13"/>
  <c r="GB13" i="13"/>
  <c r="GB15" i="13"/>
  <c r="GF17" i="13" s="1"/>
  <c r="ED27" i="13"/>
  <c r="ED28" i="13" s="1"/>
  <c r="ED25" i="13"/>
  <c r="BG16" i="13"/>
  <c r="GB5" i="13"/>
  <c r="GB6" i="13"/>
  <c r="EE3" i="13"/>
  <c r="GC4" i="13"/>
  <c r="GJ11" i="13" l="1"/>
  <c r="GK8" i="13"/>
  <c r="GL14" i="13" s="1"/>
  <c r="GJ12" i="13"/>
  <c r="GJ10" i="13"/>
  <c r="GG16" i="13"/>
  <c r="GB7" i="13"/>
  <c r="GC15" i="13"/>
  <c r="GG17" i="13" s="1"/>
  <c r="GC13" i="13"/>
  <c r="BF16" i="13"/>
  <c r="EE27" i="13"/>
  <c r="EE28" i="13" s="1"/>
  <c r="EE25" i="13"/>
  <c r="GC5" i="13"/>
  <c r="GC6" i="13"/>
  <c r="EF3" i="13"/>
  <c r="GD4" i="13"/>
  <c r="GK12" i="13" l="1"/>
  <c r="GK11" i="13"/>
  <c r="GL8" i="13"/>
  <c r="GM14" i="13" s="1"/>
  <c r="GK10" i="13"/>
  <c r="GH16" i="13"/>
  <c r="GC7" i="13"/>
  <c r="GD15" i="13"/>
  <c r="GH17" i="13" s="1"/>
  <c r="GD13" i="13"/>
  <c r="EF27" i="13"/>
  <c r="EF28" i="13" s="1"/>
  <c r="EF25" i="13"/>
  <c r="BE16" i="13"/>
  <c r="GD5" i="13"/>
  <c r="GD6" i="13"/>
  <c r="EG3" i="13"/>
  <c r="GE4" i="13"/>
  <c r="GL11" i="13" l="1"/>
  <c r="GM8" i="13"/>
  <c r="GN14" i="13" s="1"/>
  <c r="GL12" i="13"/>
  <c r="GL10" i="13"/>
  <c r="GI16" i="13"/>
  <c r="GD7" i="13"/>
  <c r="GE15" i="13"/>
  <c r="GI17" i="13" s="1"/>
  <c r="GE13" i="13"/>
  <c r="EG27" i="13"/>
  <c r="EG28" i="13" s="1"/>
  <c r="EG25" i="13"/>
  <c r="BD16" i="13"/>
  <c r="GE5" i="13"/>
  <c r="GE6" i="13"/>
  <c r="EH3" i="13"/>
  <c r="GF4" i="13"/>
  <c r="GM11" i="13" l="1"/>
  <c r="GN8" i="13"/>
  <c r="GO14" i="13" s="1"/>
  <c r="GM10" i="13"/>
  <c r="GM12" i="13"/>
  <c r="GJ16" i="13"/>
  <c r="GE7" i="13"/>
  <c r="GF15" i="13"/>
  <c r="GJ17" i="13" s="1"/>
  <c r="GF13" i="13"/>
  <c r="EH25" i="13"/>
  <c r="EH27" i="13"/>
  <c r="EH28" i="13" s="1"/>
  <c r="BC16" i="13"/>
  <c r="GF5" i="13"/>
  <c r="GF6" i="13"/>
  <c r="EI3" i="13"/>
  <c r="GG4" i="13"/>
  <c r="GN11" i="13" l="1"/>
  <c r="GO8" i="13"/>
  <c r="GP14" i="13" s="1"/>
  <c r="GN12" i="13"/>
  <c r="GN10" i="13"/>
  <c r="GK16" i="13"/>
  <c r="GF7" i="13"/>
  <c r="GG15" i="13"/>
  <c r="GK17" i="13" s="1"/>
  <c r="GG13" i="13"/>
  <c r="EI27" i="13"/>
  <c r="EI28" i="13" s="1"/>
  <c r="EI25" i="13"/>
  <c r="BB16" i="13"/>
  <c r="GG5" i="13"/>
  <c r="GG6" i="13"/>
  <c r="EJ3" i="13"/>
  <c r="GH4" i="13"/>
  <c r="GO11" i="13" l="1"/>
  <c r="GP8" i="13"/>
  <c r="GQ14" i="13" s="1"/>
  <c r="GO10" i="13"/>
  <c r="GO12" i="13"/>
  <c r="GL16" i="13"/>
  <c r="GG7" i="13"/>
  <c r="GH13" i="13"/>
  <c r="GH15" i="13"/>
  <c r="GL17" i="13" s="1"/>
  <c r="EJ27" i="13"/>
  <c r="EJ28" i="13" s="1"/>
  <c r="EJ25" i="13"/>
  <c r="BA16" i="13"/>
  <c r="GH5" i="13"/>
  <c r="GH6" i="13"/>
  <c r="EK3" i="13"/>
  <c r="GI4" i="13"/>
  <c r="GP11" i="13" l="1"/>
  <c r="GQ8" i="13"/>
  <c r="GR14" i="13" s="1"/>
  <c r="GP12" i="13"/>
  <c r="GP10" i="13"/>
  <c r="GM16" i="13"/>
  <c r="GH7" i="13"/>
  <c r="GI15" i="13"/>
  <c r="GM17" i="13" s="1"/>
  <c r="GI13" i="13"/>
  <c r="EK27" i="13"/>
  <c r="EK28" i="13" s="1"/>
  <c r="EK25" i="13"/>
  <c r="AZ16" i="13"/>
  <c r="GI5" i="13"/>
  <c r="GI6" i="13"/>
  <c r="EL3" i="13"/>
  <c r="GJ4" i="13"/>
  <c r="GQ11" i="13" l="1"/>
  <c r="GR8" i="13"/>
  <c r="GS14" i="13" s="1"/>
  <c r="GQ10" i="13"/>
  <c r="GQ12" i="13"/>
  <c r="GN16" i="13"/>
  <c r="GI7" i="13"/>
  <c r="GJ13" i="13"/>
  <c r="AY16" i="13"/>
  <c r="EL27" i="13"/>
  <c r="EL28" i="13" s="1"/>
  <c r="EL25" i="13"/>
  <c r="GJ15" i="13"/>
  <c r="GN17" i="13" s="1"/>
  <c r="GJ5" i="13"/>
  <c r="GJ6" i="13"/>
  <c r="EM3" i="13"/>
  <c r="GK4" i="13"/>
  <c r="GR11" i="13" l="1"/>
  <c r="GS8" i="13"/>
  <c r="GT14" i="13" s="1"/>
  <c r="GR12" i="13"/>
  <c r="GR10" i="13"/>
  <c r="GO16" i="13"/>
  <c r="GJ7" i="13"/>
  <c r="GK15" i="13"/>
  <c r="GO17" i="13" s="1"/>
  <c r="GK13" i="13"/>
  <c r="AX16" i="13"/>
  <c r="EM27" i="13"/>
  <c r="EM28" i="13" s="1"/>
  <c r="EM25" i="13"/>
  <c r="GK5" i="13"/>
  <c r="GK6" i="13"/>
  <c r="EN3" i="13"/>
  <c r="GL4" i="13"/>
  <c r="GS11" i="13" l="1"/>
  <c r="GT8" i="13"/>
  <c r="GU14" i="13" s="1"/>
  <c r="GS10" i="13"/>
  <c r="GS12" i="13"/>
  <c r="GP16" i="13"/>
  <c r="GK7" i="13"/>
  <c r="GL13" i="13"/>
  <c r="AW16" i="13"/>
  <c r="GL15" i="13"/>
  <c r="GP17" i="13" s="1"/>
  <c r="EN25" i="13"/>
  <c r="EN27" i="13"/>
  <c r="EN28" i="13" s="1"/>
  <c r="GL5" i="13"/>
  <c r="GL6" i="13"/>
  <c r="EO3" i="13"/>
  <c r="GM4" i="13"/>
  <c r="GT11" i="13" l="1"/>
  <c r="GU8" i="13"/>
  <c r="GV14" i="13" s="1"/>
  <c r="GT12" i="13"/>
  <c r="GT10" i="13"/>
  <c r="GQ16" i="13"/>
  <c r="GL7" i="13"/>
  <c r="GM13" i="13"/>
  <c r="GM15" i="13"/>
  <c r="GQ17" i="13" s="1"/>
  <c r="EO27" i="13"/>
  <c r="EO28" i="13" s="1"/>
  <c r="EO25" i="13"/>
  <c r="AV16" i="13"/>
  <c r="GM5" i="13"/>
  <c r="GM6" i="13"/>
  <c r="EP3" i="13"/>
  <c r="GN4" i="13"/>
  <c r="GU11" i="13" l="1"/>
  <c r="GV8" i="13"/>
  <c r="GW14" i="13" s="1"/>
  <c r="GU10" i="13"/>
  <c r="GU12" i="13"/>
  <c r="GR16" i="13"/>
  <c r="GM7" i="13"/>
  <c r="GN13" i="13"/>
  <c r="GN15" i="13"/>
  <c r="GR17" i="13" s="1"/>
  <c r="AU16" i="13"/>
  <c r="EP27" i="13"/>
  <c r="EP28" i="13" s="1"/>
  <c r="EP25" i="13"/>
  <c r="GN5" i="13"/>
  <c r="GN6" i="13"/>
  <c r="EQ3" i="13"/>
  <c r="GO4" i="13"/>
  <c r="GV11" i="13" l="1"/>
  <c r="GW8" i="13"/>
  <c r="GX14" i="13" s="1"/>
  <c r="GV12" i="13"/>
  <c r="GV10" i="13"/>
  <c r="GS16" i="13"/>
  <c r="GN7" i="13"/>
  <c r="GO15" i="13"/>
  <c r="GS17" i="13" s="1"/>
  <c r="GO13" i="13"/>
  <c r="EQ27" i="13"/>
  <c r="EQ28" i="13" s="1"/>
  <c r="EQ25" i="13"/>
  <c r="AT16" i="13"/>
  <c r="GO5" i="13"/>
  <c r="GO6" i="13"/>
  <c r="ER3" i="13"/>
  <c r="GP4" i="13"/>
  <c r="GW10" i="13" l="1"/>
  <c r="GW11" i="13"/>
  <c r="GX8" i="13"/>
  <c r="GY14" i="13" s="1"/>
  <c r="GW12" i="13"/>
  <c r="GT16" i="13"/>
  <c r="GO7" i="13"/>
  <c r="GP15" i="13"/>
  <c r="GT17" i="13" s="1"/>
  <c r="GP13" i="13"/>
  <c r="ER27" i="13"/>
  <c r="ER28" i="13" s="1"/>
  <c r="ER25" i="13"/>
  <c r="AS16" i="13"/>
  <c r="GP5" i="13"/>
  <c r="GP6" i="13"/>
  <c r="ES3" i="13"/>
  <c r="GQ4" i="13"/>
  <c r="GX11" i="13" l="1"/>
  <c r="GY8" i="13"/>
  <c r="GZ14" i="13" s="1"/>
  <c r="GX12" i="13"/>
  <c r="GX10" i="13"/>
  <c r="GU16" i="13"/>
  <c r="GP7" i="13"/>
  <c r="GQ15" i="13"/>
  <c r="GU17" i="13" s="1"/>
  <c r="GQ13" i="13"/>
  <c r="ES27" i="13"/>
  <c r="ES28" i="13" s="1"/>
  <c r="ES25" i="13"/>
  <c r="AR16" i="13"/>
  <c r="GQ5" i="13"/>
  <c r="GQ6" i="13"/>
  <c r="ET3" i="13"/>
  <c r="GR4" i="13"/>
  <c r="GY11" i="13" l="1"/>
  <c r="GZ8" i="13"/>
  <c r="HA14" i="13" s="1"/>
  <c r="GY10" i="13"/>
  <c r="GY12" i="13"/>
  <c r="GV16" i="13"/>
  <c r="GQ7" i="13"/>
  <c r="GR15" i="13"/>
  <c r="GV17" i="13" s="1"/>
  <c r="GR13" i="13"/>
  <c r="ET25" i="13"/>
  <c r="ET27" i="13"/>
  <c r="ET28" i="13" s="1"/>
  <c r="AQ16" i="13"/>
  <c r="GR5" i="13"/>
  <c r="GR6" i="13"/>
  <c r="EU3" i="13"/>
  <c r="GS4" i="13"/>
  <c r="GZ11" i="13" l="1"/>
  <c r="HA8" i="13"/>
  <c r="HB14" i="13" s="1"/>
  <c r="GZ12" i="13"/>
  <c r="GZ10" i="13"/>
  <c r="GW16" i="13"/>
  <c r="GR7" i="13"/>
  <c r="GS13" i="13"/>
  <c r="GS15" i="13"/>
  <c r="GW17" i="13" s="1"/>
  <c r="EU27" i="13"/>
  <c r="EU28" i="13" s="1"/>
  <c r="EU25" i="13"/>
  <c r="AP16" i="13"/>
  <c r="GS5" i="13"/>
  <c r="GS6" i="13"/>
  <c r="EV3" i="13"/>
  <c r="GT4" i="13"/>
  <c r="HA11" i="13" l="1"/>
  <c r="HB8" i="13"/>
  <c r="HC14" i="13" s="1"/>
  <c r="HA10" i="13"/>
  <c r="HA12" i="13"/>
  <c r="GX16" i="13"/>
  <c r="GS7" i="13"/>
  <c r="GT13" i="13"/>
  <c r="GT15" i="13"/>
  <c r="GX17" i="13" s="1"/>
  <c r="EV25" i="13"/>
  <c r="EV27" i="13"/>
  <c r="EV28" i="13" s="1"/>
  <c r="AO16" i="13"/>
  <c r="GT5" i="13"/>
  <c r="GT6" i="13"/>
  <c r="EW3" i="13"/>
  <c r="GU4" i="13"/>
  <c r="HB11" i="13" l="1"/>
  <c r="HC8" i="13"/>
  <c r="HD14" i="13" s="1"/>
  <c r="HB12" i="13"/>
  <c r="HB10" i="13"/>
  <c r="GY16" i="13"/>
  <c r="GT7" i="13"/>
  <c r="GU15" i="13"/>
  <c r="GY17" i="13" s="1"/>
  <c r="GU13" i="13"/>
  <c r="AN16" i="13"/>
  <c r="EW27" i="13"/>
  <c r="EW28" i="13" s="1"/>
  <c r="EW25" i="13"/>
  <c r="GU5" i="13"/>
  <c r="GU6" i="13"/>
  <c r="EX3" i="13"/>
  <c r="GV4" i="13"/>
  <c r="HC11" i="13" l="1"/>
  <c r="HD8" i="13"/>
  <c r="HE14" i="13" s="1"/>
  <c r="HC10" i="13"/>
  <c r="HC12" i="13"/>
  <c r="GZ16" i="13"/>
  <c r="GU7" i="13"/>
  <c r="GV15" i="13"/>
  <c r="GZ17" i="13" s="1"/>
  <c r="GV13" i="13"/>
  <c r="EX25" i="13"/>
  <c r="EX27" i="13"/>
  <c r="EX28" i="13" s="1"/>
  <c r="AM16" i="13"/>
  <c r="GV5" i="13"/>
  <c r="GV6" i="13"/>
  <c r="EY3" i="13"/>
  <c r="GW4" i="13"/>
  <c r="HD11" i="13" l="1"/>
  <c r="HE8" i="13"/>
  <c r="HF14" i="13" s="1"/>
  <c r="HD12" i="13"/>
  <c r="HD10" i="13"/>
  <c r="HA16" i="13"/>
  <c r="GV7" i="13"/>
  <c r="GW15" i="13"/>
  <c r="HA17" i="13" s="1"/>
  <c r="GW13" i="13"/>
  <c r="EY27" i="13"/>
  <c r="EY28" i="13" s="1"/>
  <c r="EY25" i="13"/>
  <c r="AL16" i="13"/>
  <c r="GW5" i="13"/>
  <c r="GW6" i="13"/>
  <c r="EZ3" i="13"/>
  <c r="GX4" i="13"/>
  <c r="HE11" i="13" l="1"/>
  <c r="HF8" i="13"/>
  <c r="HG14" i="13" s="1"/>
  <c r="HE10" i="13"/>
  <c r="HE12" i="13"/>
  <c r="HB16" i="13"/>
  <c r="GW7" i="13"/>
  <c r="GX15" i="13"/>
  <c r="HB17" i="13" s="1"/>
  <c r="GX13" i="13"/>
  <c r="EZ27" i="13"/>
  <c r="EZ28" i="13" s="1"/>
  <c r="EZ25" i="13"/>
  <c r="AK16" i="13"/>
  <c r="GX5" i="13"/>
  <c r="GX6" i="13"/>
  <c r="FA3" i="13"/>
  <c r="GY4" i="13"/>
  <c r="HF11" i="13" l="1"/>
  <c r="HG8" i="13"/>
  <c r="HH14" i="13" s="1"/>
  <c r="HF12" i="13"/>
  <c r="HF10" i="13"/>
  <c r="HC16" i="13"/>
  <c r="GX7" i="13"/>
  <c r="GY13" i="13"/>
  <c r="FA27" i="13"/>
  <c r="FA28" i="13" s="1"/>
  <c r="FA25" i="13"/>
  <c r="GY15" i="13"/>
  <c r="HC17" i="13" s="1"/>
  <c r="AJ16" i="13"/>
  <c r="GY5" i="13"/>
  <c r="GY6" i="13"/>
  <c r="FB3" i="13"/>
  <c r="GZ4" i="13"/>
  <c r="HG11" i="13" l="1"/>
  <c r="HH8" i="13"/>
  <c r="HI14" i="13" s="1"/>
  <c r="HG12" i="13"/>
  <c r="HG10" i="13"/>
  <c r="HD16" i="13"/>
  <c r="GY7" i="13"/>
  <c r="GZ13" i="13"/>
  <c r="GZ15" i="13"/>
  <c r="HD17" i="13" s="1"/>
  <c r="AI16" i="13"/>
  <c r="FB27" i="13"/>
  <c r="FB28" i="13" s="1"/>
  <c r="FB25" i="13"/>
  <c r="GZ5" i="13"/>
  <c r="GZ6" i="13"/>
  <c r="FC3" i="13"/>
  <c r="HA4" i="13"/>
  <c r="HH12" i="13" l="1"/>
  <c r="HH11" i="13"/>
  <c r="HI8" i="13"/>
  <c r="HJ14" i="13" s="1"/>
  <c r="HH10" i="13"/>
  <c r="HE16" i="13"/>
  <c r="GZ7" i="13"/>
  <c r="HA13" i="13"/>
  <c r="AH16" i="13"/>
  <c r="HA15" i="13"/>
  <c r="HE17" i="13" s="1"/>
  <c r="FC27" i="13"/>
  <c r="FC28" i="13" s="1"/>
  <c r="FC25" i="13"/>
  <c r="HA5" i="13"/>
  <c r="HA6" i="13"/>
  <c r="FD3" i="13"/>
  <c r="HB4" i="13"/>
  <c r="HI11" i="13" l="1"/>
  <c r="HJ8" i="13"/>
  <c r="HK14" i="13" s="1"/>
  <c r="HI12" i="13"/>
  <c r="HI10" i="13"/>
  <c r="HF16" i="13"/>
  <c r="HA7" i="13"/>
  <c r="HB13" i="13"/>
  <c r="HB15" i="13"/>
  <c r="HF17" i="13" s="1"/>
  <c r="AG16" i="13"/>
  <c r="FD25" i="13"/>
  <c r="FD27" i="13"/>
  <c r="FD28" i="13" s="1"/>
  <c r="HB5" i="13"/>
  <c r="HB6" i="13"/>
  <c r="FE3" i="13"/>
  <c r="HC4" i="13"/>
  <c r="HJ11" i="13" l="1"/>
  <c r="HK8" i="13"/>
  <c r="HL14" i="13" s="1"/>
  <c r="HJ10" i="13"/>
  <c r="HJ12" i="13"/>
  <c r="HG16" i="13"/>
  <c r="HB7" i="13"/>
  <c r="HC15" i="13"/>
  <c r="HG17" i="13" s="1"/>
  <c r="HC13" i="13"/>
  <c r="AF16" i="13"/>
  <c r="FE27" i="13"/>
  <c r="FE28" i="13" s="1"/>
  <c r="FE25" i="13"/>
  <c r="HC5" i="13"/>
  <c r="HC6" i="13"/>
  <c r="FF3" i="13"/>
  <c r="HD4" i="13"/>
  <c r="HK11" i="13" l="1"/>
  <c r="HL8" i="13"/>
  <c r="HM14" i="13" s="1"/>
  <c r="HK12" i="13"/>
  <c r="HK10" i="13"/>
  <c r="HH16" i="13"/>
  <c r="HC7" i="13"/>
  <c r="HD13" i="13"/>
  <c r="HD15" i="13"/>
  <c r="HH17" i="13" s="1"/>
  <c r="FF27" i="13"/>
  <c r="FF28" i="13" s="1"/>
  <c r="FF25" i="13"/>
  <c r="AE16" i="13"/>
  <c r="HD5" i="13"/>
  <c r="HD6" i="13"/>
  <c r="FG3" i="13"/>
  <c r="HE4" i="13"/>
  <c r="HL10" i="13" l="1"/>
  <c r="HL11" i="13"/>
  <c r="HM8" i="13"/>
  <c r="HN14" i="13" s="1"/>
  <c r="HL12" i="13"/>
  <c r="HI16" i="13"/>
  <c r="HD7" i="13"/>
  <c r="HE13" i="13"/>
  <c r="HE15" i="13"/>
  <c r="HI17" i="13" s="1"/>
  <c r="FG27" i="13"/>
  <c r="FG28" i="13" s="1"/>
  <c r="FG25" i="13"/>
  <c r="HE5" i="13"/>
  <c r="HE6" i="13"/>
  <c r="FH3" i="13"/>
  <c r="HF4" i="13"/>
  <c r="HM12" i="13" l="1"/>
  <c r="HM11" i="13"/>
  <c r="HN8" i="13"/>
  <c r="HO14" i="13" s="1"/>
  <c r="HM10" i="13"/>
  <c r="HJ16" i="13"/>
  <c r="HE7" i="13"/>
  <c r="HF15" i="13"/>
  <c r="HJ17" i="13" s="1"/>
  <c r="HF13" i="13"/>
  <c r="FH27" i="13"/>
  <c r="FH28" i="13" s="1"/>
  <c r="FH25" i="13"/>
  <c r="HF5" i="13"/>
  <c r="HF6" i="13"/>
  <c r="FI3" i="13"/>
  <c r="HG4" i="13"/>
  <c r="HN10" i="13" l="1"/>
  <c r="HN11" i="13"/>
  <c r="HO8" i="13"/>
  <c r="HP14" i="13" s="1"/>
  <c r="HN12" i="13"/>
  <c r="HK16" i="13"/>
  <c r="HF7" i="13"/>
  <c r="HG13" i="13"/>
  <c r="FI27" i="13"/>
  <c r="FI28" i="13" s="1"/>
  <c r="FI25" i="13"/>
  <c r="HG15" i="13"/>
  <c r="HK17" i="13" s="1"/>
  <c r="HG5" i="13"/>
  <c r="HG6" i="13"/>
  <c r="FJ3" i="13"/>
  <c r="HH4" i="13"/>
  <c r="HO12" i="13" l="1"/>
  <c r="HO11" i="13"/>
  <c r="HP8" i="13"/>
  <c r="HQ14" i="13" s="1"/>
  <c r="HO10" i="13"/>
  <c r="HL16" i="13"/>
  <c r="HG7" i="13"/>
  <c r="HH13" i="13"/>
  <c r="HH15" i="13"/>
  <c r="HL17" i="13" s="1"/>
  <c r="FJ25" i="13"/>
  <c r="FJ27" i="13"/>
  <c r="FJ28" i="13" s="1"/>
  <c r="HH5" i="13"/>
  <c r="HH6" i="13"/>
  <c r="FK3" i="13"/>
  <c r="HI4" i="13"/>
  <c r="HP11" i="13" l="1"/>
  <c r="HQ8" i="13"/>
  <c r="HR14" i="13" s="1"/>
  <c r="HP10" i="13"/>
  <c r="HP12" i="13"/>
  <c r="HM16" i="13"/>
  <c r="HH7" i="13"/>
  <c r="HI13" i="13"/>
  <c r="HI15" i="13"/>
  <c r="HM17" i="13" s="1"/>
  <c r="FK27" i="13"/>
  <c r="FK28" i="13" s="1"/>
  <c r="FK25" i="13"/>
  <c r="HI5" i="13"/>
  <c r="HI6" i="13"/>
  <c r="FL3" i="13"/>
  <c r="HJ4" i="13"/>
  <c r="HQ12" i="13" l="1"/>
  <c r="HQ11" i="13"/>
  <c r="HR8" i="13"/>
  <c r="HS14" i="13" s="1"/>
  <c r="HQ10" i="13"/>
  <c r="HN16" i="13"/>
  <c r="HI7" i="13"/>
  <c r="HJ13" i="13"/>
  <c r="FL27" i="13"/>
  <c r="FL28" i="13" s="1"/>
  <c r="FL25" i="13"/>
  <c r="HJ15" i="13"/>
  <c r="HN17" i="13" s="1"/>
  <c r="HJ5" i="13"/>
  <c r="HJ6" i="13"/>
  <c r="FM3" i="13"/>
  <c r="HK4" i="13"/>
  <c r="HR11" i="13" l="1"/>
  <c r="HS8" i="13"/>
  <c r="HT14" i="13" s="1"/>
  <c r="HR12" i="13"/>
  <c r="HR10" i="13"/>
  <c r="HO16" i="13"/>
  <c r="HJ7" i="13"/>
  <c r="HT8" i="13" s="1"/>
  <c r="HU14" i="13" s="1"/>
  <c r="HK13" i="13"/>
  <c r="HK15" i="13"/>
  <c r="HO17" i="13" s="1"/>
  <c r="FM27" i="13"/>
  <c r="FM28" i="13" s="1"/>
  <c r="FM25" i="13"/>
  <c r="HK5" i="13"/>
  <c r="HK6" i="13"/>
  <c r="FN3" i="13"/>
  <c r="HL4" i="13"/>
  <c r="HS10" i="13" l="1"/>
  <c r="HS11" i="13"/>
  <c r="HS12" i="13"/>
  <c r="HP16" i="13"/>
  <c r="HK7" i="13"/>
  <c r="HL13" i="13"/>
  <c r="HL15" i="13"/>
  <c r="HP17" i="13" s="1"/>
  <c r="FN25" i="13"/>
  <c r="FN27" i="13"/>
  <c r="FN28" i="13" s="1"/>
  <c r="HL5" i="13"/>
  <c r="HL6" i="13"/>
  <c r="FO3" i="13"/>
  <c r="HM4" i="13"/>
  <c r="HT11" i="13" l="1"/>
  <c r="HU8" i="13"/>
  <c r="HV14" i="13" s="1"/>
  <c r="HT12" i="13"/>
  <c r="HT10" i="13"/>
  <c r="HQ16" i="13"/>
  <c r="HL7" i="13"/>
  <c r="HM15" i="13"/>
  <c r="HQ17" i="13" s="1"/>
  <c r="HM13" i="13"/>
  <c r="FO27" i="13"/>
  <c r="FO28" i="13" s="1"/>
  <c r="FO25" i="13"/>
  <c r="HM5" i="13"/>
  <c r="HM6" i="13"/>
  <c r="FP3" i="13"/>
  <c r="HN4" i="13"/>
  <c r="HU10" i="13" l="1"/>
  <c r="HU11" i="13"/>
  <c r="HV8" i="13"/>
  <c r="HW14" i="13" s="1"/>
  <c r="HU12" i="13"/>
  <c r="HR16" i="13"/>
  <c r="HM7" i="13"/>
  <c r="HN13" i="13"/>
  <c r="FP27" i="13"/>
  <c r="FP28" i="13" s="1"/>
  <c r="FP25" i="13"/>
  <c r="HN15" i="13"/>
  <c r="HR17" i="13" s="1"/>
  <c r="HN5" i="13"/>
  <c r="HN6" i="13"/>
  <c r="FQ3" i="13"/>
  <c r="HO4" i="13"/>
  <c r="HV11" i="13" l="1"/>
  <c r="HW8" i="13"/>
  <c r="HX14" i="13" s="1"/>
  <c r="HV12" i="13"/>
  <c r="HV10" i="13"/>
  <c r="HS16" i="13"/>
  <c r="HN7" i="13"/>
  <c r="HO15" i="13"/>
  <c r="HS17" i="13" s="1"/>
  <c r="HO13" i="13"/>
  <c r="FQ27" i="13"/>
  <c r="FQ28" i="13" s="1"/>
  <c r="FQ25" i="13"/>
  <c r="HO5" i="13"/>
  <c r="HO6" i="13"/>
  <c r="FR3" i="13"/>
  <c r="HP4" i="13"/>
  <c r="HW11" i="13" l="1"/>
  <c r="HX8" i="13"/>
  <c r="HY14" i="13" s="1"/>
  <c r="HW10" i="13"/>
  <c r="HW12" i="13"/>
  <c r="HT16" i="13"/>
  <c r="HO7" i="13"/>
  <c r="HP13" i="13"/>
  <c r="HP15" i="13"/>
  <c r="HT17" i="13" s="1"/>
  <c r="FR27" i="13"/>
  <c r="FR28" i="13" s="1"/>
  <c r="FR25" i="13"/>
  <c r="HP5" i="13"/>
  <c r="HP6" i="13"/>
  <c r="FS3" i="13"/>
  <c r="HQ4" i="13"/>
  <c r="HX11" i="13" l="1"/>
  <c r="HY8" i="13"/>
  <c r="HZ14" i="13" s="1"/>
  <c r="HX12" i="13"/>
  <c r="HX10" i="13"/>
  <c r="HU16" i="13"/>
  <c r="HP7" i="13"/>
  <c r="HQ15" i="13"/>
  <c r="HU17" i="13" s="1"/>
  <c r="HQ13" i="13"/>
  <c r="FS27" i="13"/>
  <c r="FS28" i="13" s="1"/>
  <c r="FS25" i="13"/>
  <c r="HQ5" i="13"/>
  <c r="HQ6" i="13"/>
  <c r="FT3" i="13"/>
  <c r="HR4" i="13"/>
  <c r="HY10" i="13" l="1"/>
  <c r="HY11" i="13"/>
  <c r="HZ8" i="13"/>
  <c r="IA14" i="13" s="1"/>
  <c r="HY12" i="13"/>
  <c r="HV16" i="13"/>
  <c r="HQ7" i="13"/>
  <c r="HR15" i="13"/>
  <c r="HV17" i="13" s="1"/>
  <c r="HR13" i="13"/>
  <c r="FT25" i="13"/>
  <c r="FT27" i="13"/>
  <c r="FT28" i="13" s="1"/>
  <c r="HR5" i="13"/>
  <c r="HR6" i="13"/>
  <c r="FU3" i="13"/>
  <c r="HS4" i="13"/>
  <c r="HZ11" i="13" l="1"/>
  <c r="IA8" i="13"/>
  <c r="IB14" i="13" s="1"/>
  <c r="HZ12" i="13"/>
  <c r="HZ10" i="13"/>
  <c r="HW16" i="13"/>
  <c r="HR7" i="13"/>
  <c r="HS13" i="13"/>
  <c r="FU27" i="13"/>
  <c r="FU28" i="13" s="1"/>
  <c r="FU25" i="13"/>
  <c r="HS15" i="13"/>
  <c r="HW17" i="13" s="1"/>
  <c r="HS5" i="13"/>
  <c r="HS6" i="13"/>
  <c r="FV3" i="13"/>
  <c r="HT4" i="13"/>
  <c r="IA10" i="13" l="1"/>
  <c r="IA11" i="13"/>
  <c r="IB8" i="13"/>
  <c r="IC14" i="13" s="1"/>
  <c r="IA12" i="13"/>
  <c r="HX16" i="13"/>
  <c r="HS7" i="13"/>
  <c r="HT13" i="13"/>
  <c r="FV25" i="13"/>
  <c r="FV27" i="13"/>
  <c r="FV28" i="13" s="1"/>
  <c r="HT15" i="13"/>
  <c r="HX17" i="13" s="1"/>
  <c r="HT5" i="13"/>
  <c r="HT6" i="13"/>
  <c r="FW3" i="13"/>
  <c r="HU4" i="13"/>
  <c r="IB12" i="13" l="1"/>
  <c r="IB11" i="13"/>
  <c r="IB10" i="13"/>
  <c r="IC8" i="13"/>
  <c r="ID14" i="13" s="1"/>
  <c r="HY16" i="13"/>
  <c r="HT7" i="13"/>
  <c r="HU13" i="13"/>
  <c r="HU15" i="13"/>
  <c r="HY17" i="13" s="1"/>
  <c r="FW27" i="13"/>
  <c r="FW28" i="13" s="1"/>
  <c r="FW25" i="13"/>
  <c r="HU5" i="13"/>
  <c r="HU6" i="13"/>
  <c r="FX3" i="13"/>
  <c r="HV4" i="13"/>
  <c r="IC10" i="13" l="1"/>
  <c r="IC11" i="13"/>
  <c r="ID8" i="13"/>
  <c r="IE14" i="13" s="1"/>
  <c r="IC12" i="13"/>
  <c r="HZ16" i="13"/>
  <c r="HU7" i="13"/>
  <c r="HV13" i="13"/>
  <c r="HV15" i="13"/>
  <c r="HZ17" i="13" s="1"/>
  <c r="FX27" i="13"/>
  <c r="FX28" i="13" s="1"/>
  <c r="FX25" i="13"/>
  <c r="HV5" i="13"/>
  <c r="HV6" i="13"/>
  <c r="FY3" i="13"/>
  <c r="HW4" i="13"/>
  <c r="ID12" i="13" l="1"/>
  <c r="ID11" i="13"/>
  <c r="IE8" i="13"/>
  <c r="IF14" i="13" s="1"/>
  <c r="ID10" i="13"/>
  <c r="IA16" i="13"/>
  <c r="HV7" i="13"/>
  <c r="HW15" i="13"/>
  <c r="IA17" i="13" s="1"/>
  <c r="HW13" i="13"/>
  <c r="FY27" i="13"/>
  <c r="FY28" i="13" s="1"/>
  <c r="FY25" i="13"/>
  <c r="HW5" i="13"/>
  <c r="HW6" i="13"/>
  <c r="FZ3" i="13"/>
  <c r="HX4" i="13"/>
  <c r="IE10" i="13" l="1"/>
  <c r="IE11" i="13"/>
  <c r="IE12" i="13"/>
  <c r="IF8" i="13"/>
  <c r="IG14" i="13" s="1"/>
  <c r="IB16" i="13"/>
  <c r="HW7" i="13"/>
  <c r="HX13" i="13"/>
  <c r="HX15" i="13"/>
  <c r="IB17" i="13" s="1"/>
  <c r="FZ25" i="13"/>
  <c r="FZ27" i="13"/>
  <c r="FZ28" i="13" s="1"/>
  <c r="HX5" i="13"/>
  <c r="HX6" i="13"/>
  <c r="GA3" i="13"/>
  <c r="HY4" i="13"/>
  <c r="IF12" i="13" l="1"/>
  <c r="IG8" i="13"/>
  <c r="IH14" i="13" s="1"/>
  <c r="IF11" i="13"/>
  <c r="IF10" i="13"/>
  <c r="IC16" i="13"/>
  <c r="HX7" i="13"/>
  <c r="HY13" i="13"/>
  <c r="GA27" i="13"/>
  <c r="GA28" i="13" s="1"/>
  <c r="GA25" i="13"/>
  <c r="HY15" i="13"/>
  <c r="IC17" i="13" s="1"/>
  <c r="HY5" i="13"/>
  <c r="HY6" i="13"/>
  <c r="GB3" i="13"/>
  <c r="HZ4" i="13"/>
  <c r="IG12" i="13" l="1"/>
  <c r="IH8" i="13"/>
  <c r="II14" i="13" s="1"/>
  <c r="IG10" i="13"/>
  <c r="IG11" i="13"/>
  <c r="ID16" i="13"/>
  <c r="HY7" i="13"/>
  <c r="HZ15" i="13"/>
  <c r="ID17" i="13" s="1"/>
  <c r="HZ13" i="13"/>
  <c r="GB27" i="13"/>
  <c r="GB28" i="13" s="1"/>
  <c r="GB25" i="13"/>
  <c r="HZ5" i="13"/>
  <c r="HZ6" i="13"/>
  <c r="GC3" i="13"/>
  <c r="IA4" i="13"/>
  <c r="IH12" i="13" l="1"/>
  <c r="II8" i="13"/>
  <c r="IJ14" i="13" s="1"/>
  <c r="IH11" i="13"/>
  <c r="IH10" i="13"/>
  <c r="IE16" i="13"/>
  <c r="HZ7" i="13"/>
  <c r="IA13" i="13"/>
  <c r="GC27" i="13"/>
  <c r="GC28" i="13" s="1"/>
  <c r="GC25" i="13"/>
  <c r="IA15" i="13"/>
  <c r="IE17" i="13" s="1"/>
  <c r="IA5" i="13"/>
  <c r="IA6" i="13"/>
  <c r="GD3" i="13"/>
  <c r="IB4" i="13"/>
  <c r="II12" i="13" l="1"/>
  <c r="IJ8" i="13"/>
  <c r="IK14" i="13" s="1"/>
  <c r="II10" i="13"/>
  <c r="II11" i="13"/>
  <c r="IF16" i="13"/>
  <c r="IA7" i="13"/>
  <c r="IB13" i="13"/>
  <c r="IB15" i="13"/>
  <c r="IF17" i="13" s="1"/>
  <c r="GD25" i="13"/>
  <c r="GD27" i="13"/>
  <c r="GD28" i="13" s="1"/>
  <c r="IB5" i="13"/>
  <c r="IB6" i="13"/>
  <c r="GE3" i="13"/>
  <c r="IC4" i="13"/>
  <c r="IJ11" i="13" l="1"/>
  <c r="IJ12" i="13"/>
  <c r="IK8" i="13"/>
  <c r="IL14" i="13" s="1"/>
  <c r="IJ10" i="13"/>
  <c r="IG16" i="13"/>
  <c r="IB7" i="13"/>
  <c r="IC13" i="13"/>
  <c r="IC15" i="13"/>
  <c r="IG17" i="13" s="1"/>
  <c r="GE27" i="13"/>
  <c r="GE28" i="13" s="1"/>
  <c r="GE25" i="13"/>
  <c r="IC5" i="13"/>
  <c r="IC6" i="13"/>
  <c r="GF3" i="13"/>
  <c r="ID4" i="13"/>
  <c r="IK12" i="13" l="1"/>
  <c r="IL8" i="13"/>
  <c r="IM14" i="13" s="1"/>
  <c r="IK10" i="13"/>
  <c r="IK11" i="13"/>
  <c r="IH16" i="13"/>
  <c r="IC7" i="13"/>
  <c r="IM8" i="13" s="1"/>
  <c r="IN14" i="13" s="1"/>
  <c r="ID15" i="13"/>
  <c r="IH17" i="13" s="1"/>
  <c r="ID13" i="13"/>
  <c r="GF27" i="13"/>
  <c r="GF28" i="13" s="1"/>
  <c r="GF25" i="13"/>
  <c r="ID5" i="13"/>
  <c r="ID6" i="13"/>
  <c r="GG3" i="13"/>
  <c r="IE4" i="13"/>
  <c r="IL12" i="13" l="1"/>
  <c r="IL11" i="13"/>
  <c r="IL10" i="13"/>
  <c r="II16" i="13"/>
  <c r="ID7" i="13"/>
  <c r="IE13" i="13"/>
  <c r="GG27" i="13"/>
  <c r="GG28" i="13" s="1"/>
  <c r="GG25" i="13"/>
  <c r="IE15" i="13"/>
  <c r="II17" i="13" s="1"/>
  <c r="IE5" i="13"/>
  <c r="IE6" i="13"/>
  <c r="GH3" i="13"/>
  <c r="IF4" i="13"/>
  <c r="IM12" i="13" l="1"/>
  <c r="IN8" i="13"/>
  <c r="IM10" i="13"/>
  <c r="IM11" i="13"/>
  <c r="IJ16" i="13"/>
  <c r="IE7" i="13"/>
  <c r="IF13" i="13"/>
  <c r="GH27" i="13"/>
  <c r="GH28" i="13" s="1"/>
  <c r="GH25" i="13"/>
  <c r="IF15" i="13"/>
  <c r="IJ17" i="13" s="1"/>
  <c r="IF5" i="13"/>
  <c r="IF6" i="13"/>
  <c r="GI3" i="13"/>
  <c r="IG4" i="13"/>
  <c r="IN12" i="13" l="1"/>
  <c r="IN11" i="13"/>
  <c r="IN10" i="13"/>
  <c r="IK16" i="13"/>
  <c r="IF7" i="13"/>
  <c r="IG13" i="13"/>
  <c r="IG15" i="13"/>
  <c r="IK17" i="13" s="1"/>
  <c r="GI27" i="13"/>
  <c r="GI28" i="13" s="1"/>
  <c r="GI25" i="13"/>
  <c r="IG5" i="13"/>
  <c r="IG6" i="13"/>
  <c r="GJ3" i="13"/>
  <c r="IH4" i="13"/>
  <c r="IL16" i="13" l="1"/>
  <c r="IG7" i="13"/>
  <c r="IH15" i="13"/>
  <c r="IL17" i="13" s="1"/>
  <c r="IH13" i="13"/>
  <c r="GJ25" i="13"/>
  <c r="GJ27" i="13"/>
  <c r="GJ28" i="13" s="1"/>
  <c r="IH5" i="13"/>
  <c r="IH6" i="13"/>
  <c r="GK3" i="13"/>
  <c r="II4" i="13"/>
  <c r="IM16" i="13" l="1"/>
  <c r="IH7" i="13"/>
  <c r="II13" i="13"/>
  <c r="II15" i="13"/>
  <c r="IM17" i="13" s="1"/>
  <c r="GK27" i="13"/>
  <c r="GK28" i="13" s="1"/>
  <c r="GK25" i="13"/>
  <c r="II5" i="13"/>
  <c r="II6" i="13"/>
  <c r="GL3" i="13"/>
  <c r="IJ4" i="13"/>
  <c r="IN16" i="13" l="1"/>
  <c r="II7" i="13"/>
  <c r="IJ13" i="13"/>
  <c r="IJ15" i="13"/>
  <c r="IN17" i="13" s="1"/>
  <c r="GL25" i="13"/>
  <c r="GL27" i="13"/>
  <c r="GL28" i="13" s="1"/>
  <c r="IJ5" i="13"/>
  <c r="IJ6" i="13"/>
  <c r="GM3" i="13"/>
  <c r="IK4" i="13"/>
  <c r="IJ7" i="13" l="1"/>
  <c r="IK15" i="13"/>
  <c r="IK13" i="13"/>
  <c r="GM27" i="13"/>
  <c r="GM28" i="13" s="1"/>
  <c r="GM25" i="13"/>
  <c r="IK5" i="13"/>
  <c r="IK6" i="13"/>
  <c r="GN3" i="13"/>
  <c r="IL4" i="13"/>
  <c r="IK7" i="13" l="1"/>
  <c r="IL13" i="13"/>
  <c r="IL15" i="13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1" i="13" l="1"/>
  <c r="C18" i="15" s="1"/>
  <c r="C6" i="13"/>
  <c r="C7" i="13" s="1"/>
  <c r="G9" i="13"/>
  <c r="G20" i="13" s="1"/>
  <c r="G26" i="13" s="1"/>
  <c r="GR27" i="13"/>
  <c r="GR28" i="13" s="1"/>
  <c r="GR25" i="13"/>
  <c r="GS3" i="13"/>
  <c r="H15" i="13" l="1"/>
  <c r="C12" i="15"/>
  <c r="C38" i="15" s="1"/>
  <c r="C27" i="13"/>
  <c r="C14" i="15"/>
  <c r="H9" i="13"/>
  <c r="GS27" i="13"/>
  <c r="GS28" i="13" s="1"/>
  <c r="GS25" i="13"/>
  <c r="GT3" i="13"/>
  <c r="G15" i="13" l="1"/>
  <c r="J17" i="13"/>
  <c r="AK21" i="13"/>
  <c r="AK22" i="13"/>
  <c r="AK23" i="13"/>
  <c r="I9" i="13"/>
  <c r="H23" i="13"/>
  <c r="H21" i="13"/>
  <c r="H22" i="13"/>
  <c r="H20" i="13"/>
  <c r="H26" i="13" s="1"/>
  <c r="GT25" i="13"/>
  <c r="GT27" i="13"/>
  <c r="GT28" i="13" s="1"/>
  <c r="GU3" i="13"/>
  <c r="G17" i="13" l="1"/>
  <c r="H17" i="13"/>
  <c r="I17" i="13"/>
  <c r="J9" i="13"/>
  <c r="I22" i="13"/>
  <c r="I21" i="13"/>
  <c r="I23" i="13"/>
  <c r="I20" i="13"/>
  <c r="I26" i="13" s="1"/>
  <c r="AL23" i="13"/>
  <c r="AL22" i="13"/>
  <c r="AL21" i="13"/>
  <c r="GU27" i="13"/>
  <c r="GU28" i="13" s="1"/>
  <c r="GU25" i="13"/>
  <c r="GV3" i="13"/>
  <c r="AM22" i="13" l="1"/>
  <c r="AM21" i="13"/>
  <c r="AM23" i="13"/>
  <c r="K9" i="13"/>
  <c r="J22" i="13"/>
  <c r="J23" i="13"/>
  <c r="J21" i="13"/>
  <c r="J20" i="13"/>
  <c r="J26" i="13" s="1"/>
  <c r="GV27" i="13"/>
  <c r="GV28" i="13" s="1"/>
  <c r="GV25" i="13"/>
  <c r="GW3" i="13"/>
  <c r="L9" i="13" l="1"/>
  <c r="K23" i="13"/>
  <c r="K22" i="13"/>
  <c r="K21" i="13"/>
  <c r="K20" i="13"/>
  <c r="K26" i="13" s="1"/>
  <c r="AN23" i="13"/>
  <c r="AN21" i="13"/>
  <c r="AN22" i="13"/>
  <c r="GW27" i="13"/>
  <c r="GW28" i="13" s="1"/>
  <c r="GW25" i="13"/>
  <c r="GX3" i="13"/>
  <c r="AO21" i="13" l="1"/>
  <c r="AO22" i="13"/>
  <c r="AO23" i="13"/>
  <c r="M9" i="13"/>
  <c r="L21" i="13"/>
  <c r="L23" i="13"/>
  <c r="L22" i="13"/>
  <c r="L20" i="13"/>
  <c r="L26" i="13" s="1"/>
  <c r="GX27" i="13"/>
  <c r="GX28" i="13" s="1"/>
  <c r="GX25" i="13"/>
  <c r="GY3" i="13"/>
  <c r="AP23" i="13" l="1"/>
  <c r="AP22" i="13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3" i="13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3" i="13"/>
  <c r="AR22" i="13"/>
  <c r="AR21" i="13"/>
  <c r="HA27" i="13"/>
  <c r="HA28" i="13" s="1"/>
  <c r="HA25" i="13"/>
  <c r="HB3" i="13"/>
  <c r="AS22" i="13" l="1"/>
  <c r="AS21" i="13"/>
  <c r="AS23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AT23" i="13"/>
  <c r="Q21" i="13"/>
  <c r="Q22" i="13"/>
  <c r="Q23" i="13"/>
  <c r="R9" i="13"/>
  <c r="S9" i="13" s="1"/>
  <c r="T9" i="13" s="1"/>
  <c r="U9" i="13" s="1"/>
  <c r="Q20" i="13"/>
  <c r="Q26" i="13" s="1"/>
  <c r="HC27" i="13"/>
  <c r="HC28" i="13" s="1"/>
  <c r="HC25" i="13"/>
  <c r="HD3" i="13"/>
  <c r="V9" i="13" l="1"/>
  <c r="U20" i="13"/>
  <c r="AU22" i="13"/>
  <c r="AU21" i="13"/>
  <c r="AU23" i="13"/>
  <c r="R23" i="13"/>
  <c r="R22" i="13"/>
  <c r="R21" i="13"/>
  <c r="R20" i="13"/>
  <c r="R26" i="13" s="1"/>
  <c r="HD27" i="13"/>
  <c r="HD28" i="13" s="1"/>
  <c r="HD25" i="13"/>
  <c r="HE3" i="13"/>
  <c r="V20" i="13" l="1"/>
  <c r="V26" i="13" s="1"/>
  <c r="W9" i="13"/>
  <c r="T20" i="13"/>
  <c r="U26" i="13" s="1"/>
  <c r="U23" i="13"/>
  <c r="U21" i="13"/>
  <c r="U22" i="13"/>
  <c r="AV23" i="13"/>
  <c r="AV21" i="13"/>
  <c r="AV22" i="13"/>
  <c r="S23" i="13"/>
  <c r="S21" i="13"/>
  <c r="S22" i="13"/>
  <c r="S20" i="13"/>
  <c r="HE27" i="13"/>
  <c r="HE28" i="13" s="1"/>
  <c r="HE25" i="13"/>
  <c r="HF3" i="13"/>
  <c r="W20" i="13" l="1"/>
  <c r="W26" i="13" s="1"/>
  <c r="X9" i="13"/>
  <c r="T22" i="13"/>
  <c r="AW22" i="13"/>
  <c r="AW23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3" i="13"/>
  <c r="AX21" i="13"/>
  <c r="AX22" i="13"/>
  <c r="HG27" i="13"/>
  <c r="HG28" i="13" s="1"/>
  <c r="HG25" i="13"/>
  <c r="HH3" i="13"/>
  <c r="Y20" i="13" l="1"/>
  <c r="Y26" i="13" s="1"/>
  <c r="Z9" i="13"/>
  <c r="AY23" i="13"/>
  <c r="AY22" i="13"/>
  <c r="AY21" i="13"/>
  <c r="HH25" i="13"/>
  <c r="HH27" i="13"/>
  <c r="HH28" i="13" s="1"/>
  <c r="HI3" i="13"/>
  <c r="AA9" i="13" l="1"/>
  <c r="Z20" i="13"/>
  <c r="Z26" i="13" s="1"/>
  <c r="AZ23" i="13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BA23" i="13"/>
  <c r="HJ25" i="13"/>
  <c r="HJ27" i="13"/>
  <c r="HJ28" i="13" s="1"/>
  <c r="HK3" i="13"/>
  <c r="AC9" i="13" l="1"/>
  <c r="AB20" i="13"/>
  <c r="AB26" i="13" s="1"/>
  <c r="BB23" i="13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BC23" i="13"/>
  <c r="HL27" i="13"/>
  <c r="HL28" i="13" s="1"/>
  <c r="HL25" i="13"/>
  <c r="HM3" i="13"/>
  <c r="AE9" i="13" l="1"/>
  <c r="AD20" i="13"/>
  <c r="AD26" i="13" s="1"/>
  <c r="BD22" i="13"/>
  <c r="BD23" i="13"/>
  <c r="BD21" i="13"/>
  <c r="HM27" i="13"/>
  <c r="HM28" i="13" s="1"/>
  <c r="HM25" i="13"/>
  <c r="HN3" i="13"/>
  <c r="AF9" i="13" l="1"/>
  <c r="AE20" i="13"/>
  <c r="AE26" i="13" s="1"/>
  <c r="BE21" i="13"/>
  <c r="BE23" i="13"/>
  <c r="BE22" i="13"/>
  <c r="HN27" i="13"/>
  <c r="HN28" i="13" s="1"/>
  <c r="HN25" i="13"/>
  <c r="HO3" i="13"/>
  <c r="AG9" i="13" l="1"/>
  <c r="AF20" i="13"/>
  <c r="AF26" i="13" s="1"/>
  <c r="BF23" i="13"/>
  <c r="BF22" i="13"/>
  <c r="BF21" i="13"/>
  <c r="HO27" i="13"/>
  <c r="HO28" i="13" s="1"/>
  <c r="HO25" i="13"/>
  <c r="HP3" i="13"/>
  <c r="AH9" i="13" l="1"/>
  <c r="AG20" i="13"/>
  <c r="AG26" i="13" s="1"/>
  <c r="BG23" i="13"/>
  <c r="BG22" i="13"/>
  <c r="BG21" i="13"/>
  <c r="HP25" i="13"/>
  <c r="HP27" i="13"/>
  <c r="HP28" i="13" s="1"/>
  <c r="HQ3" i="13"/>
  <c r="AI9" i="13" l="1"/>
  <c r="AH20" i="13"/>
  <c r="AH26" i="13" s="1"/>
  <c r="BH23" i="13"/>
  <c r="BH22" i="13"/>
  <c r="BH21" i="13"/>
  <c r="HQ27" i="13"/>
  <c r="HQ28" i="13" s="1"/>
  <c r="HQ25" i="13"/>
  <c r="HR3" i="13"/>
  <c r="AJ9" i="13" l="1"/>
  <c r="AI20" i="13"/>
  <c r="AI26" i="13" s="1"/>
  <c r="BI23" i="13"/>
  <c r="BI22" i="13"/>
  <c r="BI21" i="13"/>
  <c r="HR27" i="13"/>
  <c r="HR28" i="13" s="1"/>
  <c r="HR25" i="13"/>
  <c r="HS3" i="13"/>
  <c r="AJ20" i="13" l="1"/>
  <c r="AJ26" i="13" s="1"/>
  <c r="AK9" i="13"/>
  <c r="BJ21" i="13"/>
  <c r="BJ23" i="13"/>
  <c r="BJ22" i="13"/>
  <c r="HS27" i="13"/>
  <c r="HS28" i="13" s="1"/>
  <c r="HS25" i="13"/>
  <c r="HT3" i="13"/>
  <c r="AL9" i="13" l="1"/>
  <c r="AK20" i="13"/>
  <c r="AK26" i="13" s="1"/>
  <c r="BK22" i="13"/>
  <c r="BK21" i="13"/>
  <c r="BK23" i="13"/>
  <c r="HT27" i="13"/>
  <c r="HT28" i="13" s="1"/>
  <c r="HT25" i="13"/>
  <c r="HU3" i="13"/>
  <c r="AM9" i="13" l="1"/>
  <c r="AL20" i="13"/>
  <c r="AL26" i="13" s="1"/>
  <c r="BL23" i="13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BM23" i="13"/>
  <c r="HV25" i="13"/>
  <c r="HV27" i="13"/>
  <c r="HV28" i="13" s="1"/>
  <c r="HW3" i="13"/>
  <c r="AN20" i="13" l="1"/>
  <c r="AN26" i="13" s="1"/>
  <c r="AO9" i="13"/>
  <c r="BN23" i="13"/>
  <c r="BN22" i="13"/>
  <c r="BN21" i="13"/>
  <c r="HW27" i="13"/>
  <c r="HW28" i="13" s="1"/>
  <c r="HW25" i="13"/>
  <c r="HX3" i="13"/>
  <c r="AO20" i="13" l="1"/>
  <c r="AO26" i="13" s="1"/>
  <c r="AP9" i="13"/>
  <c r="BO21" i="13"/>
  <c r="BO23" i="13"/>
  <c r="BO22" i="13"/>
  <c r="HX27" i="13"/>
  <c r="HX28" i="13" s="1"/>
  <c r="HX25" i="13"/>
  <c r="HY3" i="13"/>
  <c r="AQ9" i="13" l="1"/>
  <c r="AP20" i="13"/>
  <c r="AP26" i="13" s="1"/>
  <c r="BP23" i="13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BQ23" i="13"/>
  <c r="HZ25" i="13"/>
  <c r="HZ27" i="13"/>
  <c r="HZ28" i="13" s="1"/>
  <c r="IA3" i="13"/>
  <c r="AR20" i="13" l="1"/>
  <c r="AR26" i="13" s="1"/>
  <c r="AS9" i="13"/>
  <c r="BR23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BS23" i="13"/>
  <c r="IB27" i="13"/>
  <c r="IB28" i="13" s="1"/>
  <c r="IB25" i="13"/>
  <c r="IC3" i="13"/>
  <c r="AT20" i="13" l="1"/>
  <c r="AT26" i="13" s="1"/>
  <c r="AU9" i="13"/>
  <c r="BT23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BU23" i="13"/>
  <c r="ID27" i="13"/>
  <c r="ID28" i="13" s="1"/>
  <c r="ID25" i="13"/>
  <c r="IE3" i="13"/>
  <c r="AV20" i="13" l="1"/>
  <c r="AV26" i="13" s="1"/>
  <c r="AW9" i="13"/>
  <c r="BV21" i="13"/>
  <c r="BV22" i="13"/>
  <c r="BV23" i="13"/>
  <c r="IE27" i="13"/>
  <c r="IE28" i="13" s="1"/>
  <c r="IE25" i="13"/>
  <c r="IF3" i="13"/>
  <c r="AX9" i="13" l="1"/>
  <c r="AW20" i="13"/>
  <c r="AW26" i="13" s="1"/>
  <c r="BW22" i="13"/>
  <c r="BW23" i="13"/>
  <c r="BW21" i="13"/>
  <c r="IF25" i="13"/>
  <c r="IF27" i="13"/>
  <c r="IF28" i="13" s="1"/>
  <c r="IG3" i="13"/>
  <c r="AX20" i="13" l="1"/>
  <c r="AX26" i="13" s="1"/>
  <c r="AY9" i="13"/>
  <c r="BX21" i="13"/>
  <c r="BX23" i="13"/>
  <c r="BX22" i="13"/>
  <c r="IG27" i="13"/>
  <c r="IG28" i="13" s="1"/>
  <c r="IG25" i="13"/>
  <c r="IH3" i="13"/>
  <c r="AY20" i="13" l="1"/>
  <c r="AY26" i="13" s="1"/>
  <c r="AZ9" i="13"/>
  <c r="BY21" i="13"/>
  <c r="BY23" i="13"/>
  <c r="BY22" i="13"/>
  <c r="IH25" i="13"/>
  <c r="IH27" i="13"/>
  <c r="IH28" i="13" s="1"/>
  <c r="II3" i="13"/>
  <c r="AZ20" i="13" l="1"/>
  <c r="AZ26" i="13" s="1"/>
  <c r="BA9" i="13"/>
  <c r="BZ23" i="13"/>
  <c r="BZ21" i="13"/>
  <c r="BZ22" i="13"/>
  <c r="II27" i="13"/>
  <c r="II28" i="13" s="1"/>
  <c r="II25" i="13"/>
  <c r="IJ3" i="13"/>
  <c r="BB9" i="13" l="1"/>
  <c r="BA20" i="13"/>
  <c r="BA26" i="13" s="1"/>
  <c r="CA22" i="13"/>
  <c r="CA23" i="13"/>
  <c r="CA21" i="13"/>
  <c r="IJ27" i="13"/>
  <c r="IJ28" i="13" s="1"/>
  <c r="IJ25" i="13"/>
  <c r="IK3" i="13"/>
  <c r="BC9" i="13" l="1"/>
  <c r="BB20" i="13"/>
  <c r="BB26" i="13" s="1"/>
  <c r="CB23" i="13"/>
  <c r="CB21" i="13"/>
  <c r="CB22" i="13"/>
  <c r="IK27" i="13"/>
  <c r="IK28" i="13" s="1"/>
  <c r="IK25" i="13"/>
  <c r="IL3" i="13"/>
  <c r="BC20" i="13" l="1"/>
  <c r="BC26" i="13" s="1"/>
  <c r="BD9" i="13"/>
  <c r="CC22" i="13"/>
  <c r="CC23" i="13"/>
  <c r="CC21" i="13"/>
  <c r="IL25" i="13"/>
  <c r="IL27" i="13"/>
  <c r="IL28" i="13" s="1"/>
  <c r="IM3" i="13"/>
  <c r="BD20" i="13" l="1"/>
  <c r="BD26" i="13" s="1"/>
  <c r="BE9" i="13"/>
  <c r="CD23" i="13"/>
  <c r="CD22" i="13"/>
  <c r="CD21" i="13"/>
  <c r="IM27" i="13"/>
  <c r="IM28" i="13" s="1"/>
  <c r="IM25" i="13"/>
  <c r="IN3" i="13"/>
  <c r="BF9" i="13" l="1"/>
  <c r="BE20" i="13"/>
  <c r="BE26" i="13" s="1"/>
  <c r="CE23" i="13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CF23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D58" i="20"/>
  <c r="E58" i="20" s="1"/>
  <c r="M58" i="20"/>
  <c r="M7" i="20"/>
  <c r="D7" i="20"/>
  <c r="E7" i="20" s="1"/>
  <c r="M60" i="20"/>
  <c r="D60" i="20"/>
  <c r="E60" i="20" s="1"/>
  <c r="D10" i="20"/>
  <c r="E10" i="20" s="1"/>
  <c r="M10" i="20"/>
  <c r="D36" i="20"/>
  <c r="E36" i="20" s="1"/>
  <c r="M36" i="20"/>
  <c r="D52" i="20"/>
  <c r="E52" i="20" s="1"/>
  <c r="M52" i="20"/>
  <c r="M15" i="20"/>
  <c r="D15" i="20"/>
  <c r="E15" i="20" s="1"/>
  <c r="D27" i="20"/>
  <c r="E27" i="20" s="1"/>
  <c r="M27" i="20"/>
  <c r="D35" i="20"/>
  <c r="E35" i="20" s="1"/>
  <c r="M35" i="20"/>
  <c r="D62" i="20"/>
  <c r="M46" i="20"/>
  <c r="D46" i="20"/>
  <c r="E46" i="20" s="1"/>
  <c r="D32" i="20"/>
  <c r="E32" i="20" s="1"/>
  <c r="M32" i="20"/>
  <c r="D41" i="20"/>
  <c r="E41" i="20" s="1"/>
  <c r="M41" i="20"/>
  <c r="D14" i="20"/>
  <c r="E14" i="20" s="1"/>
  <c r="M14" i="20"/>
  <c r="D23" i="20"/>
  <c r="E23" i="20" s="1"/>
  <c r="M23" i="20"/>
  <c r="M12" i="20"/>
  <c r="D12" i="20"/>
  <c r="E12" i="20" s="1"/>
  <c r="D45" i="20"/>
  <c r="E45" i="20" s="1"/>
  <c r="M45" i="20"/>
  <c r="D21" i="20"/>
  <c r="E21" i="20" s="1"/>
  <c r="M21" i="20"/>
  <c r="D57" i="20"/>
  <c r="E57" i="20" s="1"/>
  <c r="M57" i="20"/>
  <c r="M31" i="20"/>
  <c r="D31" i="20"/>
  <c r="E31" i="20" s="1"/>
  <c r="D38" i="20"/>
  <c r="E38" i="20" s="1"/>
  <c r="M38" i="20"/>
  <c r="D59" i="20"/>
  <c r="E59" i="20" s="1"/>
  <c r="M59" i="20"/>
  <c r="D5" i="20"/>
  <c r="E5" i="20" s="1"/>
  <c r="M5" i="20"/>
  <c r="M34" i="20"/>
  <c r="D34" i="20"/>
  <c r="E34" i="20" s="1"/>
  <c r="D18" i="20"/>
  <c r="E18" i="20" s="1"/>
  <c r="M18" i="20"/>
  <c r="M49" i="20"/>
  <c r="D49" i="20"/>
  <c r="E49" i="20" s="1"/>
  <c r="M6" i="20"/>
  <c r="D6" i="20"/>
  <c r="E6" i="20" s="1"/>
  <c r="D48" i="20"/>
  <c r="E48" i="20" s="1"/>
  <c r="M48" i="20"/>
  <c r="M29" i="20"/>
  <c r="D29" i="20"/>
  <c r="E29" i="20" s="1"/>
  <c r="M61" i="20"/>
  <c r="D61" i="20"/>
  <c r="E61" i="20" s="1"/>
  <c r="D17" i="20"/>
  <c r="E17" i="20" s="1"/>
  <c r="M17" i="20"/>
  <c r="D54" i="20"/>
  <c r="E54" i="20" s="1"/>
  <c r="M54" i="20"/>
  <c r="M40" i="20"/>
  <c r="D40" i="20"/>
  <c r="E40" i="20" s="1"/>
  <c r="D9" i="20"/>
  <c r="E9" i="20" s="1"/>
  <c r="M9" i="20"/>
  <c r="BG20" i="13" l="1"/>
  <c r="BG26" i="13" s="1"/>
  <c r="BH9" i="13"/>
  <c r="CG22" i="13"/>
  <c r="CG21" i="13"/>
  <c r="CG23" i="13"/>
  <c r="J7" i="20"/>
  <c r="J32" i="20"/>
  <c r="J9" i="20"/>
  <c r="J59" i="20"/>
  <c r="J40" i="20"/>
  <c r="J35" i="20"/>
  <c r="J36" i="20"/>
  <c r="J58" i="20"/>
  <c r="J54" i="20"/>
  <c r="J15" i="20"/>
  <c r="J60" i="20"/>
  <c r="J23" i="20"/>
  <c r="J5" i="20"/>
  <c r="J57" i="20"/>
  <c r="J17" i="20"/>
  <c r="J21" i="20"/>
  <c r="J48" i="20"/>
  <c r="J14" i="20"/>
  <c r="J18" i="20"/>
  <c r="J38" i="20"/>
  <c r="J45" i="20"/>
  <c r="J6" i="20"/>
  <c r="J46" i="20"/>
  <c r="J61" i="20"/>
  <c r="J49" i="20"/>
  <c r="J52" i="20"/>
  <c r="J29" i="20"/>
  <c r="J41" i="20"/>
  <c r="J34" i="20"/>
  <c r="J31" i="20"/>
  <c r="J12" i="20"/>
  <c r="J27" i="20"/>
  <c r="J10" i="20"/>
  <c r="E62" i="20"/>
  <c r="J62" i="20" s="1"/>
  <c r="BH20" i="13" l="1"/>
  <c r="BH26" i="13" s="1"/>
  <c r="BI9" i="13"/>
  <c r="CH23" i="13"/>
  <c r="CH21" i="13"/>
  <c r="CH22" i="13"/>
  <c r="BJ9" i="13" l="1"/>
  <c r="BI20" i="13"/>
  <c r="BI26" i="13" s="1"/>
  <c r="CI23" i="13"/>
  <c r="CI22" i="13"/>
  <c r="CI21" i="13"/>
  <c r="BK9" i="13" l="1"/>
  <c r="BJ20" i="13"/>
  <c r="BJ26" i="13" s="1"/>
  <c r="CJ21" i="13"/>
  <c r="CJ23" i="13"/>
  <c r="CJ22" i="13"/>
  <c r="H43" i="20"/>
  <c r="BL9" i="13" l="1"/>
  <c r="BK20" i="13"/>
  <c r="BK26" i="13" s="1"/>
  <c r="CK21" i="13"/>
  <c r="CK23" i="13"/>
  <c r="CK22" i="13"/>
  <c r="H53" i="20"/>
  <c r="BM9" i="13" l="1"/>
  <c r="BL20" i="13"/>
  <c r="BL26" i="13" s="1"/>
  <c r="CL21" i="13"/>
  <c r="CL22" i="13"/>
  <c r="CL23" i="13"/>
  <c r="BN9" i="13" l="1"/>
  <c r="BM20" i="13"/>
  <c r="BM26" i="13" s="1"/>
  <c r="CM21" i="13"/>
  <c r="CM23" i="13"/>
  <c r="CM22" i="13"/>
  <c r="H37" i="20"/>
  <c r="BN20" i="13" l="1"/>
  <c r="BN26" i="13" s="1"/>
  <c r="BO9" i="13"/>
  <c r="CN22" i="13"/>
  <c r="CN21" i="13"/>
  <c r="CN23" i="13"/>
  <c r="H49" i="20"/>
  <c r="BO20" i="13" l="1"/>
  <c r="BO26" i="13" s="1"/>
  <c r="BP9" i="13"/>
  <c r="CO21" i="13"/>
  <c r="CO23" i="13"/>
  <c r="CO22" i="13"/>
  <c r="H39" i="20"/>
  <c r="H40" i="20"/>
  <c r="BQ9" i="13" l="1"/>
  <c r="BP20" i="13"/>
  <c r="BP26" i="13" s="1"/>
  <c r="CP22" i="13"/>
  <c r="CP21" i="13"/>
  <c r="CP23" i="13"/>
  <c r="BR9" i="13" l="1"/>
  <c r="BQ20" i="13"/>
  <c r="BQ26" i="13" s="1"/>
  <c r="CQ22" i="13"/>
  <c r="CQ23" i="13"/>
  <c r="CQ21" i="13"/>
  <c r="H52" i="20"/>
  <c r="BS9" i="13" l="1"/>
  <c r="BR20" i="13"/>
  <c r="BR26" i="13" s="1"/>
  <c r="CR23" i="13"/>
  <c r="CR21" i="13"/>
  <c r="CR22" i="13"/>
  <c r="BT9" i="13" l="1"/>
  <c r="BS20" i="13"/>
  <c r="BS26" i="13" s="1"/>
  <c r="CS22" i="13"/>
  <c r="CS23" i="13"/>
  <c r="CS21" i="13"/>
  <c r="H35" i="20"/>
  <c r="BU9" i="13" l="1"/>
  <c r="BT20" i="13"/>
  <c r="BT26" i="13" s="1"/>
  <c r="CT23" i="13"/>
  <c r="CT21" i="13"/>
  <c r="CT22" i="13"/>
  <c r="H25" i="20"/>
  <c r="BU20" i="13" l="1"/>
  <c r="BU26" i="13" s="1"/>
  <c r="BV9" i="13"/>
  <c r="CU22" i="13"/>
  <c r="CU21" i="13"/>
  <c r="CU23" i="13"/>
  <c r="BV20" i="13" l="1"/>
  <c r="BV26" i="13" s="1"/>
  <c r="BW9" i="13"/>
  <c r="CV23" i="13"/>
  <c r="CV21" i="13"/>
  <c r="CV22" i="13"/>
  <c r="H36" i="20"/>
  <c r="BW20" i="13" l="1"/>
  <c r="BW26" i="13" s="1"/>
  <c r="BX9" i="13"/>
  <c r="CW21" i="13"/>
  <c r="CW23" i="13"/>
  <c r="CW22" i="13"/>
  <c r="H31" i="20"/>
  <c r="H23" i="20"/>
  <c r="BY9" i="13" l="1"/>
  <c r="BX20" i="13"/>
  <c r="BX26" i="13" s="1"/>
  <c r="CX22" i="13"/>
  <c r="CX21" i="13"/>
  <c r="CX23" i="13"/>
  <c r="H64" i="20"/>
  <c r="BZ9" i="13" l="1"/>
  <c r="BY20" i="13"/>
  <c r="BY26" i="13" s="1"/>
  <c r="CY21" i="13"/>
  <c r="CY23" i="13"/>
  <c r="CY22" i="13"/>
  <c r="H42" i="20"/>
  <c r="BZ20" i="13" l="1"/>
  <c r="BZ26" i="13" s="1"/>
  <c r="CA9" i="13"/>
  <c r="CZ22" i="13"/>
  <c r="CZ23" i="13"/>
  <c r="CZ21" i="13"/>
  <c r="CA20" i="13" l="1"/>
  <c r="CA26" i="13" s="1"/>
  <c r="CB9" i="13"/>
  <c r="DA22" i="13"/>
  <c r="DA23" i="13"/>
  <c r="DA21" i="13"/>
  <c r="H38" i="20"/>
  <c r="CC9" i="13" l="1"/>
  <c r="CB20" i="13"/>
  <c r="CB26" i="13" s="1"/>
  <c r="DB23" i="13"/>
  <c r="DB22" i="13"/>
  <c r="DB21" i="13"/>
  <c r="CD9" i="13" l="1"/>
  <c r="CC20" i="13"/>
  <c r="CC26" i="13" s="1"/>
  <c r="DC21" i="13"/>
  <c r="DC23" i="13"/>
  <c r="DC22" i="13"/>
  <c r="H63" i="20"/>
  <c r="CE9" i="13" l="1"/>
  <c r="CD20" i="13"/>
  <c r="CD26" i="13" s="1"/>
  <c r="DD23" i="13"/>
  <c r="DD21" i="13"/>
  <c r="DD22" i="13"/>
  <c r="H66" i="20"/>
  <c r="H59" i="20"/>
  <c r="CF9" i="13" l="1"/>
  <c r="CE20" i="13"/>
  <c r="CE26" i="13" s="1"/>
  <c r="DE22" i="13"/>
  <c r="DE21" i="13"/>
  <c r="DE23" i="13"/>
  <c r="CG9" i="13" l="1"/>
  <c r="CF20" i="13"/>
  <c r="CF26" i="13" s="1"/>
  <c r="DF22" i="13"/>
  <c r="DF23" i="13"/>
  <c r="DF21" i="13"/>
  <c r="CH9" i="13" l="1"/>
  <c r="CG20" i="13"/>
  <c r="CG26" i="13" s="1"/>
  <c r="DG21" i="13"/>
  <c r="DG22" i="13"/>
  <c r="DG23" i="13"/>
  <c r="CI9" i="13" l="1"/>
  <c r="CH20" i="13"/>
  <c r="CH26" i="13" s="1"/>
  <c r="DH22" i="13"/>
  <c r="DH23" i="13"/>
  <c r="DH21" i="13"/>
  <c r="CI20" i="13" l="1"/>
  <c r="CI26" i="13" s="1"/>
  <c r="CJ9" i="13"/>
  <c r="DI22" i="13"/>
  <c r="DI21" i="13"/>
  <c r="DI23" i="13"/>
  <c r="CK9" i="13" l="1"/>
  <c r="CJ20" i="13"/>
  <c r="CJ26" i="13" s="1"/>
  <c r="DJ23" i="13"/>
  <c r="DJ22" i="13"/>
  <c r="DJ21" i="13"/>
  <c r="CK20" i="13" l="1"/>
  <c r="CK26" i="13" s="1"/>
  <c r="CL9" i="13"/>
  <c r="DK23" i="13"/>
  <c r="DK22" i="13"/>
  <c r="DK21" i="13"/>
  <c r="CM9" i="13" l="1"/>
  <c r="CL20" i="13"/>
  <c r="CL26" i="13" s="1"/>
  <c r="DL22" i="13"/>
  <c r="DL21" i="13"/>
  <c r="DL23" i="13"/>
  <c r="CN9" i="13" l="1"/>
  <c r="CM20" i="13"/>
  <c r="CM26" i="13" s="1"/>
  <c r="DM22" i="13"/>
  <c r="DM23" i="13"/>
  <c r="DM21" i="13"/>
  <c r="CN20" i="13" l="1"/>
  <c r="CN26" i="13" s="1"/>
  <c r="CO9" i="13"/>
  <c r="DN21" i="13"/>
  <c r="DN23" i="13"/>
  <c r="DN22" i="13"/>
  <c r="CO20" i="13" l="1"/>
  <c r="CO26" i="13" s="1"/>
  <c r="CP9" i="13"/>
  <c r="DO23" i="13"/>
  <c r="DO22" i="13"/>
  <c r="DO21" i="13"/>
  <c r="CQ9" i="13" l="1"/>
  <c r="CP20" i="13"/>
  <c r="CP26" i="13" s="1"/>
  <c r="DP22" i="13"/>
  <c r="DP23" i="13"/>
  <c r="DP21" i="13"/>
  <c r="CQ20" i="13" l="1"/>
  <c r="CQ26" i="13" s="1"/>
  <c r="CR9" i="13"/>
  <c r="DQ23" i="13"/>
  <c r="DQ22" i="13"/>
  <c r="DQ21" i="13"/>
  <c r="CR20" i="13" l="1"/>
  <c r="CR26" i="13" s="1"/>
  <c r="CS9" i="13"/>
  <c r="DR21" i="13"/>
  <c r="DR23" i="13"/>
  <c r="DR22" i="13"/>
  <c r="CT9" i="13" l="1"/>
  <c r="CS20" i="13"/>
  <c r="CS26" i="13" s="1"/>
  <c r="DS22" i="13"/>
  <c r="DS21" i="13"/>
  <c r="DS23" i="13"/>
  <c r="CT20" i="13" l="1"/>
  <c r="CT26" i="13" s="1"/>
  <c r="CU9" i="13"/>
  <c r="DT21" i="13"/>
  <c r="DT23" i="13"/>
  <c r="DT22" i="13"/>
  <c r="CV9" i="13" l="1"/>
  <c r="CU20" i="13"/>
  <c r="CU26" i="13" s="1"/>
  <c r="DU23" i="13"/>
  <c r="DU22" i="13"/>
  <c r="DU21" i="13"/>
  <c r="CW9" i="13" l="1"/>
  <c r="CV20" i="13"/>
  <c r="CV26" i="13" s="1"/>
  <c r="DV22" i="13"/>
  <c r="DV23" i="13"/>
  <c r="DV21" i="13"/>
  <c r="CW20" i="13" l="1"/>
  <c r="CW26" i="13" s="1"/>
  <c r="CX9" i="13"/>
  <c r="DW22" i="13"/>
  <c r="DW23" i="13"/>
  <c r="DW21" i="13"/>
  <c r="CX20" i="13" l="1"/>
  <c r="CX26" i="13" s="1"/>
  <c r="CY9" i="13"/>
  <c r="DX23" i="13"/>
  <c r="DX22" i="13"/>
  <c r="DX21" i="13"/>
  <c r="CZ9" i="13" l="1"/>
  <c r="CY20" i="13"/>
  <c r="CY26" i="13" s="1"/>
  <c r="DY22" i="13"/>
  <c r="DY21" i="13"/>
  <c r="DY23" i="13"/>
  <c r="DA9" i="13" l="1"/>
  <c r="CZ20" i="13"/>
  <c r="CZ26" i="13" s="1"/>
  <c r="DZ21" i="13"/>
  <c r="DZ23" i="13"/>
  <c r="DZ22" i="13"/>
  <c r="DB9" i="13" l="1"/>
  <c r="DA20" i="13"/>
  <c r="DA26" i="13" s="1"/>
  <c r="EA22" i="13"/>
  <c r="EA21" i="13"/>
  <c r="EA23" i="13"/>
  <c r="DC9" i="13" l="1"/>
  <c r="DB20" i="13"/>
  <c r="DB26" i="13" s="1"/>
  <c r="EB23" i="13"/>
  <c r="EB21" i="13"/>
  <c r="EB22" i="13"/>
  <c r="DC20" i="13" l="1"/>
  <c r="DC26" i="13" s="1"/>
  <c r="DD9" i="13"/>
  <c r="EC23" i="13"/>
  <c r="EC21" i="13"/>
  <c r="EC22" i="13"/>
  <c r="DD20" i="13" l="1"/>
  <c r="DD26" i="13" s="1"/>
  <c r="DE9" i="13"/>
  <c r="ED23" i="13"/>
  <c r="ED21" i="13"/>
  <c r="ED22" i="13"/>
  <c r="DE20" i="13" l="1"/>
  <c r="DE26" i="13" s="1"/>
  <c r="DF9" i="13"/>
  <c r="EE21" i="13"/>
  <c r="EE22" i="13"/>
  <c r="EE23" i="13"/>
  <c r="DF20" i="13" l="1"/>
  <c r="DF26" i="13" s="1"/>
  <c r="DG9" i="13"/>
  <c r="EF22" i="13"/>
  <c r="EF23" i="13"/>
  <c r="EF21" i="13"/>
  <c r="DG20" i="13" l="1"/>
  <c r="DG26" i="13" s="1"/>
  <c r="DH9" i="13"/>
  <c r="EG21" i="13"/>
  <c r="EG22" i="13"/>
  <c r="EG23" i="13"/>
  <c r="DI9" i="13" l="1"/>
  <c r="DH20" i="13"/>
  <c r="DH26" i="13" s="1"/>
  <c r="EH22" i="13"/>
  <c r="EH21" i="13"/>
  <c r="EH23" i="13"/>
  <c r="DI20" i="13" l="1"/>
  <c r="DI26" i="13" s="1"/>
  <c r="DJ9" i="13"/>
  <c r="EI21" i="13"/>
  <c r="EI23" i="13"/>
  <c r="EI22" i="13"/>
  <c r="DK9" i="13" l="1"/>
  <c r="DJ20" i="13"/>
  <c r="DJ26" i="13" s="1"/>
  <c r="EJ22" i="13"/>
  <c r="EJ21" i="13"/>
  <c r="EJ23" i="13"/>
  <c r="DK20" i="13" l="1"/>
  <c r="DK26" i="13" s="1"/>
  <c r="DL9" i="13"/>
  <c r="EK23" i="13"/>
  <c r="EK21" i="13"/>
  <c r="EK22" i="13"/>
  <c r="DM9" i="13" l="1"/>
  <c r="DL20" i="13"/>
  <c r="DL26" i="13" s="1"/>
  <c r="EL23" i="13"/>
  <c r="EL21" i="13"/>
  <c r="EL22" i="13"/>
  <c r="DN9" i="13" l="1"/>
  <c r="DM20" i="13"/>
  <c r="DM26" i="13" s="1"/>
  <c r="EM23" i="13"/>
  <c r="EM22" i="13"/>
  <c r="EM21" i="13"/>
  <c r="DN20" i="13" l="1"/>
  <c r="DN26" i="13" s="1"/>
  <c r="DO9" i="13"/>
  <c r="EN23" i="13"/>
  <c r="EN21" i="13"/>
  <c r="EN22" i="13"/>
  <c r="DO20" i="13" l="1"/>
  <c r="DO26" i="13" s="1"/>
  <c r="DP9" i="13"/>
  <c r="EO23" i="13"/>
  <c r="EO21" i="13"/>
  <c r="EO22" i="13"/>
  <c r="DP20" i="13" l="1"/>
  <c r="DP26" i="13" s="1"/>
  <c r="DQ9" i="13"/>
  <c r="EP22" i="13"/>
  <c r="EP21" i="13"/>
  <c r="EP23" i="13"/>
  <c r="DQ20" i="13" l="1"/>
  <c r="DQ26" i="13" s="1"/>
  <c r="DR9" i="13"/>
  <c r="EQ21" i="13"/>
  <c r="EQ23" i="13"/>
  <c r="EQ22" i="13"/>
  <c r="DS9" i="13" l="1"/>
  <c r="DR20" i="13"/>
  <c r="DR26" i="13" s="1"/>
  <c r="ER21" i="13"/>
  <c r="ER23" i="13"/>
  <c r="ER22" i="13"/>
  <c r="DT9" i="13" l="1"/>
  <c r="DS20" i="13"/>
  <c r="DS26" i="13" s="1"/>
  <c r="ES23" i="13"/>
  <c r="ES22" i="13"/>
  <c r="ES21" i="13"/>
  <c r="DT20" i="13" l="1"/>
  <c r="DT26" i="13" s="1"/>
  <c r="DU9" i="13"/>
  <c r="ET22" i="13"/>
  <c r="ET23" i="13"/>
  <c r="ET21" i="13"/>
  <c r="DU20" i="13" l="1"/>
  <c r="DU26" i="13" s="1"/>
  <c r="DV9" i="13"/>
  <c r="EU21" i="13"/>
  <c r="EU23" i="13"/>
  <c r="EU22" i="13"/>
  <c r="DV20" i="13" l="1"/>
  <c r="DV26" i="13" s="1"/>
  <c r="DW9" i="13"/>
  <c r="EV23" i="13"/>
  <c r="EV21" i="13"/>
  <c r="EV22" i="13"/>
  <c r="DX9" i="13" l="1"/>
  <c r="DW20" i="13"/>
  <c r="DW26" i="13" s="1"/>
  <c r="EW22" i="13"/>
  <c r="EW23" i="13"/>
  <c r="EW21" i="13"/>
  <c r="DX20" i="13" l="1"/>
  <c r="DX26" i="13" s="1"/>
  <c r="DY9" i="13"/>
  <c r="EX21" i="13"/>
  <c r="EX22" i="13"/>
  <c r="EX23" i="13"/>
  <c r="DY20" i="13" l="1"/>
  <c r="DY26" i="13" s="1"/>
  <c r="DZ9" i="13"/>
  <c r="EY21" i="13"/>
  <c r="EY23" i="13"/>
  <c r="EY22" i="13"/>
  <c r="DZ20" i="13" l="1"/>
  <c r="DZ26" i="13" s="1"/>
  <c r="EA9" i="13"/>
  <c r="EZ22" i="13"/>
  <c r="EZ23" i="13"/>
  <c r="EZ21" i="13"/>
  <c r="EB9" i="13" l="1"/>
  <c r="EA20" i="13"/>
  <c r="EA26" i="13" s="1"/>
  <c r="FA22" i="13"/>
  <c r="FA23" i="13"/>
  <c r="FA21" i="13"/>
  <c r="EB20" i="13" l="1"/>
  <c r="EB26" i="13" s="1"/>
  <c r="EC9" i="13"/>
  <c r="FB23" i="13"/>
  <c r="FB21" i="13"/>
  <c r="FB22" i="13"/>
  <c r="ED9" i="13" l="1"/>
  <c r="EC20" i="13"/>
  <c r="EC26" i="13" s="1"/>
  <c r="FC23" i="13"/>
  <c r="FC22" i="13"/>
  <c r="FC21" i="13"/>
  <c r="ED20" i="13" l="1"/>
  <c r="ED26" i="13" s="1"/>
  <c r="EE9" i="13"/>
  <c r="FD21" i="13"/>
  <c r="FD23" i="13"/>
  <c r="FD22" i="13"/>
  <c r="EF9" i="13" l="1"/>
  <c r="EE20" i="13"/>
  <c r="EE26" i="13" s="1"/>
  <c r="FE21" i="13"/>
  <c r="FE22" i="13"/>
  <c r="FE23" i="13"/>
  <c r="EG9" i="13" l="1"/>
  <c r="EF20" i="13"/>
  <c r="EF26" i="13" s="1"/>
  <c r="FF21" i="13"/>
  <c r="FF23" i="13"/>
  <c r="FF22" i="13"/>
  <c r="EH9" i="13" l="1"/>
  <c r="EG20" i="13"/>
  <c r="EG26" i="13" s="1"/>
  <c r="FG23" i="13"/>
  <c r="FG22" i="13"/>
  <c r="FG21" i="13"/>
  <c r="EI9" i="13" l="1"/>
  <c r="EH20" i="13"/>
  <c r="EH26" i="13" s="1"/>
  <c r="FH23" i="13"/>
  <c r="FH22" i="13"/>
  <c r="FH21" i="13"/>
  <c r="EJ9" i="13" l="1"/>
  <c r="EI20" i="13"/>
  <c r="EI26" i="13" s="1"/>
  <c r="FI21" i="13"/>
  <c r="FI23" i="13"/>
  <c r="FI22" i="13"/>
  <c r="EJ20" i="13" l="1"/>
  <c r="EJ26" i="13" s="1"/>
  <c r="EK9" i="13"/>
  <c r="FJ21" i="13"/>
  <c r="FJ23" i="13"/>
  <c r="FJ22" i="13"/>
  <c r="EL9" i="13" l="1"/>
  <c r="EK20" i="13"/>
  <c r="EK26" i="13" s="1"/>
  <c r="FK21" i="13"/>
  <c r="FK23" i="13"/>
  <c r="FK22" i="13"/>
  <c r="EL20" i="13" l="1"/>
  <c r="EL26" i="13" s="1"/>
  <c r="EM9" i="13"/>
  <c r="FL22" i="13"/>
  <c r="FL23" i="13"/>
  <c r="FL21" i="13"/>
  <c r="EN9" i="13" l="1"/>
  <c r="EM20" i="13"/>
  <c r="EM26" i="13" s="1"/>
  <c r="FM22" i="13"/>
  <c r="FM23" i="13"/>
  <c r="FM21" i="13"/>
  <c r="EO9" i="13" l="1"/>
  <c r="EN20" i="13"/>
  <c r="EN26" i="13" s="1"/>
  <c r="FN23" i="13"/>
  <c r="FN21" i="13"/>
  <c r="FN22" i="13"/>
  <c r="EO20" i="13" l="1"/>
  <c r="EO26" i="13" s="1"/>
  <c r="EP9" i="13"/>
  <c r="FO23" i="13"/>
  <c r="FO22" i="13"/>
  <c r="FO21" i="13"/>
  <c r="EQ9" i="13" l="1"/>
  <c r="EP20" i="13"/>
  <c r="EP26" i="13" s="1"/>
  <c r="FP21" i="13"/>
  <c r="FP23" i="13"/>
  <c r="FP22" i="13"/>
  <c r="ER9" i="13" l="1"/>
  <c r="EQ20" i="13"/>
  <c r="EQ26" i="13" s="1"/>
  <c r="FQ21" i="13"/>
  <c r="FQ23" i="13"/>
  <c r="FQ22" i="13"/>
  <c r="ES9" i="13" l="1"/>
  <c r="ER20" i="13"/>
  <c r="ER26" i="13" s="1"/>
  <c r="FR23" i="13"/>
  <c r="FR22" i="13"/>
  <c r="FR21" i="13"/>
  <c r="ET9" i="13" l="1"/>
  <c r="ES20" i="13"/>
  <c r="ES26" i="13" s="1"/>
  <c r="FS21" i="13"/>
  <c r="FS23" i="13"/>
  <c r="FS22" i="13"/>
  <c r="EU9" i="13" l="1"/>
  <c r="ET20" i="13"/>
  <c r="ET26" i="13" s="1"/>
  <c r="FT23" i="13"/>
  <c r="FT22" i="13"/>
  <c r="FT21" i="13"/>
  <c r="EV9" i="13" l="1"/>
  <c r="EU20" i="13"/>
  <c r="EU26" i="13" s="1"/>
  <c r="FU22" i="13"/>
  <c r="FU23" i="13"/>
  <c r="FU21" i="13"/>
  <c r="EW9" i="13" l="1"/>
  <c r="EV20" i="13"/>
  <c r="EV26" i="13" s="1"/>
  <c r="FV22" i="13"/>
  <c r="FV23" i="13"/>
  <c r="FV21" i="13"/>
  <c r="EW20" i="13" l="1"/>
  <c r="EW26" i="13" s="1"/>
  <c r="EX9" i="13"/>
  <c r="FW22" i="13"/>
  <c r="FW23" i="13"/>
  <c r="FW21" i="13"/>
  <c r="EX20" i="13" l="1"/>
  <c r="EX26" i="13" s="1"/>
  <c r="EY9" i="13"/>
  <c r="FX23" i="13"/>
  <c r="FX22" i="13"/>
  <c r="FX21" i="13"/>
  <c r="EZ9" i="13" l="1"/>
  <c r="EY20" i="13"/>
  <c r="EY26" i="13" s="1"/>
  <c r="FY22" i="13"/>
  <c r="FY21" i="13"/>
  <c r="FY23" i="13"/>
  <c r="FA9" i="13" l="1"/>
  <c r="EZ20" i="13"/>
  <c r="EZ26" i="13" s="1"/>
  <c r="FZ22" i="13"/>
  <c r="FZ23" i="13"/>
  <c r="FZ21" i="13"/>
  <c r="FA20" i="13" l="1"/>
  <c r="FA26" i="13" s="1"/>
  <c r="FB9" i="13"/>
  <c r="GA23" i="13"/>
  <c r="GA22" i="13"/>
  <c r="GA21" i="13"/>
  <c r="FB20" i="13" l="1"/>
  <c r="FB26" i="13" s="1"/>
  <c r="FC9" i="13"/>
  <c r="GB23" i="13"/>
  <c r="GB22" i="13"/>
  <c r="GB21" i="13"/>
  <c r="FD9" i="13" l="1"/>
  <c r="FC20" i="13"/>
  <c r="FC26" i="13" s="1"/>
  <c r="GC23" i="13"/>
  <c r="GC22" i="13"/>
  <c r="GC21" i="13"/>
  <c r="FD20" i="13" l="1"/>
  <c r="FD26" i="13" s="1"/>
  <c r="FE9" i="13"/>
  <c r="GD23" i="13"/>
  <c r="GD22" i="13"/>
  <c r="GD21" i="13"/>
  <c r="FE20" i="13" l="1"/>
  <c r="FE26" i="13" s="1"/>
  <c r="FF9" i="13"/>
  <c r="GE23" i="13"/>
  <c r="GE21" i="13"/>
  <c r="GE22" i="13"/>
  <c r="FF20" i="13" l="1"/>
  <c r="FF26" i="13" s="1"/>
  <c r="FG9" i="13"/>
  <c r="GF21" i="13"/>
  <c r="GF23" i="13"/>
  <c r="GF22" i="13"/>
  <c r="FH9" i="13" l="1"/>
  <c r="FG20" i="13"/>
  <c r="FG26" i="13" s="1"/>
  <c r="GG21" i="13"/>
  <c r="GG23" i="13"/>
  <c r="GG22" i="13"/>
  <c r="FI9" i="13" l="1"/>
  <c r="FH20" i="13"/>
  <c r="FH26" i="13" s="1"/>
  <c r="GH22" i="13"/>
  <c r="GH21" i="13"/>
  <c r="GH23" i="13"/>
  <c r="FI20" i="13" l="1"/>
  <c r="FI26" i="13" s="1"/>
  <c r="FJ9" i="13"/>
  <c r="GI22" i="13"/>
  <c r="GI21" i="13"/>
  <c r="GI23" i="13"/>
  <c r="FJ20" i="13" l="1"/>
  <c r="FJ26" i="13" s="1"/>
  <c r="FK9" i="13"/>
  <c r="GJ23" i="13"/>
  <c r="GJ21" i="13"/>
  <c r="GJ22" i="13"/>
  <c r="FL9" i="13" l="1"/>
  <c r="FK20" i="13"/>
  <c r="FK26" i="13" s="1"/>
  <c r="GK23" i="13"/>
  <c r="GK22" i="13"/>
  <c r="GK21" i="13"/>
  <c r="FM9" i="13" l="1"/>
  <c r="FL20" i="13"/>
  <c r="FL26" i="13" s="1"/>
  <c r="GL21" i="13"/>
  <c r="GL23" i="13"/>
  <c r="GL22" i="13"/>
  <c r="FN9" i="13" l="1"/>
  <c r="FM20" i="13"/>
  <c r="FM26" i="13" s="1"/>
  <c r="GM21" i="13"/>
  <c r="GM23" i="13"/>
  <c r="GM22" i="13"/>
  <c r="FO9" i="13" l="1"/>
  <c r="FN20" i="13"/>
  <c r="FN26" i="13" s="1"/>
  <c r="GN22" i="13"/>
  <c r="GN21" i="13"/>
  <c r="GN23" i="13"/>
  <c r="FO20" i="13" l="1"/>
  <c r="FO26" i="13" s="1"/>
  <c r="FP9" i="13"/>
  <c r="GO23" i="13"/>
  <c r="GO21" i="13"/>
  <c r="GO22" i="13"/>
  <c r="FP20" i="13" l="1"/>
  <c r="FP26" i="13" s="1"/>
  <c r="FQ9" i="13"/>
  <c r="GP23" i="13"/>
  <c r="GP22" i="13"/>
  <c r="GP21" i="13"/>
  <c r="FR9" i="13" l="1"/>
  <c r="FQ20" i="13"/>
  <c r="FQ26" i="13" s="1"/>
  <c r="GQ21" i="13"/>
  <c r="GQ22" i="13"/>
  <c r="GQ23" i="13"/>
  <c r="FR20" i="13" l="1"/>
  <c r="FR26" i="13" s="1"/>
  <c r="FS9" i="13"/>
  <c r="GR22" i="13"/>
  <c r="GR23" i="13"/>
  <c r="GR21" i="13"/>
  <c r="FT9" i="13" l="1"/>
  <c r="FS20" i="13"/>
  <c r="FS26" i="13" s="1"/>
  <c r="GS21" i="13"/>
  <c r="GS22" i="13"/>
  <c r="GS23" i="13"/>
  <c r="FU9" i="13" l="1"/>
  <c r="FT20" i="13"/>
  <c r="FT26" i="13" s="1"/>
  <c r="GT21" i="13"/>
  <c r="GT23" i="13"/>
  <c r="GT22" i="13"/>
  <c r="FV9" i="13" l="1"/>
  <c r="FU20" i="13"/>
  <c r="FU26" i="13" s="1"/>
  <c r="GU21" i="13"/>
  <c r="GU23" i="13"/>
  <c r="GU22" i="13"/>
  <c r="FV20" i="13" l="1"/>
  <c r="FV26" i="13" s="1"/>
  <c r="FW9" i="13"/>
  <c r="GV21" i="13"/>
  <c r="GV23" i="13"/>
  <c r="GV22" i="13"/>
  <c r="FW20" i="13" l="1"/>
  <c r="FW26" i="13" s="1"/>
  <c r="FX9" i="13"/>
  <c r="GW21" i="13"/>
  <c r="GW23" i="13"/>
  <c r="GW22" i="13"/>
  <c r="FY9" i="13" l="1"/>
  <c r="FX20" i="13"/>
  <c r="FX26" i="13" s="1"/>
  <c r="GX23" i="13"/>
  <c r="GX21" i="13"/>
  <c r="GX22" i="13"/>
  <c r="FZ9" i="13" l="1"/>
  <c r="FY20" i="13"/>
  <c r="FY26" i="13" s="1"/>
  <c r="GY21" i="13"/>
  <c r="GY23" i="13"/>
  <c r="GY22" i="13"/>
  <c r="FZ20" i="13" l="1"/>
  <c r="FZ26" i="13" s="1"/>
  <c r="GA9" i="13"/>
  <c r="GZ21" i="13"/>
  <c r="GZ23" i="13"/>
  <c r="GZ22" i="13"/>
  <c r="GA20" i="13" l="1"/>
  <c r="GA26" i="13" s="1"/>
  <c r="GB9" i="13"/>
  <c r="HA23" i="13"/>
  <c r="HA21" i="13"/>
  <c r="HA22" i="13"/>
  <c r="GC9" i="13" l="1"/>
  <c r="GB20" i="13"/>
  <c r="GB26" i="13" s="1"/>
  <c r="HB22" i="13"/>
  <c r="HB21" i="13"/>
  <c r="HB23" i="13"/>
  <c r="GC20" i="13" l="1"/>
  <c r="GC26" i="13" s="1"/>
  <c r="GD9" i="13"/>
  <c r="HC23" i="13"/>
  <c r="HC22" i="13"/>
  <c r="HC21" i="13"/>
  <c r="GD20" i="13" l="1"/>
  <c r="GD26" i="13" s="1"/>
  <c r="GE9" i="13"/>
  <c r="HD22" i="13"/>
  <c r="HD21" i="13"/>
  <c r="HD23" i="13"/>
  <c r="GE20" i="13" l="1"/>
  <c r="GE26" i="13" s="1"/>
  <c r="GF9" i="13"/>
  <c r="HE22" i="13"/>
  <c r="HE21" i="13"/>
  <c r="HE23" i="13"/>
  <c r="GG9" i="13" l="1"/>
  <c r="GF20" i="13"/>
  <c r="GF26" i="13" s="1"/>
  <c r="HF21" i="13"/>
  <c r="HF23" i="13"/>
  <c r="HF22" i="13"/>
  <c r="GH9" i="13" l="1"/>
  <c r="GG20" i="13"/>
  <c r="GG26" i="13" s="1"/>
  <c r="HG22" i="13"/>
  <c r="HG21" i="13"/>
  <c r="HG23" i="13"/>
  <c r="GI9" i="13" l="1"/>
  <c r="GH20" i="13"/>
  <c r="GH26" i="13" s="1"/>
  <c r="HH22" i="13"/>
  <c r="HH23" i="13"/>
  <c r="HH21" i="13"/>
  <c r="GJ9" i="13" l="1"/>
  <c r="GI20" i="13"/>
  <c r="GI26" i="13" s="1"/>
  <c r="HI21" i="13"/>
  <c r="HI22" i="13"/>
  <c r="HI23" i="13"/>
  <c r="GK9" i="13" l="1"/>
  <c r="GJ20" i="13"/>
  <c r="GJ26" i="13" s="1"/>
  <c r="HJ21" i="13"/>
  <c r="HJ22" i="13"/>
  <c r="HJ23" i="13"/>
  <c r="GL9" i="13" l="1"/>
  <c r="GK20" i="13"/>
  <c r="GK26" i="13" s="1"/>
  <c r="HK21" i="13"/>
  <c r="HK23" i="13"/>
  <c r="HK22" i="13"/>
  <c r="GM9" i="13" l="1"/>
  <c r="GL20" i="13"/>
  <c r="GL26" i="13" s="1"/>
  <c r="HL23" i="13"/>
  <c r="HL22" i="13"/>
  <c r="HL21" i="13"/>
  <c r="GN9" i="13" l="1"/>
  <c r="GM20" i="13"/>
  <c r="GM26" i="13" s="1"/>
  <c r="HM23" i="13"/>
  <c r="HM22" i="13"/>
  <c r="HM21" i="13"/>
  <c r="GO9" i="13" l="1"/>
  <c r="GN20" i="13"/>
  <c r="GN26" i="13" s="1"/>
  <c r="HN22" i="13"/>
  <c r="HN23" i="13"/>
  <c r="HN21" i="13"/>
  <c r="GP9" i="13" l="1"/>
  <c r="GO20" i="13"/>
  <c r="GO26" i="13" s="1"/>
  <c r="HO22" i="13"/>
  <c r="HO21" i="13"/>
  <c r="HO23" i="13"/>
  <c r="GP20" i="13" l="1"/>
  <c r="GP26" i="13" s="1"/>
  <c r="GQ9" i="13"/>
  <c r="HP23" i="13"/>
  <c r="HP21" i="13"/>
  <c r="HP22" i="13"/>
  <c r="GQ20" i="13" l="1"/>
  <c r="GQ26" i="13" s="1"/>
  <c r="GR9" i="13"/>
  <c r="HQ21" i="13"/>
  <c r="HQ22" i="13"/>
  <c r="HQ23" i="13"/>
  <c r="GS9" i="13" l="1"/>
  <c r="GR20" i="13"/>
  <c r="GR26" i="13" s="1"/>
  <c r="HR21" i="13"/>
  <c r="HR22" i="13"/>
  <c r="HR23" i="13"/>
  <c r="GT9" i="13" l="1"/>
  <c r="GS20" i="13"/>
  <c r="GS26" i="13" s="1"/>
  <c r="HS21" i="13"/>
  <c r="HS23" i="13"/>
  <c r="HS22" i="13"/>
  <c r="GU9" i="13" l="1"/>
  <c r="GT20" i="13"/>
  <c r="GT26" i="13" s="1"/>
  <c r="HT21" i="13"/>
  <c r="HT23" i="13"/>
  <c r="HT22" i="13"/>
  <c r="GU20" i="13" l="1"/>
  <c r="GU26" i="13" s="1"/>
  <c r="GV9" i="13"/>
  <c r="HU22" i="13"/>
  <c r="HU21" i="13"/>
  <c r="HU23" i="13"/>
  <c r="GV20" i="13" l="1"/>
  <c r="GV26" i="13" s="1"/>
  <c r="GW9" i="13"/>
  <c r="HV22" i="13"/>
  <c r="HV23" i="13"/>
  <c r="HV21" i="13"/>
  <c r="GW20" i="13" l="1"/>
  <c r="GW26" i="13" s="1"/>
  <c r="GX9" i="13"/>
  <c r="HW23" i="13"/>
  <c r="HW22" i="13"/>
  <c r="HW21" i="13"/>
  <c r="GY9" i="13" l="1"/>
  <c r="GX20" i="13"/>
  <c r="GX26" i="13" s="1"/>
  <c r="HX22" i="13"/>
  <c r="HX23" i="13"/>
  <c r="HX21" i="13"/>
  <c r="GZ9" i="13" l="1"/>
  <c r="GY20" i="13"/>
  <c r="GY26" i="13" s="1"/>
  <c r="HY22" i="13"/>
  <c r="HY23" i="13"/>
  <c r="HY21" i="13"/>
  <c r="HA9" i="13" l="1"/>
  <c r="GZ20" i="13"/>
  <c r="GZ26" i="13" s="1"/>
  <c r="HZ21" i="13"/>
  <c r="HZ22" i="13"/>
  <c r="HZ23" i="13"/>
  <c r="HB9" i="13" l="1"/>
  <c r="HA20" i="13"/>
  <c r="HA26" i="13" s="1"/>
  <c r="IA22" i="13"/>
  <c r="IA21" i="13"/>
  <c r="IA23" i="13"/>
  <c r="HC9" i="13" l="1"/>
  <c r="HB20" i="13"/>
  <c r="HB26" i="13" s="1"/>
  <c r="IB21" i="13"/>
  <c r="IB22" i="13"/>
  <c r="IB23" i="13"/>
  <c r="HC20" i="13" l="1"/>
  <c r="HC26" i="13" s="1"/>
  <c r="HD9" i="13"/>
  <c r="IC22" i="13"/>
  <c r="IC23" i="13"/>
  <c r="IC21" i="13"/>
  <c r="HD20" i="13" l="1"/>
  <c r="HD26" i="13" s="1"/>
  <c r="HE9" i="13"/>
  <c r="ID23" i="13"/>
  <c r="ID21" i="13"/>
  <c r="ID22" i="13"/>
  <c r="HE20" i="13" l="1"/>
  <c r="HE26" i="13" s="1"/>
  <c r="HF9" i="13"/>
  <c r="IE22" i="13"/>
  <c r="IE23" i="13"/>
  <c r="IE21" i="13"/>
  <c r="HF20" i="13" l="1"/>
  <c r="HF26" i="13" s="1"/>
  <c r="HG9" i="13"/>
  <c r="IF23" i="13"/>
  <c r="IF21" i="13"/>
  <c r="IF22" i="13"/>
  <c r="HG20" i="13" l="1"/>
  <c r="HG26" i="13" s="1"/>
  <c r="HH9" i="13"/>
  <c r="IG23" i="13"/>
  <c r="IG21" i="13"/>
  <c r="IG22" i="13"/>
  <c r="HH20" i="13" l="1"/>
  <c r="HH26" i="13" s="1"/>
  <c r="HI9" i="13"/>
  <c r="IH22" i="13"/>
  <c r="IH21" i="13"/>
  <c r="IH23" i="13"/>
  <c r="HI20" i="13" l="1"/>
  <c r="HI26" i="13" s="1"/>
  <c r="HJ9" i="13"/>
  <c r="II22" i="13"/>
  <c r="II23" i="13"/>
  <c r="II21" i="13"/>
  <c r="HJ20" i="13" l="1"/>
  <c r="HJ26" i="13" s="1"/>
  <c r="HK9" i="13"/>
  <c r="IJ22" i="13"/>
  <c r="IJ23" i="13"/>
  <c r="IJ21" i="13"/>
  <c r="HK20" i="13" l="1"/>
  <c r="HK26" i="13" s="1"/>
  <c r="HL9" i="13"/>
  <c r="IK23" i="13"/>
  <c r="IK21" i="13"/>
  <c r="IK22" i="13"/>
  <c r="HM9" i="13" l="1"/>
  <c r="HL20" i="13"/>
  <c r="HL26" i="13" s="1"/>
  <c r="IL23" i="13"/>
  <c r="IL21" i="13"/>
  <c r="IL22" i="13"/>
  <c r="HM20" i="13" l="1"/>
  <c r="HM26" i="13" s="1"/>
  <c r="HN9" i="13"/>
  <c r="IM22" i="13"/>
  <c r="IM23" i="13"/>
  <c r="IM21" i="13"/>
  <c r="HN20" i="13" l="1"/>
  <c r="HN26" i="13" s="1"/>
  <c r="HO9" i="13"/>
  <c r="IN22" i="13"/>
  <c r="IN23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IN20" i="13" s="1"/>
  <c r="IN26" i="13" l="1"/>
  <c r="D31" i="13" s="1"/>
  <c r="D27" i="13" s="1"/>
  <c r="D30" i="13" l="1"/>
  <c r="C40" i="15"/>
  <c r="C42" i="15" s="1"/>
  <c r="A5" i="23"/>
  <c r="A6" i="23"/>
  <c r="E6" i="23"/>
  <c r="F6" i="23"/>
  <c r="G6" i="23" s="1"/>
  <c r="E5" i="23"/>
  <c r="F5" i="23"/>
  <c r="G5" i="23" s="1"/>
  <c r="H21" i="20" s="1"/>
  <c r="A7" i="23" l="1"/>
  <c r="H12" i="20"/>
  <c r="C13" i="13"/>
  <c r="C22" i="15" s="1"/>
  <c r="C24" i="15" s="1"/>
  <c r="F7" i="23" l="1"/>
  <c r="E7" i="23"/>
  <c r="G7" i="23" s="1"/>
  <c r="H60" i="20" s="1"/>
  <c r="A8" i="23" l="1"/>
  <c r="E8" i="23" l="1"/>
  <c r="F8" i="23"/>
  <c r="G8" i="23" l="1"/>
  <c r="H14" i="20" s="1"/>
  <c r="A9" i="23"/>
  <c r="E9" i="23" l="1"/>
  <c r="F9" i="23"/>
  <c r="A10" i="23"/>
  <c r="G9" i="23" l="1"/>
  <c r="H7" i="20" s="1"/>
  <c r="F10" i="23"/>
  <c r="E10" i="23"/>
  <c r="A11" i="23" l="1"/>
  <c r="A12" i="23" s="1"/>
  <c r="G10" i="23"/>
  <c r="H17" i="20" s="1"/>
  <c r="E12" i="23" l="1"/>
  <c r="A13" i="23"/>
  <c r="F12" i="23"/>
  <c r="G12" i="23" s="1"/>
  <c r="E11" i="23"/>
  <c r="G11" i="23" s="1"/>
  <c r="H9" i="20" s="1"/>
  <c r="F11" i="23"/>
  <c r="A14" i="23" l="1"/>
  <c r="E13" i="23"/>
  <c r="F13" i="23"/>
  <c r="G13" i="23" l="1"/>
  <c r="E14" i="23"/>
  <c r="F14" i="23"/>
  <c r="A15" i="23"/>
  <c r="E15" i="23" l="1"/>
  <c r="G15" i="23" s="1"/>
  <c r="F15" i="23"/>
  <c r="A16" i="23"/>
  <c r="G14" i="23"/>
  <c r="F16" i="23" l="1"/>
  <c r="E16" i="23"/>
  <c r="G16" i="23" s="1"/>
  <c r="H56" i="20" s="1"/>
  <c r="A17" i="23"/>
  <c r="E17" i="23" l="1"/>
  <c r="F17" i="23"/>
  <c r="A18" i="23"/>
  <c r="F18" i="23" l="1"/>
  <c r="E18" i="23"/>
  <c r="A19" i="23"/>
  <c r="G17" i="23"/>
  <c r="A20" i="23" l="1"/>
  <c r="F19" i="23"/>
  <c r="E19" i="23"/>
  <c r="G19" i="23" s="1"/>
  <c r="H8" i="20" s="1"/>
  <c r="G18" i="23"/>
  <c r="H10" i="20" s="1"/>
  <c r="E20" i="23" l="1"/>
  <c r="G20" i="23" s="1"/>
  <c r="H16" i="20" s="1"/>
  <c r="A21" i="23"/>
  <c r="F20" i="23"/>
  <c r="A22" i="23" l="1"/>
  <c r="E21" i="23"/>
  <c r="F21" i="23"/>
  <c r="G21" i="23" l="1"/>
  <c r="E22" i="23"/>
  <c r="F22" i="23"/>
  <c r="A23" i="23"/>
  <c r="G22" i="23" l="1"/>
  <c r="A24" i="23"/>
  <c r="F23" i="23"/>
  <c r="E23" i="23"/>
  <c r="G23" i="23" s="1"/>
  <c r="F24" i="23" l="1"/>
  <c r="E24" i="23"/>
  <c r="A25" i="23"/>
  <c r="G24" i="23" l="1"/>
  <c r="H19" i="20" s="1"/>
  <c r="E25" i="23"/>
  <c r="F25" i="23"/>
  <c r="A26" i="23"/>
  <c r="G25" i="23" l="1"/>
  <c r="H46" i="20" s="1"/>
  <c r="A27" i="23"/>
  <c r="E26" i="23"/>
  <c r="G26" i="23" s="1"/>
  <c r="H5" i="20" s="1"/>
  <c r="F26" i="23"/>
  <c r="A28" i="23" l="1"/>
  <c r="F27" i="23"/>
  <c r="E27" i="23"/>
  <c r="G27" i="23" s="1"/>
  <c r="F28" i="23" l="1"/>
  <c r="E28" i="23"/>
  <c r="A29" i="23"/>
  <c r="G28" i="23" l="1"/>
  <c r="H6" i="20" s="1"/>
  <c r="A30" i="23"/>
  <c r="E29" i="23"/>
  <c r="G29" i="23" s="1"/>
  <c r="H4" i="20" s="1"/>
  <c r="F29" i="23"/>
  <c r="A31" i="23" l="1"/>
  <c r="E30" i="23"/>
  <c r="F30" i="23"/>
  <c r="G30" i="23" l="1"/>
  <c r="H57" i="20" s="1"/>
  <c r="E31" i="23"/>
  <c r="A32" i="23"/>
  <c r="F31" i="23"/>
  <c r="E32" i="23" l="1"/>
  <c r="F32" i="23"/>
  <c r="A33" i="23"/>
  <c r="G31" i="23"/>
  <c r="H18" i="20" s="1"/>
  <c r="A34" i="23" l="1"/>
  <c r="F33" i="23"/>
  <c r="E33" i="23"/>
  <c r="G32" i="23"/>
  <c r="H50" i="20" s="1"/>
  <c r="G33" i="23" l="1"/>
  <c r="H20" i="20" s="1"/>
  <c r="F34" i="23"/>
  <c r="A35" i="23"/>
  <c r="E34" i="23"/>
  <c r="G34" i="23" s="1"/>
  <c r="H48" i="20" s="1"/>
  <c r="A36" i="23" l="1"/>
  <c r="F35" i="23"/>
  <c r="E35" i="23"/>
  <c r="G35" i="23" l="1"/>
  <c r="H13" i="20" s="1"/>
  <c r="E36" i="23"/>
  <c r="A37" i="23"/>
  <c r="F36" i="23"/>
  <c r="A38" i="23" l="1"/>
  <c r="E37" i="23"/>
  <c r="G37" i="23" s="1"/>
  <c r="F37" i="23"/>
  <c r="G36" i="23"/>
  <c r="H47" i="20" s="1"/>
  <c r="F38" i="23" l="1"/>
  <c r="E38" i="23"/>
  <c r="G38" i="23" s="1"/>
  <c r="H44" i="20" s="1"/>
  <c r="A39" i="23"/>
  <c r="A40" i="23" l="1"/>
  <c r="E39" i="23"/>
  <c r="G39" i="23" s="1"/>
  <c r="H15" i="20" s="1"/>
  <c r="F39" i="23"/>
  <c r="F40" i="23" l="1"/>
  <c r="E40" i="23"/>
  <c r="G40" i="23" s="1"/>
  <c r="H27" i="20" s="1"/>
  <c r="A41" i="23"/>
  <c r="F41" i="23" l="1"/>
  <c r="A42" i="23"/>
  <c r="E41" i="23"/>
  <c r="G41" i="23" s="1"/>
  <c r="H51" i="20" s="1"/>
  <c r="F42" i="23" l="1"/>
  <c r="A43" i="23"/>
  <c r="E42" i="23"/>
  <c r="G42" i="23" s="1"/>
  <c r="H30" i="20" s="1"/>
  <c r="E43" i="23" l="1"/>
  <c r="G43" i="23" s="1"/>
  <c r="H32" i="20" s="1"/>
  <c r="A44" i="23"/>
  <c r="F43" i="23"/>
  <c r="F44" i="23" l="1"/>
  <c r="E44" i="23"/>
  <c r="G44" i="23" s="1"/>
  <c r="H11" i="20" s="1"/>
  <c r="A45" i="23"/>
  <c r="A46" i="23" l="1"/>
  <c r="F45" i="23"/>
  <c r="E45" i="23"/>
  <c r="G45" i="23" s="1"/>
  <c r="H45" i="20" s="1"/>
  <c r="F46" i="23" l="1"/>
  <c r="E46" i="23"/>
  <c r="A47" i="23"/>
  <c r="A48" i="23" l="1"/>
  <c r="F47" i="23"/>
  <c r="E47" i="23"/>
  <c r="G47" i="23" s="1"/>
  <c r="G46" i="23"/>
  <c r="H26" i="20" s="1"/>
  <c r="F48" i="23" l="1"/>
  <c r="E48" i="23"/>
  <c r="G48" i="23" s="1"/>
  <c r="H65" i="20" s="1"/>
  <c r="A49" i="23"/>
  <c r="F49" i="23" l="1"/>
  <c r="E49" i="23"/>
  <c r="G49" i="23" s="1"/>
  <c r="A50" i="23"/>
  <c r="F50" i="23" l="1"/>
  <c r="A51" i="23"/>
  <c r="E50" i="23"/>
  <c r="G50" i="23" l="1"/>
  <c r="A52" i="23"/>
  <c r="E51" i="23"/>
  <c r="G51" i="23" s="1"/>
  <c r="H24" i="20" s="1"/>
  <c r="F51" i="23"/>
  <c r="E52" i="23" l="1"/>
  <c r="G52" i="23" s="1"/>
  <c r="A53" i="23"/>
  <c r="F52" i="23"/>
  <c r="F53" i="23" l="1"/>
  <c r="E53" i="23"/>
  <c r="A54" i="23"/>
  <c r="G53" i="23" l="1"/>
  <c r="H33" i="20" s="1"/>
  <c r="F54" i="23"/>
  <c r="E54" i="23"/>
  <c r="G54" i="23" s="1"/>
  <c r="H41" i="20" s="1"/>
  <c r="A55" i="23"/>
  <c r="F55" i="23" l="1"/>
  <c r="A56" i="23"/>
  <c r="E55" i="23"/>
  <c r="G55" i="23" s="1"/>
  <c r="H28" i="20" s="1"/>
  <c r="E56" i="23" l="1"/>
  <c r="A57" i="23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F56" i="23"/>
  <c r="G56" i="23" l="1"/>
</calcChain>
</file>

<file path=xl/sharedStrings.xml><?xml version="1.0" encoding="utf-8"?>
<sst xmlns="http://schemas.openxmlformats.org/spreadsheetml/2006/main" count="2558" uniqueCount="615">
  <si>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</si>
  <si>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</si>
  <si>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</si>
  <si>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</si>
  <si>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</si>
  <si>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</si>
  <si>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</si>
  <si>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</si>
  <si>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</si>
  <si>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</si>
  <si>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</si>
  <si>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</si>
  <si>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</si>
  <si>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</si>
  <si>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</si>
  <si>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</si>
  <si>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</si>
  <si>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</si>
  <si>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</si>
  <si>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</si>
  <si>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</si>
  <si>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</si>
  <si>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</si>
  <si>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</si>
  <si>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</si>
  <si>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</si>
  <si>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</si>
  <si>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</si>
  <si>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</si>
  <si>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</si>
  <si>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</si>
  <si>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</si>
  <si>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</si>
  <si>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</si>
  <si>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</si>
  <si>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</si>
  <si>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</si>
  <si>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</si>
  <si>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</si>
  <si>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</si>
  <si>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</si>
  <si>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</si>
  <si>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</si>
  <si>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</si>
  <si>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</si>
  <si>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</si>
  <si>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</si>
  <si>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</si>
  <si>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</si>
  <si>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</si>
  <si>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</si>
  <si>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</si>
  <si>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</si>
  <si>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</si>
  <si>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</si>
  <si>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</si>
  <si>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</si>
  <si>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</si>
  <si>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</si>
  <si>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</si>
  <si>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</si>
  <si>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</si>
  <si>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</si>
  <si>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</si>
  <si>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</si>
  <si>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</si>
  <si>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</si>
  <si>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</si>
  <si>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</si>
  <si>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</si>
  <si>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</si>
  <si>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</si>
  <si>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</si>
  <si>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</si>
  <si>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</si>
  <si>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</si>
  <si>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</si>
  <si>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</si>
  <si>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</si>
  <si>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</si>
  <si>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</si>
  <si>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</si>
  <si>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</si>
  <si>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</si>
  <si>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</si>
  <si>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</si>
  <si>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</si>
  <si>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</si>
  <si>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</si>
  <si>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</si>
  <si>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</si>
  <si>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</si>
  <si>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</si>
  <si>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</si>
  <si>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</si>
  <si>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</si>
  <si>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</si>
  <si>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</si>
  <si>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</si>
  <si>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</si>
  <si>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</si>
  <si>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</si>
  <si>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</si>
  <si>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</si>
  <si>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</si>
  <si>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</si>
  <si>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</si>
  <si>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</si>
  <si>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</si>
  <si>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</si>
  <si>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</si>
  <si>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</si>
  <si>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</si>
  <si>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</si>
  <si>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</si>
  <si>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</si>
  <si>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</si>
  <si>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</si>
  <si>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</si>
  <si>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</si>
  <si>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</si>
  <si>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</si>
  <si>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</si>
  <si>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</si>
  <si>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</si>
  <si>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</si>
  <si>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</si>
  <si>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</si>
  <si>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</si>
  <si>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</si>
  <si>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</si>
  <si>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</si>
  <si>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</si>
  <si>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</si>
  <si>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</si>
  <si>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</si>
  <si>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</si>
  <si>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</si>
  <si>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</si>
  <si>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</si>
  <si>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</si>
  <si>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</si>
  <si>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</si>
  <si>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</si>
  <si>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</si>
  <si>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</si>
  <si>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</si>
  <si>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</si>
  <si>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</si>
  <si>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</si>
  <si>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</si>
  <si>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</si>
  <si>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</si>
  <si>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</si>
  <si>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</si>
  <si>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</si>
  <si>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</si>
  <si>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</si>
  <si>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</si>
  <si>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</si>
  <si>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</si>
  <si>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</si>
  <si>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</si>
  <si>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</si>
  <si>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</si>
  <si>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</si>
  <si>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</si>
  <si>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</si>
  <si>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</si>
  <si>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</si>
  <si>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</si>
  <si>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</si>
  <si>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</si>
  <si>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</si>
  <si>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</si>
  <si>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</si>
  <si>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</si>
  <si>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</si>
  <si>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</si>
  <si>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</si>
  <si>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</si>
  <si>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</si>
  <si>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</si>
  <si>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</si>
  <si>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</si>
  <si>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</si>
  <si>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</si>
  <si>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</si>
  <si>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</si>
  <si>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</si>
  <si>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</si>
  <si>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</si>
  <si>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</si>
  <si>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</si>
  <si>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</si>
  <si>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</si>
  <si>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</si>
  <si>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</si>
  <si>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</si>
  <si>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</si>
  <si>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</si>
  <si>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</si>
  <si>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</si>
  <si>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</si>
  <si>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</si>
  <si>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</si>
  <si>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</si>
  <si>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</si>
  <si>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</si>
  <si>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</si>
  <si>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</si>
  <si>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</si>
  <si>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</si>
  <si>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</si>
  <si>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</si>
  <si>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</si>
  <si>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</si>
  <si>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</si>
  <si>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</si>
  <si>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</si>
  <si>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</si>
  <si>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</si>
  <si>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</si>
  <si>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</si>
  <si>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</si>
  <si>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</si>
  <si>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</si>
  <si>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</si>
  <si>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</si>
  <si>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</si>
  <si>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</si>
  <si>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</si>
  <si>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</si>
  <si>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</si>
  <si>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</si>
  <si>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</si>
  <si>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</si>
  <si>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</si>
  <si>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</si>
  <si>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</si>
  <si>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</si>
  <si>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</si>
  <si>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</si>
  <si>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</si>
  <si>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</si>
  <si>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</si>
  <si>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</si>
  <si>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</si>
  <si>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</si>
  <si>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</si>
  <si>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</si>
  <si>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</si>
  <si>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</si>
  <si>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</si>
  <si>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</si>
  <si>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</si>
  <si>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</si>
  <si>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</si>
  <si>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</si>
  <si>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</si>
  <si>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</si>
  <si>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</si>
  <si>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</si>
  <si>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</si>
  <si>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</si>
  <si>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</si>
  <si>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</si>
  <si>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</si>
  <si>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</si>
  <si>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</si>
  <si>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</si>
  <si>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</si>
  <si>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</si>
  <si>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</si>
  <si>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</si>
  <si>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</si>
  <si>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</si>
  <si>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</si>
  <si>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</si>
  <si>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</si>
  <si>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</si>
  <si>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</si>
  <si>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</si>
  <si>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</si>
  <si>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</si>
  <si>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</si>
  <si>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</si>
  <si>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</si>
  <si>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</si>
  <si>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</si>
  <si>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</si>
  <si>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</si>
  <si>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</si>
  <si>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</si>
  <si>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</si>
  <si>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</si>
  <si>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</si>
  <si>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</si>
  <si>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</si>
  <si>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</si>
  <si>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</si>
  <si>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</si>
  <si>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</si>
  <si>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</si>
  <si>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</si>
  <si>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</si>
  <si>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</si>
  <si>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</si>
  <si>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</si>
  <si>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</si>
  <si>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</si>
  <si>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</si>
  <si>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</si>
  <si>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</si>
  <si>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</si>
  <si>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</si>
  <si>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</si>
  <si>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</si>
  <si>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</si>
  <si>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</si>
  <si>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</si>
  <si>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</si>
  <si>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</si>
  <si>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</si>
  <si>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</si>
  <si>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</si>
  <si>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</si>
  <si>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</si>
  <si>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</si>
  <si>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</si>
  <si>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</si>
  <si>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</si>
  <si>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</si>
  <si>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</si>
  <si>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</si>
  <si>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</si>
  <si>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</si>
  <si>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</si>
  <si>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</si>
  <si>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</si>
  <si>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</si>
  <si>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</si>
  <si>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</si>
  <si>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</si>
  <si>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</si>
  <si>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</si>
  <si>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</si>
  <si>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</si>
  <si>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</si>
  <si>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</si>
  <si>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</si>
  <si>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</si>
  <si>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</si>
  <si>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</si>
  <si>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</si>
  <si>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</si>
  <si>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</si>
  <si>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</si>
  <si>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</si>
  <si>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</si>
  <si>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</si>
  <si>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</si>
  <si>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</si>
  <si>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</si>
  <si>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</si>
  <si>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</si>
  <si>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</si>
  <si>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</si>
  <si>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</si>
  <si>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</si>
  <si>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</si>
  <si>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</si>
  <si>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</si>
  <si>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</si>
  <si>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</si>
  <si>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</si>
  <si>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</si>
  <si>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</si>
  <si>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</si>
  <si>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</si>
  <si>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</si>
  <si>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</si>
  <si>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</si>
  <si>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</si>
  <si>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</si>
  <si>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</si>
  <si>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</si>
  <si>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</si>
  <si>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</si>
  <si>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</si>
  <si>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</si>
  <si>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</si>
  <si>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</si>
  <si>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</si>
  <si>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</si>
  <si>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</si>
  <si>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</si>
  <si>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</si>
  <si>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</si>
  <si>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</si>
  <si>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</si>
  <si>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</si>
  <si>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</si>
  <si>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</si>
  <si>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</si>
  <si>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</si>
  <si>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</si>
  <si>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</si>
  <si>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</si>
  <si>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</si>
  <si>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</si>
  <si>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</si>
  <si>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</si>
  <si>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</si>
  <si>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</si>
  <si>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</si>
  <si>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</si>
  <si>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</si>
  <si>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</si>
  <si>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</si>
  <si>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</si>
  <si>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</si>
  <si>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</si>
  <si>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</si>
  <si>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</si>
  <si>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</si>
  <si>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</si>
  <si>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</si>
  <si>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</si>
  <si>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</si>
  <si>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50% Daily Increase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</si>
  <si>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</si>
  <si>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</si>
  <si>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</si>
  <si>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</si>
  <si>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</si>
  <si>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</si>
  <si>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</si>
  <si>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</si>
  <si>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</si>
  <si>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</si>
  <si>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</si>
  <si>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</si>
  <si>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</si>
  <si>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</si>
  <si>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</si>
  <si>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</si>
  <si>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</si>
  <si>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</si>
  <si>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</si>
  <si>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</si>
  <si>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</si>
  <si>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</si>
  <si>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</si>
  <si>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</si>
  <si>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</si>
  <si>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</si>
  <si>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</si>
  <si>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</si>
  <si>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</si>
  <si>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</si>
  <si>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</si>
  <si>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</si>
  <si>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</si>
  <si>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</si>
  <si>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</si>
  <si>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</si>
  <si>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</si>
  <si>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</si>
  <si>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</si>
  <si>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</si>
  <si>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</si>
  <si>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</si>
  <si>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</si>
  <si>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</si>
  <si>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</si>
  <si>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</si>
  <si>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</si>
  <si>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</si>
  <si>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</si>
  <si>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</si>
  <si>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</si>
  <si>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</si>
  <si>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</si>
  <si>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</si>
  <si>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</si>
  <si>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</si>
  <si>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</si>
  <si>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</si>
  <si>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</si>
  <si>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</si>
  <si>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</si>
  <si>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10% daily increase</t>
  </si>
  <si>
    <t>10%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</si>
  <si>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</si>
  <si>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</si>
  <si>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</si>
  <si>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</si>
  <si>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</si>
  <si>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</si>
  <si>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</si>
  <si>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</si>
  <si>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</si>
  <si>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</si>
  <si>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</si>
  <si>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</si>
  <si>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</si>
  <si>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</si>
  <si>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</si>
  <si>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</si>
  <si>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</si>
  <si>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</si>
  <si>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</si>
  <si>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</si>
  <si>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</si>
  <si>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</si>
  <si>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</si>
  <si>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</si>
  <si>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</si>
  <si>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</si>
  <si>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</si>
  <si>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</si>
  <si>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</si>
  <si>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</si>
  <si>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</si>
  <si>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</si>
  <si>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</si>
  <si>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</si>
  <si>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</si>
  <si>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* day on day increase over last 5 days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</si>
  <si>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</si>
  <si>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</si>
  <si>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</si>
  <si>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</si>
  <si>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</si>
  <si>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</si>
  <si>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</si>
  <si>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</si>
  <si>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</si>
  <si>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</si>
  <si>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</si>
  <si>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</si>
  <si>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</si>
  <si>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</si>
  <si>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</si>
  <si>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</si>
  <si>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</si>
  <si>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</si>
  <si>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</si>
  <si>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</si>
  <si>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</si>
  <si>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</si>
  <si>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</si>
  <si>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</si>
  <si>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</si>
  <si>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</si>
  <si>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</si>
  <si>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</si>
  <si>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</si>
  <si>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</si>
  <si>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</si>
  <si>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</si>
  <si>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</si>
  <si>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</si>
  <si>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</si>
  <si>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</si>
  <si>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* measured as the % day on day increase over the last 5 days.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</si>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</sst>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9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165" fontId="10" fillId="6" borderId="8" xfId="1" applyNumberFormat="1" applyFont="1" applyFill="1" applyBorder="1" applyAlignment="1">
      <alignment horizontal="center" vertical="center"/>
    </xf>
    <xf numFmtId="9" fontId="10" fillId="6" borderId="8" xfId="2" applyFont="1" applyFill="1" applyBorder="1" applyAlignment="1">
      <alignment horizontal="center"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10" fillId="6" borderId="29" xfId="0" applyFont="1" applyFill="1" applyBorder="1"/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left" vertical="center"/>
    </xf>
    <xf numFmtId="0" fontId="23" fillId="4" borderId="17" xfId="0" applyFont="1" applyFill="1" applyBorder="1" applyAlignment="1">
      <alignment horizontal="center" vertical="center" wrapText="1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24" fillId="5" borderId="17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165" fontId="14" fillId="5" borderId="17" xfId="1" applyNumberFormat="1" applyFont="1" applyFill="1" applyBorder="1" applyAlignment="1">
      <alignment horizontal="left" vertical="center"/>
    </xf>
    <xf numFmtId="0" fontId="13" fillId="4" borderId="17" xfId="0" applyFont="1" applyFill="1" applyBorder="1" applyAlignment="1">
      <alignment horizontal="left" vertical="center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7" fillId="6" borderId="27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 wrapText="1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17" fillId="6" borderId="27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22" fillId="6" borderId="13" xfId="0" applyFont="1" applyFill="1" applyBorder="1" applyAlignment="1">
      <alignment horizontal="center" vertical="center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7011424735247336"/>
        </c:manualLayout>
      </c:layout>
      <c:lineChart>
        <c:grouping val="standard"/>
        <c:varyColors val="0"/>
        <c:ser>
          <c:idx val="0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2245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11385.171842526624</c:v>
                </c:pt>
                <c:pt idx="23">
                  <c:v>13342.474306110253</c:v>
                </c:pt>
                <c:pt idx="24">
                  <c:v>15636.269972162781</c:v>
                </c:pt>
                <c:pt idx="25">
                  <c:v>18324.407679795397</c:v>
                </c:pt>
                <c:pt idx="26">
                  <c:v>21474.681456200226</c:v>
                </c:pt>
                <c:pt idx="27">
                  <c:v>25166.540261694234</c:v>
                </c:pt>
                <c:pt idx="28">
                  <c:v>29493.091668682842</c:v>
                </c:pt>
                <c:pt idx="29">
                  <c:v>34563.450006726147</c:v>
                </c:pt>
                <c:pt idx="30">
                  <c:v>40505.488193222358</c:v>
                </c:pt>
                <c:pt idx="31">
                  <c:v>47469.062650053507</c:v>
                </c:pt>
                <c:pt idx="32">
                  <c:v>55629.792637624443</c:v>
                </c:pt>
                <c:pt idx="33">
                  <c:v>65193.489319966728</c:v>
                </c:pt>
                <c:pt idx="34">
                  <c:v>76401.346260601684</c:v>
                </c:pt>
                <c:pt idx="35">
                  <c:v>89536.022251912422</c:v>
                </c:pt>
                <c:pt idx="36">
                  <c:v>104928.76988515806</c:v>
                </c:pt>
                <c:pt idx="37">
                  <c:v>122967.78964152931</c:v>
                </c:pt>
                <c:pt idx="38">
                  <c:v>144108.02019191731</c:v>
                </c:pt>
                <c:pt idx="39">
                  <c:v>168882.61181382145</c:v>
                </c:pt>
                <c:pt idx="40">
                  <c:v>197916.37228153108</c:v>
                </c:pt>
                <c:pt idx="41">
                  <c:v>231941.52433090113</c:v>
                </c:pt>
                <c:pt idx="42">
                  <c:v>271816.17209725984</c:v>
                </c:pt>
                <c:pt idx="43">
                  <c:v>318545.94224447699</c:v>
                </c:pt>
                <c:pt idx="44">
                  <c:v>373309.34556798066</c:v>
                </c:pt>
                <c:pt idx="45">
                  <c:v>437487.4986837483</c:v>
                </c:pt>
                <c:pt idx="46">
                  <c:v>512698.95537535922</c:v>
                </c:pt>
                <c:pt idx="47">
                  <c:v>600840.5260352398</c:v>
                </c:pt>
                <c:pt idx="48">
                  <c:v>704135.11465417373</c:v>
                </c:pt>
                <c:pt idx="49">
                  <c:v>825187.77979361347</c:v>
                </c:pt>
                <c:pt idx="50">
                  <c:v>967051.43338170962</c:v>
                </c:pt>
                <c:pt idx="51">
                  <c:v>1133303.8342369997</c:v>
                </c:pt>
                <c:pt idx="52">
                  <c:v>1328137.8180733453</c:v>
                </c:pt>
                <c:pt idx="53">
                  <c:v>1556467.0395597941</c:v>
                </c:pt>
                <c:pt idx="54">
                  <c:v>1824049.8932184193</c:v>
                </c:pt>
                <c:pt idx="55">
                  <c:v>2137634.7384080333</c:v>
                </c:pt>
                <c:pt idx="56">
                  <c:v>2505130.0909243342</c:v>
                </c:pt>
                <c:pt idx="57">
                  <c:v>2935804.0733976215</c:v>
                </c:pt>
                <c:pt idx="58">
                  <c:v>3440518.1545673255</c:v>
                </c:pt>
                <c:pt idx="59">
                  <c:v>4032001.0722677899</c:v>
                </c:pt>
                <c:pt idx="60">
                  <c:v>4725169.8483808953</c:v>
                </c:pt>
                <c:pt idx="61">
                  <c:v>5537505.9916564049</c:v>
                </c:pt>
                <c:pt idx="62">
                  <c:v>6489496.3761223853</c:v>
                </c:pt>
                <c:pt idx="63">
                  <c:v>7605149.9139070669</c:v>
                </c:pt>
                <c:pt idx="64">
                  <c:v>8912603.0528058186</c:v>
                </c:pt>
                <c:pt idx="65">
                  <c:v>10444829.369060386</c:v>
                </c:pt>
                <c:pt idx="66">
                  <c:v>12240471.15106757</c:v>
                </c:pt>
                <c:pt idx="67">
                  <c:v>14344813.946309209</c:v>
                </c:pt>
                <c:pt idx="68">
                  <c:v>16810928.649284903</c:v>
                </c:pt>
                <c:pt idx="69">
                  <c:v>19701009.933562804</c:v>
                </c:pt>
                <c:pt idx="70">
                  <c:v>23087944.782803558</c:v>
                </c:pt>
                <c:pt idx="71">
                  <c:v>27057150.678639688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77-41EE-A5F2-80C01F3CAFDE}"/>
            </c:ext>
          </c:extLst>
        </c:ser>
        <c:ser>
          <c:idx val="2"/>
          <c:order val="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2245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10686.5</c:v>
                </c:pt>
                <c:pt idx="23">
                  <c:v>11755.150000000001</c:v>
                </c:pt>
                <c:pt idx="24">
                  <c:v>12930.665000000003</c:v>
                </c:pt>
                <c:pt idx="25">
                  <c:v>14223.731500000004</c:v>
                </c:pt>
                <c:pt idx="26">
                  <c:v>15646.104650000005</c:v>
                </c:pt>
                <c:pt idx="27">
                  <c:v>17210.715115000006</c:v>
                </c:pt>
                <c:pt idx="28">
                  <c:v>18931.786626500008</c:v>
                </c:pt>
                <c:pt idx="29">
                  <c:v>20824.965289150012</c:v>
                </c:pt>
                <c:pt idx="30">
                  <c:v>22907.461818065014</c:v>
                </c:pt>
                <c:pt idx="31">
                  <c:v>25198.207999871516</c:v>
                </c:pt>
                <c:pt idx="32">
                  <c:v>27718.028799858672</c:v>
                </c:pt>
                <c:pt idx="33">
                  <c:v>30489.831679844541</c:v>
                </c:pt>
                <c:pt idx="34">
                  <c:v>33538.814847828995</c:v>
                </c:pt>
                <c:pt idx="35">
                  <c:v>36892.6963326119</c:v>
                </c:pt>
                <c:pt idx="36">
                  <c:v>40581.965965873096</c:v>
                </c:pt>
                <c:pt idx="37">
                  <c:v>44640.162562460406</c:v>
                </c:pt>
                <c:pt idx="38">
                  <c:v>49104.178818706452</c:v>
                </c:pt>
                <c:pt idx="39">
                  <c:v>54014.596700577102</c:v>
                </c:pt>
                <c:pt idx="40">
                  <c:v>59416.056370634818</c:v>
                </c:pt>
                <c:pt idx="41">
                  <c:v>65357.662007698309</c:v>
                </c:pt>
                <c:pt idx="42">
                  <c:v>71893.428208468147</c:v>
                </c:pt>
                <c:pt idx="43">
                  <c:v>79082.771029314972</c:v>
                </c:pt>
                <c:pt idx="44">
                  <c:v>86991.048132246477</c:v>
                </c:pt>
                <c:pt idx="45">
                  <c:v>95690.152945471127</c:v>
                </c:pt>
                <c:pt idx="46">
                  <c:v>105259.16824001825</c:v>
                </c:pt>
                <c:pt idx="47">
                  <c:v>115785.08506402008</c:v>
                </c:pt>
                <c:pt idx="48">
                  <c:v>127363.5935704221</c:v>
                </c:pt>
                <c:pt idx="49">
                  <c:v>140099.95292746433</c:v>
                </c:pt>
                <c:pt idx="50">
                  <c:v>154109.94822021076</c:v>
                </c:pt>
                <c:pt idx="51">
                  <c:v>169520.94304223184</c:v>
                </c:pt>
                <c:pt idx="52">
                  <c:v>186473.03734645504</c:v>
                </c:pt>
                <c:pt idx="53">
                  <c:v>205120.34108110055</c:v>
                </c:pt>
                <c:pt idx="54">
                  <c:v>225632.37518921061</c:v>
                </c:pt>
                <c:pt idx="55">
                  <c:v>248195.6127081317</c:v>
                </c:pt>
                <c:pt idx="56">
                  <c:v>273015.17397894489</c:v>
                </c:pt>
                <c:pt idx="57">
                  <c:v>300316.69137683942</c:v>
                </c:pt>
                <c:pt idx="58">
                  <c:v>330348.3605145234</c:v>
                </c:pt>
                <c:pt idx="59">
                  <c:v>363383.19656597578</c:v>
                </c:pt>
                <c:pt idx="60">
                  <c:v>399721.51622257341</c:v>
                </c:pt>
                <c:pt idx="61">
                  <c:v>439693.66784483078</c:v>
                </c:pt>
                <c:pt idx="62">
                  <c:v>483663.03462931392</c:v>
                </c:pt>
                <c:pt idx="63">
                  <c:v>532029.33809224539</c:v>
                </c:pt>
                <c:pt idx="64">
                  <c:v>585232.27190147003</c:v>
                </c:pt>
                <c:pt idx="65">
                  <c:v>643755.49909161706</c:v>
                </c:pt>
                <c:pt idx="66">
                  <c:v>708131.04900077882</c:v>
                </c:pt>
                <c:pt idx="67">
                  <c:v>778944.15390085673</c:v>
                </c:pt>
                <c:pt idx="68">
                  <c:v>856838.56929094251</c:v>
                </c:pt>
                <c:pt idx="69">
                  <c:v>942522.42622003681</c:v>
                </c:pt>
                <c:pt idx="70">
                  <c:v>1036774.6688420406</c:v>
                </c:pt>
                <c:pt idx="71">
                  <c:v>1140452.1357262447</c:v>
                </c:pt>
                <c:pt idx="72">
                  <c:v>1254497.3492988693</c:v>
                </c:pt>
                <c:pt idx="73">
                  <c:v>1379947.0842287564</c:v>
                </c:pt>
                <c:pt idx="74">
                  <c:v>1517941.7926516321</c:v>
                </c:pt>
                <c:pt idx="75">
                  <c:v>1669735.9719167955</c:v>
                </c:pt>
                <c:pt idx="76">
                  <c:v>1836709.5691084752</c:v>
                </c:pt>
                <c:pt idx="77">
                  <c:v>2020380.5260193229</c:v>
                </c:pt>
                <c:pt idx="78">
                  <c:v>2222418.5786212552</c:v>
                </c:pt>
                <c:pt idx="79">
                  <c:v>2444660.4364833809</c:v>
                </c:pt>
                <c:pt idx="80">
                  <c:v>2689126.4801317193</c:v>
                </c:pt>
                <c:pt idx="81">
                  <c:v>2958039.1281448915</c:v>
                </c:pt>
                <c:pt idx="82">
                  <c:v>3253843.040959381</c:v>
                </c:pt>
                <c:pt idx="83">
                  <c:v>3579227.3450553194</c:v>
                </c:pt>
                <c:pt idx="84">
                  <c:v>3937150.0795608517</c:v>
                </c:pt>
                <c:pt idx="85">
                  <c:v>4330865.0875169374</c:v>
                </c:pt>
                <c:pt idx="86">
                  <c:v>4763951.5962686315</c:v>
                </c:pt>
                <c:pt idx="87">
                  <c:v>5240346.7558954954</c:v>
                </c:pt>
                <c:pt idx="88">
                  <c:v>5764381.4314850457</c:v>
                </c:pt>
                <c:pt idx="89">
                  <c:v>6340819.5746335508</c:v>
                </c:pt>
                <c:pt idx="90">
                  <c:v>6974901.5320969066</c:v>
                </c:pt>
                <c:pt idx="91">
                  <c:v>7672391.6853065975</c:v>
                </c:pt>
                <c:pt idx="92">
                  <c:v>8439630.8538372573</c:v>
                </c:pt>
                <c:pt idx="93">
                  <c:v>9283593.9392209835</c:v>
                </c:pt>
                <c:pt idx="94">
                  <c:v>10211953.333143083</c:v>
                </c:pt>
                <c:pt idx="95">
                  <c:v>11233148.666457392</c:v>
                </c:pt>
                <c:pt idx="96">
                  <c:v>12356463.533103133</c:v>
                </c:pt>
                <c:pt idx="97">
                  <c:v>13592109.886413448</c:v>
                </c:pt>
                <c:pt idx="98">
                  <c:v>14951320.875054793</c:v>
                </c:pt>
                <c:pt idx="99">
                  <c:v>16446452.962560274</c:v>
                </c:pt>
                <c:pt idx="100">
                  <c:v>18091098.258816302</c:v>
                </c:pt>
                <c:pt idx="101">
                  <c:v>19900208.084697932</c:v>
                </c:pt>
                <c:pt idx="102">
                  <c:v>21890228.893167727</c:v>
                </c:pt>
                <c:pt idx="103">
                  <c:v>24079251.782484502</c:v>
                </c:pt>
                <c:pt idx="104">
                  <c:v>26487176.960732955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77-41EE-A5F2-80C01F3CAFDE}"/>
            </c:ext>
          </c:extLst>
        </c:ser>
        <c:ser>
          <c:idx val="3"/>
          <c:order val="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2245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12143.75</c:v>
                </c:pt>
                <c:pt idx="23">
                  <c:v>15179.6875</c:v>
                </c:pt>
                <c:pt idx="24">
                  <c:v>18974.609375</c:v>
                </c:pt>
                <c:pt idx="25">
                  <c:v>23718.26171875</c:v>
                </c:pt>
                <c:pt idx="26">
                  <c:v>29647.8271484375</c:v>
                </c:pt>
                <c:pt idx="27">
                  <c:v>37059.783935546875</c:v>
                </c:pt>
                <c:pt idx="28">
                  <c:v>46324.729919433594</c:v>
                </c:pt>
                <c:pt idx="29">
                  <c:v>57905.912399291992</c:v>
                </c:pt>
                <c:pt idx="30">
                  <c:v>72382.39049911499</c:v>
                </c:pt>
                <c:pt idx="31">
                  <c:v>90477.988123893738</c:v>
                </c:pt>
                <c:pt idx="32">
                  <c:v>113097.48515486717</c:v>
                </c:pt>
                <c:pt idx="33">
                  <c:v>141371.85644358397</c:v>
                </c:pt>
                <c:pt idx="34">
                  <c:v>176714.82055447996</c:v>
                </c:pt>
                <c:pt idx="35">
                  <c:v>220893.52569309995</c:v>
                </c:pt>
                <c:pt idx="36">
                  <c:v>276116.90711637493</c:v>
                </c:pt>
                <c:pt idx="37">
                  <c:v>345146.13389546867</c:v>
                </c:pt>
                <c:pt idx="38">
                  <c:v>431432.66736933583</c:v>
                </c:pt>
                <c:pt idx="39">
                  <c:v>539290.83421166975</c:v>
                </c:pt>
                <c:pt idx="40">
                  <c:v>674113.54276458721</c:v>
                </c:pt>
                <c:pt idx="41">
                  <c:v>842641.92845573404</c:v>
                </c:pt>
                <c:pt idx="42">
                  <c:v>1053302.4105696676</c:v>
                </c:pt>
                <c:pt idx="43">
                  <c:v>1316628.0132120845</c:v>
                </c:pt>
                <c:pt idx="44">
                  <c:v>1645785.0165151057</c:v>
                </c:pt>
                <c:pt idx="45">
                  <c:v>2057231.2706438822</c:v>
                </c:pt>
                <c:pt idx="46">
                  <c:v>2571539.0883048526</c:v>
                </c:pt>
                <c:pt idx="47">
                  <c:v>3214423.8603810659</c:v>
                </c:pt>
                <c:pt idx="48">
                  <c:v>4018029.8254763326</c:v>
                </c:pt>
                <c:pt idx="49">
                  <c:v>5022537.2818454159</c:v>
                </c:pt>
                <c:pt idx="50">
                  <c:v>6278171.6023067702</c:v>
                </c:pt>
                <c:pt idx="51">
                  <c:v>7847714.5028834622</c:v>
                </c:pt>
                <c:pt idx="52">
                  <c:v>9809643.1286043283</c:v>
                </c:pt>
                <c:pt idx="53">
                  <c:v>12262053.910755411</c:v>
                </c:pt>
                <c:pt idx="54">
                  <c:v>15327567.388444263</c:v>
                </c:pt>
                <c:pt idx="55">
                  <c:v>19159459.235555328</c:v>
                </c:pt>
                <c:pt idx="56">
                  <c:v>23949324.044444159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77-41EE-A5F2-80C01F3CAFDE}"/>
            </c:ext>
          </c:extLst>
        </c:ser>
        <c:ser>
          <c:idx val="4"/>
          <c:order val="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2245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13601</c:v>
                </c:pt>
                <c:pt idx="23">
                  <c:v>19041.399999999998</c:v>
                </c:pt>
                <c:pt idx="24">
                  <c:v>26657.959999999995</c:v>
                </c:pt>
                <c:pt idx="25">
                  <c:v>37321.143999999993</c:v>
                </c:pt>
                <c:pt idx="26">
                  <c:v>52249.601599999987</c:v>
                </c:pt>
                <c:pt idx="27">
                  <c:v>73149.442239999975</c:v>
                </c:pt>
                <c:pt idx="28">
                  <c:v>102409.21913599996</c:v>
                </c:pt>
                <c:pt idx="29">
                  <c:v>143372.90679039992</c:v>
                </c:pt>
                <c:pt idx="30">
                  <c:v>200722.06950655987</c:v>
                </c:pt>
                <c:pt idx="31">
                  <c:v>281010.89730918378</c:v>
                </c:pt>
                <c:pt idx="32">
                  <c:v>393415.2562328573</c:v>
                </c:pt>
                <c:pt idx="33">
                  <c:v>550781.35872600018</c:v>
                </c:pt>
                <c:pt idx="34">
                  <c:v>771093.90221640025</c:v>
                </c:pt>
                <c:pt idx="35">
                  <c:v>1079531.4631029603</c:v>
                </c:pt>
                <c:pt idx="36">
                  <c:v>1511344.0483441444</c:v>
                </c:pt>
                <c:pt idx="37">
                  <c:v>2115881.6676818021</c:v>
                </c:pt>
                <c:pt idx="38">
                  <c:v>2962234.3347545229</c:v>
                </c:pt>
                <c:pt idx="39">
                  <c:v>4147128.0686563319</c:v>
                </c:pt>
                <c:pt idx="40">
                  <c:v>5805979.2961188639</c:v>
                </c:pt>
                <c:pt idx="41">
                  <c:v>8128371.0145664085</c:v>
                </c:pt>
                <c:pt idx="42">
                  <c:v>11379719.420392971</c:v>
                </c:pt>
                <c:pt idx="43">
                  <c:v>15931607.188550159</c:v>
                </c:pt>
                <c:pt idx="44">
                  <c:v>22304250.063970223</c:v>
                </c:pt>
                <c:pt idx="45">
                  <c:v>27154404.400000002</c:v>
                </c:pt>
                <c:pt idx="46">
                  <c:v>27154404.400000002</c:v>
                </c:pt>
                <c:pt idx="47">
                  <c:v>27154404.400000002</c:v>
                </c:pt>
                <c:pt idx="48">
                  <c:v>27154404.400000002</c:v>
                </c:pt>
                <c:pt idx="49">
                  <c:v>27154404.400000002</c:v>
                </c:pt>
                <c:pt idx="50">
                  <c:v>27154404.400000002</c:v>
                </c:pt>
                <c:pt idx="51">
                  <c:v>27154404.400000002</c:v>
                </c:pt>
                <c:pt idx="52">
                  <c:v>27154404.400000002</c:v>
                </c:pt>
                <c:pt idx="53">
                  <c:v>27154404.400000002</c:v>
                </c:pt>
                <c:pt idx="54">
                  <c:v>27154404.400000002</c:v>
                </c:pt>
                <c:pt idx="55">
                  <c:v>27154404.400000002</c:v>
                </c:pt>
                <c:pt idx="56">
                  <c:v>27154404.400000002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B77-41EE-A5F2-80C01F3CAFDE}"/>
            </c:ext>
          </c:extLst>
        </c:ser>
        <c:ser>
          <c:idx val="9"/>
          <c:order val="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1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B77-41EE-A5F2-80C01F3CAFDE}"/>
            </c:ext>
          </c:extLst>
        </c:ser>
        <c:ser>
          <c:idx val="10"/>
          <c:order val="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1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B77-41EE-A5F2-80C01F3CAFDE}"/>
            </c:ext>
          </c:extLst>
        </c:ser>
        <c:ser>
          <c:idx val="7"/>
          <c:order val="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2245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2B-4CE8-970A-B2E080C52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0.4137931034482758</c:v>
                </c:pt>
                <c:pt idx="1">
                  <c:v>0.4137931034482758</c:v>
                </c:pt>
                <c:pt idx="2">
                  <c:v>0.3878105139130445</c:v>
                </c:pt>
                <c:pt idx="3">
                  <c:v>0.36047114587337598</c:v>
                </c:pt>
                <c:pt idx="4">
                  <c:v>0.31946404668985179</c:v>
                </c:pt>
                <c:pt idx="5">
                  <c:v>0.29768224660644549</c:v>
                </c:pt>
                <c:pt idx="6">
                  <c:v>0.26327479160607559</c:v>
                </c:pt>
                <c:pt idx="7">
                  <c:v>0.24375103757513239</c:v>
                </c:pt>
                <c:pt idx="8">
                  <c:v>0.2331445047650933</c:v>
                </c:pt>
                <c:pt idx="9">
                  <c:v>0.25217557109651495</c:v>
                </c:pt>
                <c:pt idx="10">
                  <c:v>0.26866258743322646</c:v>
                </c:pt>
                <c:pt idx="11">
                  <c:v>0.26441332233001691</c:v>
                </c:pt>
                <c:pt idx="12">
                  <c:v>0.24732057987444014</c:v>
                </c:pt>
                <c:pt idx="13">
                  <c:v>0.23178383810369976</c:v>
                </c:pt>
                <c:pt idx="14">
                  <c:v>0.20546183737703827</c:v>
                </c:pt>
                <c:pt idx="15">
                  <c:v>0.19802804215328088</c:v>
                </c:pt>
                <c:pt idx="16">
                  <c:v>0.21355425404870113</c:v>
                </c:pt>
                <c:pt idx="17">
                  <c:v>0.24451873664365462</c:v>
                </c:pt>
                <c:pt idx="18">
                  <c:v>0.24004499929983139</c:v>
                </c:pt>
                <c:pt idx="19">
                  <c:v>0.22812795673188679</c:v>
                </c:pt>
                <c:pt idx="20">
                  <c:v>0.20588472190383214</c:v>
                </c:pt>
                <c:pt idx="21">
                  <c:v>0.19697532363137316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B77-41EE-A5F2-80C01F3CAFDE}"/>
            </c:ext>
          </c:extLst>
        </c:ser>
        <c:ser>
          <c:idx val="6"/>
          <c:order val="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12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0.26735534271547262</c:v>
                </c:pt>
                <c:pt idx="10">
                  <c:v>0.33277327746865226</c:v>
                </c:pt>
                <c:pt idx="11">
                  <c:v>0.43382968468155042</c:v>
                </c:pt>
                <c:pt idx="12">
                  <c:v>0.46733091080649847</c:v>
                </c:pt>
                <c:pt idx="13">
                  <c:v>0.50765076945859167</c:v>
                </c:pt>
                <c:pt idx="14">
                  <c:v>0.50147402712824307</c:v>
                </c:pt>
                <c:pt idx="15">
                  <c:v>0.46962812331465204</c:v>
                </c:pt>
                <c:pt idx="16">
                  <c:v>0.39091843509148977</c:v>
                </c:pt>
                <c:pt idx="17">
                  <c:v>0.34438552075470646</c:v>
                </c:pt>
                <c:pt idx="18">
                  <c:v>0.30435355830565669</c:v>
                </c:pt>
                <c:pt idx="19">
                  <c:v>0.27769234266814796</c:v>
                </c:pt>
                <c:pt idx="20">
                  <c:v>0.24256186668586807</c:v>
                </c:pt>
                <c:pt idx="21">
                  <c:v>0.22080586879509215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B77-41EE-A5F2-80C01F3CA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22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291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Number of active</a:t>
                </a:r>
                <a:r>
                  <a:rPr lang="en-GB" baseline="0"/>
                  <a:t> cases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4.7819969487470654E-3"/>
              <c:y val="0.236291539608290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Rate of</a:t>
                </a:r>
                <a:r>
                  <a:rPr lang="en-GB" baseline="0"/>
                  <a:t> increase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"/>
          <c:y val="0.90596842778897335"/>
          <c:w val="0.99757747238268935"/>
          <c:h val="9.40315914166993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4480.4767259999999</c:v>
                </c:pt>
                <c:pt idx="1">
                  <c:v>4480.4767259999999</c:v>
                </c:pt>
                <c:pt idx="2">
                  <c:v>4480.4767259999999</c:v>
                </c:pt>
                <c:pt idx="3">
                  <c:v>4480.4767259999999</c:v>
                </c:pt>
                <c:pt idx="4">
                  <c:v>4480.4767259999999</c:v>
                </c:pt>
                <c:pt idx="5">
                  <c:v>4480.4767259999999</c:v>
                </c:pt>
                <c:pt idx="6">
                  <c:v>4480.4767259999999</c:v>
                </c:pt>
                <c:pt idx="7">
                  <c:v>4480.4767259999999</c:v>
                </c:pt>
                <c:pt idx="8">
                  <c:v>4480.4767259999999</c:v>
                </c:pt>
                <c:pt idx="9">
                  <c:v>4480.4767259999999</c:v>
                </c:pt>
                <c:pt idx="10">
                  <c:v>4480.4767259999999</c:v>
                </c:pt>
                <c:pt idx="11">
                  <c:v>4480.4767259999999</c:v>
                </c:pt>
                <c:pt idx="12">
                  <c:v>4480.4767259999999</c:v>
                </c:pt>
                <c:pt idx="13">
                  <c:v>4480.4767259999999</c:v>
                </c:pt>
                <c:pt idx="14">
                  <c:v>4480.4767259999999</c:v>
                </c:pt>
                <c:pt idx="15">
                  <c:v>4480.4767259999999</c:v>
                </c:pt>
                <c:pt idx="16">
                  <c:v>4480.4767259999999</c:v>
                </c:pt>
                <c:pt idx="17">
                  <c:v>4480.4767259999999</c:v>
                </c:pt>
                <c:pt idx="18">
                  <c:v>4480.4767259999999</c:v>
                </c:pt>
                <c:pt idx="19">
                  <c:v>4480.4767259999999</c:v>
                </c:pt>
                <c:pt idx="20">
                  <c:v>4480.4767259999999</c:v>
                </c:pt>
                <c:pt idx="21">
                  <c:v>4480.4767259999999</c:v>
                </c:pt>
                <c:pt idx="22">
                  <c:v>4480.4767259999999</c:v>
                </c:pt>
                <c:pt idx="23">
                  <c:v>4480.4767259999999</c:v>
                </c:pt>
                <c:pt idx="24">
                  <c:v>4480.4767259999999</c:v>
                </c:pt>
                <c:pt idx="25">
                  <c:v>4480.4767259999999</c:v>
                </c:pt>
                <c:pt idx="26">
                  <c:v>4480.4767259999999</c:v>
                </c:pt>
                <c:pt idx="27">
                  <c:v>4480.4767259999999</c:v>
                </c:pt>
                <c:pt idx="28">
                  <c:v>4480.4767259999999</c:v>
                </c:pt>
                <c:pt idx="29">
                  <c:v>4480.4767259999999</c:v>
                </c:pt>
                <c:pt idx="30">
                  <c:v>4480.4767259999999</c:v>
                </c:pt>
                <c:pt idx="31">
                  <c:v>4480.4767259999999</c:v>
                </c:pt>
                <c:pt idx="32">
                  <c:v>4480.4767259999999</c:v>
                </c:pt>
                <c:pt idx="33">
                  <c:v>4480.4767259999999</c:v>
                </c:pt>
                <c:pt idx="34">
                  <c:v>4480.4767259999999</c:v>
                </c:pt>
                <c:pt idx="35">
                  <c:v>4480.4767259999999</c:v>
                </c:pt>
                <c:pt idx="36">
                  <c:v>4480.4767259999999</c:v>
                </c:pt>
                <c:pt idx="37">
                  <c:v>4480.4767259999999</c:v>
                </c:pt>
                <c:pt idx="38">
                  <c:v>4480.4767259999999</c:v>
                </c:pt>
                <c:pt idx="39">
                  <c:v>4480.4767259999999</c:v>
                </c:pt>
                <c:pt idx="40">
                  <c:v>4480.4767259999999</c:v>
                </c:pt>
                <c:pt idx="41">
                  <c:v>4480.4767259999999</c:v>
                </c:pt>
                <c:pt idx="42">
                  <c:v>4480.4767259999999</c:v>
                </c:pt>
                <c:pt idx="43">
                  <c:v>4480.4767259999999</c:v>
                </c:pt>
                <c:pt idx="44">
                  <c:v>4480.4767259999999</c:v>
                </c:pt>
                <c:pt idx="45">
                  <c:v>4480.4767259999999</c:v>
                </c:pt>
                <c:pt idx="46">
                  <c:v>4480.4767259999999</c:v>
                </c:pt>
                <c:pt idx="47">
                  <c:v>4480.4767259999999</c:v>
                </c:pt>
                <c:pt idx="48">
                  <c:v>4480.4767259999999</c:v>
                </c:pt>
                <c:pt idx="49">
                  <c:v>4480.4767259999999</c:v>
                </c:pt>
                <c:pt idx="50">
                  <c:v>4480.4767259999999</c:v>
                </c:pt>
                <c:pt idx="51">
                  <c:v>4480.4767259999999</c:v>
                </c:pt>
                <c:pt idx="52">
                  <c:v>4480.4767259999999</c:v>
                </c:pt>
                <c:pt idx="53">
                  <c:v>4480.4767259999999</c:v>
                </c:pt>
                <c:pt idx="54">
                  <c:v>4480.4767259999999</c:v>
                </c:pt>
                <c:pt idx="55">
                  <c:v>4480.4767259999999</c:v>
                </c:pt>
                <c:pt idx="56">
                  <c:v>4480.4767259999999</c:v>
                </c:pt>
                <c:pt idx="57">
                  <c:v>4480.4767259999999</c:v>
                </c:pt>
                <c:pt idx="58">
                  <c:v>4480.4767259999999</c:v>
                </c:pt>
                <c:pt idx="59">
                  <c:v>4480.4767259999999</c:v>
                </c:pt>
                <c:pt idx="60">
                  <c:v>4480.4767259999999</c:v>
                </c:pt>
                <c:pt idx="61">
                  <c:v>4480.4767259999999</c:v>
                </c:pt>
                <c:pt idx="62">
                  <c:v>4480.4767259999999</c:v>
                </c:pt>
                <c:pt idx="63">
                  <c:v>4480.4767259999999</c:v>
                </c:pt>
                <c:pt idx="64">
                  <c:v>4480.4767259999999</c:v>
                </c:pt>
                <c:pt idx="65">
                  <c:v>4480.4767259999999</c:v>
                </c:pt>
                <c:pt idx="66">
                  <c:v>4480.4767259999999</c:v>
                </c:pt>
                <c:pt idx="67">
                  <c:v>4480.4767259999999</c:v>
                </c:pt>
                <c:pt idx="68">
                  <c:v>4480.4767259999999</c:v>
                </c:pt>
                <c:pt idx="69">
                  <c:v>4480.4767259999999</c:v>
                </c:pt>
                <c:pt idx="70">
                  <c:v>4480.4767259999999</c:v>
                </c:pt>
                <c:pt idx="71">
                  <c:v>4480.4767259999999</c:v>
                </c:pt>
                <c:pt idx="72">
                  <c:v>4480.4767259999999</c:v>
                </c:pt>
                <c:pt idx="73">
                  <c:v>4480.4767259999999</c:v>
                </c:pt>
                <c:pt idx="74">
                  <c:v>4480.4767259999999</c:v>
                </c:pt>
                <c:pt idx="75">
                  <c:v>4480.4767259999999</c:v>
                </c:pt>
                <c:pt idx="76">
                  <c:v>4480.4767259999999</c:v>
                </c:pt>
                <c:pt idx="77">
                  <c:v>4480.4767259999999</c:v>
                </c:pt>
                <c:pt idx="78">
                  <c:v>4480.4767259999999</c:v>
                </c:pt>
                <c:pt idx="79">
                  <c:v>4480.4767259999999</c:v>
                </c:pt>
                <c:pt idx="80">
                  <c:v>4480.4767259999999</c:v>
                </c:pt>
                <c:pt idx="81">
                  <c:v>4480.4767259999999</c:v>
                </c:pt>
                <c:pt idx="82">
                  <c:v>4480.4767259999999</c:v>
                </c:pt>
                <c:pt idx="83">
                  <c:v>4480.4767259999999</c:v>
                </c:pt>
                <c:pt idx="84">
                  <c:v>4480.4767259999999</c:v>
                </c:pt>
                <c:pt idx="85">
                  <c:v>4480.4767259999999</c:v>
                </c:pt>
                <c:pt idx="86">
                  <c:v>4480.4767259999999</c:v>
                </c:pt>
                <c:pt idx="87">
                  <c:v>4480.4767259999999</c:v>
                </c:pt>
                <c:pt idx="88">
                  <c:v>4480.4767259999999</c:v>
                </c:pt>
                <c:pt idx="89">
                  <c:v>4480.4767259999999</c:v>
                </c:pt>
                <c:pt idx="90">
                  <c:v>4480.4767259999999</c:v>
                </c:pt>
                <c:pt idx="91">
                  <c:v>4480.4767259999999</c:v>
                </c:pt>
                <c:pt idx="92">
                  <c:v>4480.4767259999999</c:v>
                </c:pt>
                <c:pt idx="93">
                  <c:v>4480.4767259999999</c:v>
                </c:pt>
                <c:pt idx="94">
                  <c:v>4480.4767259999999</c:v>
                </c:pt>
                <c:pt idx="95">
                  <c:v>4480.4767259999999</c:v>
                </c:pt>
                <c:pt idx="96">
                  <c:v>4480.4767259999999</c:v>
                </c:pt>
                <c:pt idx="97">
                  <c:v>4480.4767259999999</c:v>
                </c:pt>
                <c:pt idx="98">
                  <c:v>4480.4767259999999</c:v>
                </c:pt>
                <c:pt idx="99">
                  <c:v>4480.4767259999999</c:v>
                </c:pt>
                <c:pt idx="100">
                  <c:v>4480.4767259999999</c:v>
                </c:pt>
                <c:pt idx="101">
                  <c:v>4480.4767259999999</c:v>
                </c:pt>
                <c:pt idx="102">
                  <c:v>4480.4767259999999</c:v>
                </c:pt>
                <c:pt idx="103">
                  <c:v>4480.4767259999999</c:v>
                </c:pt>
                <c:pt idx="104">
                  <c:v>4480.4767259999999</c:v>
                </c:pt>
                <c:pt idx="105">
                  <c:v>4480.4767259999999</c:v>
                </c:pt>
                <c:pt idx="106">
                  <c:v>4480.4767259999999</c:v>
                </c:pt>
                <c:pt idx="107">
                  <c:v>4480.4767259999999</c:v>
                </c:pt>
                <c:pt idx="108">
                  <c:v>4480.4767259999999</c:v>
                </c:pt>
                <c:pt idx="109">
                  <c:v>4480.4767259999999</c:v>
                </c:pt>
                <c:pt idx="110">
                  <c:v>4480.4767259999999</c:v>
                </c:pt>
                <c:pt idx="111">
                  <c:v>4480.4767259999999</c:v>
                </c:pt>
                <c:pt idx="112">
                  <c:v>4480.4767259999999</c:v>
                </c:pt>
                <c:pt idx="113">
                  <c:v>4480.4767259999999</c:v>
                </c:pt>
                <c:pt idx="114">
                  <c:v>4480.4767259999999</c:v>
                </c:pt>
                <c:pt idx="115">
                  <c:v>4480.4767259999999</c:v>
                </c:pt>
                <c:pt idx="116">
                  <c:v>4480.4767259999999</c:v>
                </c:pt>
                <c:pt idx="117">
                  <c:v>4480.4767259999999</c:v>
                </c:pt>
                <c:pt idx="118">
                  <c:v>4480.4767259999999</c:v>
                </c:pt>
                <c:pt idx="119">
                  <c:v>4480.4767259999999</c:v>
                </c:pt>
                <c:pt idx="120">
                  <c:v>4480.4767259999999</c:v>
                </c:pt>
                <c:pt idx="121">
                  <c:v>4480.4767259999999</c:v>
                </c:pt>
                <c:pt idx="122">
                  <c:v>4480.4767259999999</c:v>
                </c:pt>
                <c:pt idx="123">
                  <c:v>4480.4767259999999</c:v>
                </c:pt>
                <c:pt idx="124">
                  <c:v>4480.4767259999999</c:v>
                </c:pt>
                <c:pt idx="125">
                  <c:v>4480.4767259999999</c:v>
                </c:pt>
                <c:pt idx="126">
                  <c:v>4480.4767259999999</c:v>
                </c:pt>
                <c:pt idx="127">
                  <c:v>4480.4767259999999</c:v>
                </c:pt>
                <c:pt idx="128">
                  <c:v>4480.4767259999999</c:v>
                </c:pt>
                <c:pt idx="129">
                  <c:v>4480.4767259999999</c:v>
                </c:pt>
                <c:pt idx="130">
                  <c:v>4480.4767259999999</c:v>
                </c:pt>
                <c:pt idx="131">
                  <c:v>4480.4767259999999</c:v>
                </c:pt>
                <c:pt idx="132">
                  <c:v>4480.4767259999999</c:v>
                </c:pt>
                <c:pt idx="133">
                  <c:v>4480.4767259999999</c:v>
                </c:pt>
                <c:pt idx="134">
                  <c:v>4480.4767259999999</c:v>
                </c:pt>
                <c:pt idx="135">
                  <c:v>4480.4767259999999</c:v>
                </c:pt>
                <c:pt idx="136">
                  <c:v>4480.4767259999999</c:v>
                </c:pt>
                <c:pt idx="137">
                  <c:v>4480.4767259999999</c:v>
                </c:pt>
                <c:pt idx="138">
                  <c:v>4480.4767259999999</c:v>
                </c:pt>
                <c:pt idx="139">
                  <c:v>4480.4767259999999</c:v>
                </c:pt>
                <c:pt idx="140">
                  <c:v>4480.4767259999999</c:v>
                </c:pt>
                <c:pt idx="141">
                  <c:v>4480.4767259999999</c:v>
                </c:pt>
                <c:pt idx="142">
                  <c:v>4480.4767259999999</c:v>
                </c:pt>
                <c:pt idx="143">
                  <c:v>4480.4767259999999</c:v>
                </c:pt>
                <c:pt idx="144">
                  <c:v>4480.4767259999999</c:v>
                </c:pt>
                <c:pt idx="145">
                  <c:v>4480.4767259999999</c:v>
                </c:pt>
                <c:pt idx="146">
                  <c:v>4480.4767259999999</c:v>
                </c:pt>
                <c:pt idx="147">
                  <c:v>4480.4767259999999</c:v>
                </c:pt>
                <c:pt idx="148">
                  <c:v>4480.4767259999999</c:v>
                </c:pt>
                <c:pt idx="149">
                  <c:v>4480.4767259999999</c:v>
                </c:pt>
                <c:pt idx="150">
                  <c:v>4480.4767259999999</c:v>
                </c:pt>
                <c:pt idx="151">
                  <c:v>4480.4767259999999</c:v>
                </c:pt>
                <c:pt idx="152">
                  <c:v>4480.4767259999999</c:v>
                </c:pt>
                <c:pt idx="153">
                  <c:v>4480.4767259999999</c:v>
                </c:pt>
                <c:pt idx="154">
                  <c:v>4480.4767259999999</c:v>
                </c:pt>
                <c:pt idx="155">
                  <c:v>4480.4767259999999</c:v>
                </c:pt>
                <c:pt idx="156">
                  <c:v>4480.4767259999999</c:v>
                </c:pt>
                <c:pt idx="157">
                  <c:v>4480.4767259999999</c:v>
                </c:pt>
                <c:pt idx="158">
                  <c:v>4480.4767259999999</c:v>
                </c:pt>
                <c:pt idx="159">
                  <c:v>4480.4767259999999</c:v>
                </c:pt>
                <c:pt idx="160">
                  <c:v>4480.4767259999999</c:v>
                </c:pt>
                <c:pt idx="161">
                  <c:v>4480.4767259999999</c:v>
                </c:pt>
                <c:pt idx="162">
                  <c:v>4480.4767259999999</c:v>
                </c:pt>
                <c:pt idx="163">
                  <c:v>4480.4767259999999</c:v>
                </c:pt>
                <c:pt idx="164">
                  <c:v>4480.4767259999999</c:v>
                </c:pt>
                <c:pt idx="165">
                  <c:v>4480.4767259999999</c:v>
                </c:pt>
                <c:pt idx="166">
                  <c:v>4480.4767259999999</c:v>
                </c:pt>
                <c:pt idx="167">
                  <c:v>4480.4767259999999</c:v>
                </c:pt>
                <c:pt idx="168">
                  <c:v>4480.4767259999999</c:v>
                </c:pt>
                <c:pt idx="169">
                  <c:v>4480.4767259999999</c:v>
                </c:pt>
                <c:pt idx="170">
                  <c:v>4480.4767259999999</c:v>
                </c:pt>
                <c:pt idx="171">
                  <c:v>4480.4767259999999</c:v>
                </c:pt>
                <c:pt idx="172">
                  <c:v>4480.4767259999999</c:v>
                </c:pt>
                <c:pt idx="173">
                  <c:v>4480.4767259999999</c:v>
                </c:pt>
                <c:pt idx="174">
                  <c:v>4480.4767259999999</c:v>
                </c:pt>
                <c:pt idx="175">
                  <c:v>4480.4767259999999</c:v>
                </c:pt>
                <c:pt idx="176">
                  <c:v>4480.4767259999999</c:v>
                </c:pt>
                <c:pt idx="177">
                  <c:v>4480.4767259999999</c:v>
                </c:pt>
                <c:pt idx="178">
                  <c:v>4480.4767259999999</c:v>
                </c:pt>
                <c:pt idx="179">
                  <c:v>4480.4767259999999</c:v>
                </c:pt>
                <c:pt idx="180">
                  <c:v>4480.4767259999999</c:v>
                </c:pt>
                <c:pt idx="181">
                  <c:v>4480.4767259999999</c:v>
                </c:pt>
                <c:pt idx="182">
                  <c:v>4480.4767259999999</c:v>
                </c:pt>
                <c:pt idx="183">
                  <c:v>4480.4767259999999</c:v>
                </c:pt>
                <c:pt idx="184">
                  <c:v>4480.4767259999999</c:v>
                </c:pt>
                <c:pt idx="185">
                  <c:v>4480.4767259999999</c:v>
                </c:pt>
                <c:pt idx="186">
                  <c:v>4480.4767259999999</c:v>
                </c:pt>
                <c:pt idx="187">
                  <c:v>4480.4767259999999</c:v>
                </c:pt>
                <c:pt idx="188">
                  <c:v>4480.4767259999999</c:v>
                </c:pt>
                <c:pt idx="189">
                  <c:v>4480.4767259999999</c:v>
                </c:pt>
                <c:pt idx="190">
                  <c:v>4480.4767259999999</c:v>
                </c:pt>
                <c:pt idx="191">
                  <c:v>4480.4767259999999</c:v>
                </c:pt>
                <c:pt idx="192">
                  <c:v>4480.4767259999999</c:v>
                </c:pt>
                <c:pt idx="193">
                  <c:v>4480.4767259999999</c:v>
                </c:pt>
                <c:pt idx="194">
                  <c:v>4480.4767259999999</c:v>
                </c:pt>
                <c:pt idx="195">
                  <c:v>4480.4767259999999</c:v>
                </c:pt>
                <c:pt idx="196">
                  <c:v>4480.4767259999999</c:v>
                </c:pt>
                <c:pt idx="197">
                  <c:v>4480.4767259999999</c:v>
                </c:pt>
                <c:pt idx="198">
                  <c:v>4480.4767259999999</c:v>
                </c:pt>
                <c:pt idx="199">
                  <c:v>4480.4767259999999</c:v>
                </c:pt>
                <c:pt idx="200">
                  <c:v>4480.4767259999999</c:v>
                </c:pt>
                <c:pt idx="201">
                  <c:v>4480.4767259999999</c:v>
                </c:pt>
                <c:pt idx="202">
                  <c:v>4480.4767259999999</c:v>
                </c:pt>
                <c:pt idx="203">
                  <c:v>4480.4767259999999</c:v>
                </c:pt>
                <c:pt idx="204">
                  <c:v>4480.4767259999999</c:v>
                </c:pt>
                <c:pt idx="205">
                  <c:v>4480.4767259999999</c:v>
                </c:pt>
                <c:pt idx="206">
                  <c:v>4480.4767259999999</c:v>
                </c:pt>
                <c:pt idx="207">
                  <c:v>4480.4767259999999</c:v>
                </c:pt>
                <c:pt idx="208">
                  <c:v>4480.4767259999999</c:v>
                </c:pt>
                <c:pt idx="209">
                  <c:v>4480.4767259999999</c:v>
                </c:pt>
                <c:pt idx="210">
                  <c:v>4480.4767259999999</c:v>
                </c:pt>
                <c:pt idx="211">
                  <c:v>4480.4767259999999</c:v>
                </c:pt>
                <c:pt idx="212">
                  <c:v>4480.4767259999999</c:v>
                </c:pt>
                <c:pt idx="213">
                  <c:v>4480.4767259999999</c:v>
                </c:pt>
                <c:pt idx="214">
                  <c:v>4480.4767259999999</c:v>
                </c:pt>
                <c:pt idx="215">
                  <c:v>4480.4767259999999</c:v>
                </c:pt>
                <c:pt idx="216">
                  <c:v>4480.4767259999999</c:v>
                </c:pt>
                <c:pt idx="217">
                  <c:v>4480.4767259999999</c:v>
                </c:pt>
                <c:pt idx="218">
                  <c:v>4480.4767259999999</c:v>
                </c:pt>
                <c:pt idx="219">
                  <c:v>4480.4767259999999</c:v>
                </c:pt>
                <c:pt idx="220">
                  <c:v>4480.4767259999999</c:v>
                </c:pt>
                <c:pt idx="221">
                  <c:v>4480.4767259999999</c:v>
                </c:pt>
                <c:pt idx="222">
                  <c:v>4480.4767259999999</c:v>
                </c:pt>
                <c:pt idx="223">
                  <c:v>4480.4767259999999</c:v>
                </c:pt>
                <c:pt idx="224">
                  <c:v>4480.4767259999999</c:v>
                </c:pt>
                <c:pt idx="225">
                  <c:v>4480.4767259999999</c:v>
                </c:pt>
                <c:pt idx="226">
                  <c:v>4480.4767259999999</c:v>
                </c:pt>
                <c:pt idx="227">
                  <c:v>4480.4767259999999</c:v>
                </c:pt>
                <c:pt idx="228">
                  <c:v>4480.4767259999999</c:v>
                </c:pt>
                <c:pt idx="229">
                  <c:v>4480.4767259999999</c:v>
                </c:pt>
                <c:pt idx="230">
                  <c:v>4480.4767259999999</c:v>
                </c:pt>
                <c:pt idx="231">
                  <c:v>4480.4767259999999</c:v>
                </c:pt>
                <c:pt idx="232">
                  <c:v>4480.4767259999999</c:v>
                </c:pt>
                <c:pt idx="233">
                  <c:v>4480.4767259999999</c:v>
                </c:pt>
                <c:pt idx="234">
                  <c:v>4480.4767259999999</c:v>
                </c:pt>
                <c:pt idx="235">
                  <c:v>4480.4767259999999</c:v>
                </c:pt>
                <c:pt idx="236">
                  <c:v>4480.4767259999999</c:v>
                </c:pt>
                <c:pt idx="237">
                  <c:v>4480.4767259999999</c:v>
                </c:pt>
                <c:pt idx="238">
                  <c:v>4480.4767259999999</c:v>
                </c:pt>
                <c:pt idx="239">
                  <c:v>4480.4767259999999</c:v>
                </c:pt>
                <c:pt idx="240">
                  <c:v>4480.4767259999999</c:v>
                </c:pt>
                <c:pt idx="241">
                  <c:v>4480.4767259999999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10%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14.239756180155773</c:v>
                </c:pt>
                <c:pt idx="1">
                  <c:v>20.132069082289195</c:v>
                </c:pt>
                <c:pt idx="2">
                  <c:v>25.41059939045039</c:v>
                </c:pt>
                <c:pt idx="3">
                  <c:v>33.635286149678294</c:v>
                </c:pt>
                <c:pt idx="4">
                  <c:v>39.527599051811713</c:v>
                </c:pt>
                <c:pt idx="5">
                  <c:v>47.138503217067388</c:v>
                </c:pt>
                <c:pt idx="6">
                  <c:v>56.345242126650859</c:v>
                </c:pt>
                <c:pt idx="7">
                  <c:v>72.180833051134442</c:v>
                </c:pt>
                <c:pt idx="8">
                  <c:v>98.082458516762614</c:v>
                </c:pt>
                <c:pt idx="9">
                  <c:v>138.83762275651878</c:v>
                </c:pt>
                <c:pt idx="10">
                  <c:v>163.02065695902471</c:v>
                </c:pt>
                <c:pt idx="11">
                  <c:v>156.02353538774128</c:v>
                </c:pt>
                <c:pt idx="12">
                  <c:v>206.84473416864205</c:v>
                </c:pt>
                <c:pt idx="13">
                  <c:v>281.84896715204877</c:v>
                </c:pt>
                <c:pt idx="14">
                  <c:v>275.58838469353202</c:v>
                </c:pt>
                <c:pt idx="15">
                  <c:v>426.45614629190652</c:v>
                </c:pt>
                <c:pt idx="16">
                  <c:v>539.51490010159159</c:v>
                </c:pt>
                <c:pt idx="17">
                  <c:v>606.0489332881815</c:v>
                </c:pt>
                <c:pt idx="18">
                  <c:v>697.37978327124961</c:v>
                </c:pt>
                <c:pt idx="19">
                  <c:v>827.25618015577379</c:v>
                </c:pt>
                <c:pt idx="20">
                  <c:v>947.55756857433119</c:v>
                </c:pt>
                <c:pt idx="21">
                  <c:v>1192.579580088046</c:v>
                </c:pt>
                <c:pt idx="22">
                  <c:v>1311.8375380968507</c:v>
                </c:pt>
                <c:pt idx="23">
                  <c:v>1443.0212919065359</c:v>
                </c:pt>
                <c:pt idx="24">
                  <c:v>1587.3234210971896</c:v>
                </c:pt>
                <c:pt idx="25">
                  <c:v>1746.0557632069085</c:v>
                </c:pt>
                <c:pt idx="26">
                  <c:v>1920.6613395275997</c:v>
                </c:pt>
                <c:pt idx="27">
                  <c:v>2112.7274734803595</c:v>
                </c:pt>
                <c:pt idx="28">
                  <c:v>2324.0002208283959</c:v>
                </c:pt>
                <c:pt idx="29">
                  <c:v>2556.4002429112356</c:v>
                </c:pt>
                <c:pt idx="30">
                  <c:v>2812.0402672023592</c:v>
                </c:pt>
                <c:pt idx="31">
                  <c:v>3093.2442939225953</c:v>
                </c:pt>
                <c:pt idx="32">
                  <c:v>3402.5687233148556</c:v>
                </c:pt>
                <c:pt idx="33">
                  <c:v>3742.8255956463413</c:v>
                </c:pt>
                <c:pt idx="34">
                  <c:v>4117.1081552109754</c:v>
                </c:pt>
                <c:pt idx="35">
                  <c:v>4528.8189707320735</c:v>
                </c:pt>
                <c:pt idx="36">
                  <c:v>4981.7008678052816</c:v>
                </c:pt>
                <c:pt idx="37">
                  <c:v>5479.8709545858101</c:v>
                </c:pt>
                <c:pt idx="38">
                  <c:v>6027.8580500443913</c:v>
                </c:pt>
                <c:pt idx="39">
                  <c:v>6630.643855048831</c:v>
                </c:pt>
                <c:pt idx="40">
                  <c:v>7293.7082405537149</c:v>
                </c:pt>
                <c:pt idx="41">
                  <c:v>8023.0790646090882</c:v>
                </c:pt>
                <c:pt idx="42">
                  <c:v>8825.3869710699983</c:v>
                </c:pt>
                <c:pt idx="43">
                  <c:v>9707.9256681769984</c:v>
                </c:pt>
                <c:pt idx="44">
                  <c:v>10678.7182349947</c:v>
                </c:pt>
                <c:pt idx="45">
                  <c:v>11746.59005849417</c:v>
                </c:pt>
                <c:pt idx="46">
                  <c:v>12921.249064343587</c:v>
                </c:pt>
                <c:pt idx="47">
                  <c:v>14213.373970777948</c:v>
                </c:pt>
                <c:pt idx="48">
                  <c:v>15634.711367855743</c:v>
                </c:pt>
                <c:pt idx="49">
                  <c:v>17198.182504641321</c:v>
                </c:pt>
                <c:pt idx="50">
                  <c:v>18918.000755105451</c:v>
                </c:pt>
                <c:pt idx="51">
                  <c:v>20809.800830615997</c:v>
                </c:pt>
                <c:pt idx="52">
                  <c:v>22890.780913677598</c:v>
                </c:pt>
                <c:pt idx="53">
                  <c:v>25179.85900504536</c:v>
                </c:pt>
                <c:pt idx="54">
                  <c:v>27697.844905549897</c:v>
                </c:pt>
                <c:pt idx="55">
                  <c:v>30467.62939610489</c:v>
                </c:pt>
                <c:pt idx="56">
                  <c:v>33514.392335715384</c:v>
                </c:pt>
                <c:pt idx="57">
                  <c:v>36865.831569286922</c:v>
                </c:pt>
                <c:pt idx="58">
                  <c:v>40552.414726215618</c:v>
                </c:pt>
                <c:pt idx="59">
                  <c:v>44607.65619883719</c:v>
                </c:pt>
                <c:pt idx="60">
                  <c:v>49068.421818720912</c:v>
                </c:pt>
                <c:pt idx="61">
                  <c:v>53975.264000593008</c:v>
                </c:pt>
                <c:pt idx="62">
                  <c:v>59372.790400652317</c:v>
                </c:pt>
                <c:pt idx="63">
                  <c:v>65310.069440717562</c:v>
                </c:pt>
                <c:pt idx="64">
                  <c:v>71841.076384789325</c:v>
                </c:pt>
                <c:pt idx="65">
                  <c:v>79025.184023268259</c:v>
                </c:pt>
                <c:pt idx="66">
                  <c:v>86927.702425595096</c:v>
                </c:pt>
                <c:pt idx="67">
                  <c:v>95620.472668154602</c:v>
                </c:pt>
                <c:pt idx="68">
                  <c:v>105182.51993497009</c:v>
                </c:pt>
                <c:pt idx="69">
                  <c:v>115700.7719284671</c:v>
                </c:pt>
                <c:pt idx="70">
                  <c:v>127270.84912131382</c:v>
                </c:pt>
                <c:pt idx="71">
                  <c:v>139997.9340334452</c:v>
                </c:pt>
                <c:pt idx="72">
                  <c:v>153997.72743678975</c:v>
                </c:pt>
                <c:pt idx="73">
                  <c:v>169397.50018046875</c:v>
                </c:pt>
                <c:pt idx="74">
                  <c:v>186337.25019851563</c:v>
                </c:pt>
                <c:pt idx="75">
                  <c:v>204970.97521836721</c:v>
                </c:pt>
                <c:pt idx="76">
                  <c:v>225468.07274020393</c:v>
                </c:pt>
                <c:pt idx="77">
                  <c:v>248014.88001422436</c:v>
                </c:pt>
                <c:pt idx="78">
                  <c:v>272816.36801564682</c:v>
                </c:pt>
                <c:pt idx="79">
                  <c:v>300098.00481721148</c:v>
                </c:pt>
                <c:pt idx="80">
                  <c:v>330107.80529893271</c:v>
                </c:pt>
                <c:pt idx="81">
                  <c:v>363118.58582882601</c:v>
                </c:pt>
                <c:pt idx="82">
                  <c:v>399430.44441170862</c:v>
                </c:pt>
                <c:pt idx="83">
                  <c:v>439373.4888528795</c:v>
                </c:pt>
                <c:pt idx="84">
                  <c:v>483310.83773816755</c:v>
                </c:pt>
                <c:pt idx="85">
                  <c:v>531641.92151198431</c:v>
                </c:pt>
                <c:pt idx="86">
                  <c:v>584806.11366318283</c:v>
                </c:pt>
                <c:pt idx="87">
                  <c:v>643286.72502950125</c:v>
                </c:pt>
                <c:pt idx="88">
                  <c:v>707615.39753245143</c:v>
                </c:pt>
                <c:pt idx="89">
                  <c:v>778376.93728569662</c:v>
                </c:pt>
                <c:pt idx="90">
                  <c:v>856214.6310142664</c:v>
                </c:pt>
                <c:pt idx="91">
                  <c:v>941836.09411569301</c:v>
                </c:pt>
                <c:pt idx="92">
                  <c:v>1036019.7035272623</c:v>
                </c:pt>
                <c:pt idx="93">
                  <c:v>1139621.6738799887</c:v>
                </c:pt>
                <c:pt idx="94">
                  <c:v>1253583.8412679876</c:v>
                </c:pt>
                <c:pt idx="95">
                  <c:v>1378942.2253947866</c:v>
                </c:pt>
                <c:pt idx="96">
                  <c:v>1516836.4479342652</c:v>
                </c:pt>
                <c:pt idx="97">
                  <c:v>1668520.0927276921</c:v>
                </c:pt>
                <c:pt idx="98">
                  <c:v>1835372.1020004614</c:v>
                </c:pt>
                <c:pt idx="99">
                  <c:v>2018909.3122005076</c:v>
                </c:pt>
                <c:pt idx="100">
                  <c:v>2220800.2434205585</c:v>
                </c:pt>
                <c:pt idx="101">
                  <c:v>2442880.2677626144</c:v>
                </c:pt>
                <c:pt idx="102">
                  <c:v>2687168.294538876</c:v>
                </c:pt>
                <c:pt idx="103">
                  <c:v>2955885.1239927639</c:v>
                </c:pt>
                <c:pt idx="104">
                  <c:v>3251473.6363920406</c:v>
                </c:pt>
                <c:pt idx="105">
                  <c:v>3333380.1540805963</c:v>
                </c:pt>
                <c:pt idx="106">
                  <c:v>3333380.1540805963</c:v>
                </c:pt>
                <c:pt idx="107">
                  <c:v>3333380.1540805963</c:v>
                </c:pt>
                <c:pt idx="108">
                  <c:v>3333380.1540805963</c:v>
                </c:pt>
                <c:pt idx="109">
                  <c:v>3333380.1540805963</c:v>
                </c:pt>
                <c:pt idx="110">
                  <c:v>3333380.1540805963</c:v>
                </c:pt>
                <c:pt idx="111">
                  <c:v>3333380.1540805963</c:v>
                </c:pt>
                <c:pt idx="112">
                  <c:v>3333380.1540805963</c:v>
                </c:pt>
                <c:pt idx="113">
                  <c:v>3333380.1540805963</c:v>
                </c:pt>
                <c:pt idx="114">
                  <c:v>3333380.1540805963</c:v>
                </c:pt>
                <c:pt idx="115">
                  <c:v>3333380.1540805963</c:v>
                </c:pt>
                <c:pt idx="116">
                  <c:v>3333380.1540805963</c:v>
                </c:pt>
                <c:pt idx="117">
                  <c:v>3333380.1540805963</c:v>
                </c:pt>
                <c:pt idx="118">
                  <c:v>3333380.1540805963</c:v>
                </c:pt>
                <c:pt idx="119">
                  <c:v>3333380.1540805963</c:v>
                </c:pt>
                <c:pt idx="120">
                  <c:v>3333380.1540805963</c:v>
                </c:pt>
                <c:pt idx="121">
                  <c:v>3333380.1540805963</c:v>
                </c:pt>
                <c:pt idx="122">
                  <c:v>3333380.1540805963</c:v>
                </c:pt>
                <c:pt idx="123">
                  <c:v>3333380.1540805963</c:v>
                </c:pt>
                <c:pt idx="124">
                  <c:v>3333380.1540805963</c:v>
                </c:pt>
                <c:pt idx="125">
                  <c:v>3333380.1540805963</c:v>
                </c:pt>
                <c:pt idx="126">
                  <c:v>3333380.1540805963</c:v>
                </c:pt>
                <c:pt idx="127">
                  <c:v>3333380.1540805963</c:v>
                </c:pt>
                <c:pt idx="128">
                  <c:v>3333380.1540805963</c:v>
                </c:pt>
                <c:pt idx="129">
                  <c:v>3333380.1540805963</c:v>
                </c:pt>
                <c:pt idx="130">
                  <c:v>3333380.1540805963</c:v>
                </c:pt>
                <c:pt idx="131">
                  <c:v>3333380.1540805963</c:v>
                </c:pt>
                <c:pt idx="132">
                  <c:v>3333380.1540805963</c:v>
                </c:pt>
                <c:pt idx="133">
                  <c:v>3333380.1540805963</c:v>
                </c:pt>
                <c:pt idx="134">
                  <c:v>3333380.1540805963</c:v>
                </c:pt>
                <c:pt idx="135">
                  <c:v>3333380.1540805963</c:v>
                </c:pt>
                <c:pt idx="136">
                  <c:v>3333380.1540805963</c:v>
                </c:pt>
                <c:pt idx="137">
                  <c:v>3333380.1540805963</c:v>
                </c:pt>
                <c:pt idx="138">
                  <c:v>3333380.1540805963</c:v>
                </c:pt>
                <c:pt idx="139">
                  <c:v>3333380.1540805963</c:v>
                </c:pt>
                <c:pt idx="140">
                  <c:v>3333380.1540805963</c:v>
                </c:pt>
                <c:pt idx="141">
                  <c:v>3333380.1540805963</c:v>
                </c:pt>
                <c:pt idx="142">
                  <c:v>3333380.1540805963</c:v>
                </c:pt>
                <c:pt idx="143">
                  <c:v>3333380.1540805963</c:v>
                </c:pt>
                <c:pt idx="144">
                  <c:v>3333380.1540805963</c:v>
                </c:pt>
                <c:pt idx="145">
                  <c:v>3333380.1540805963</c:v>
                </c:pt>
                <c:pt idx="146">
                  <c:v>3333380.1540805963</c:v>
                </c:pt>
                <c:pt idx="147">
                  <c:v>3333380.1540805963</c:v>
                </c:pt>
                <c:pt idx="148">
                  <c:v>3333380.1540805963</c:v>
                </c:pt>
                <c:pt idx="149">
                  <c:v>3333380.1540805963</c:v>
                </c:pt>
                <c:pt idx="150">
                  <c:v>3333380.1540805963</c:v>
                </c:pt>
                <c:pt idx="151">
                  <c:v>3333380.1540805963</c:v>
                </c:pt>
                <c:pt idx="152">
                  <c:v>3333380.1540805963</c:v>
                </c:pt>
                <c:pt idx="153">
                  <c:v>3333380.1540805963</c:v>
                </c:pt>
                <c:pt idx="154">
                  <c:v>3333380.1540805963</c:v>
                </c:pt>
                <c:pt idx="155">
                  <c:v>3333380.1540805963</c:v>
                </c:pt>
                <c:pt idx="156">
                  <c:v>3333380.1540805963</c:v>
                </c:pt>
                <c:pt idx="157">
                  <c:v>3333380.1540805963</c:v>
                </c:pt>
                <c:pt idx="158">
                  <c:v>3333380.1540805963</c:v>
                </c:pt>
                <c:pt idx="159">
                  <c:v>3333380.1540805963</c:v>
                </c:pt>
                <c:pt idx="160">
                  <c:v>3333380.1540805963</c:v>
                </c:pt>
                <c:pt idx="161">
                  <c:v>3333380.1540805963</c:v>
                </c:pt>
                <c:pt idx="162">
                  <c:v>3333380.1540805963</c:v>
                </c:pt>
                <c:pt idx="163">
                  <c:v>3333380.1540805963</c:v>
                </c:pt>
                <c:pt idx="164">
                  <c:v>3333380.1540805963</c:v>
                </c:pt>
                <c:pt idx="165">
                  <c:v>3333380.1540805963</c:v>
                </c:pt>
                <c:pt idx="166">
                  <c:v>3333380.1540805963</c:v>
                </c:pt>
                <c:pt idx="167">
                  <c:v>3333380.1540805963</c:v>
                </c:pt>
                <c:pt idx="168">
                  <c:v>3333380.1540805963</c:v>
                </c:pt>
                <c:pt idx="169">
                  <c:v>3333380.1540805963</c:v>
                </c:pt>
                <c:pt idx="170">
                  <c:v>3333380.1540805963</c:v>
                </c:pt>
                <c:pt idx="171">
                  <c:v>3333380.1540805963</c:v>
                </c:pt>
                <c:pt idx="172">
                  <c:v>3333380.1540805963</c:v>
                </c:pt>
                <c:pt idx="173">
                  <c:v>3333380.1540805963</c:v>
                </c:pt>
                <c:pt idx="174">
                  <c:v>3333380.1540805963</c:v>
                </c:pt>
                <c:pt idx="175">
                  <c:v>3333380.1540805963</c:v>
                </c:pt>
                <c:pt idx="176">
                  <c:v>3333380.1540805963</c:v>
                </c:pt>
                <c:pt idx="177">
                  <c:v>3333380.1540805963</c:v>
                </c:pt>
                <c:pt idx="178">
                  <c:v>3333380.1540805963</c:v>
                </c:pt>
                <c:pt idx="179">
                  <c:v>3333380.1540805963</c:v>
                </c:pt>
                <c:pt idx="180">
                  <c:v>3333380.1540805963</c:v>
                </c:pt>
                <c:pt idx="181">
                  <c:v>3333380.1540805963</c:v>
                </c:pt>
                <c:pt idx="182">
                  <c:v>3333380.1540805963</c:v>
                </c:pt>
                <c:pt idx="183">
                  <c:v>3333380.1540805963</c:v>
                </c:pt>
                <c:pt idx="184">
                  <c:v>3333380.1540805963</c:v>
                </c:pt>
                <c:pt idx="185">
                  <c:v>3333380.1540805963</c:v>
                </c:pt>
                <c:pt idx="186">
                  <c:v>3333380.1540805963</c:v>
                </c:pt>
                <c:pt idx="187">
                  <c:v>3333380.1540805963</c:v>
                </c:pt>
                <c:pt idx="188">
                  <c:v>3333380.1540805963</c:v>
                </c:pt>
                <c:pt idx="189">
                  <c:v>3333380.1540805963</c:v>
                </c:pt>
                <c:pt idx="190">
                  <c:v>3333380.1540805963</c:v>
                </c:pt>
                <c:pt idx="191">
                  <c:v>3333380.1540805963</c:v>
                </c:pt>
                <c:pt idx="192">
                  <c:v>3333380.1540805963</c:v>
                </c:pt>
                <c:pt idx="193">
                  <c:v>3333380.1540805963</c:v>
                </c:pt>
                <c:pt idx="194">
                  <c:v>3333380.1540805963</c:v>
                </c:pt>
                <c:pt idx="195">
                  <c:v>3333380.1540805963</c:v>
                </c:pt>
                <c:pt idx="196">
                  <c:v>3333380.1540805963</c:v>
                </c:pt>
                <c:pt idx="197">
                  <c:v>3333380.1540805963</c:v>
                </c:pt>
                <c:pt idx="198">
                  <c:v>3333380.1540805963</c:v>
                </c:pt>
                <c:pt idx="199">
                  <c:v>3333380.1540805963</c:v>
                </c:pt>
                <c:pt idx="200">
                  <c:v>3333380.1540805963</c:v>
                </c:pt>
                <c:pt idx="201">
                  <c:v>3333380.1540805963</c:v>
                </c:pt>
                <c:pt idx="202">
                  <c:v>3333380.1540805963</c:v>
                </c:pt>
                <c:pt idx="203">
                  <c:v>3333380.1540805963</c:v>
                </c:pt>
                <c:pt idx="204">
                  <c:v>3333380.1540805963</c:v>
                </c:pt>
                <c:pt idx="205">
                  <c:v>3333380.1540805963</c:v>
                </c:pt>
                <c:pt idx="206">
                  <c:v>3333380.1540805963</c:v>
                </c:pt>
                <c:pt idx="207">
                  <c:v>3333380.1540805963</c:v>
                </c:pt>
                <c:pt idx="208">
                  <c:v>3333380.1540805963</c:v>
                </c:pt>
                <c:pt idx="209">
                  <c:v>3333380.1540805963</c:v>
                </c:pt>
                <c:pt idx="210">
                  <c:v>3333380.1540805963</c:v>
                </c:pt>
                <c:pt idx="211">
                  <c:v>3333380.1540805963</c:v>
                </c:pt>
                <c:pt idx="212">
                  <c:v>3333380.1540805963</c:v>
                </c:pt>
                <c:pt idx="213">
                  <c:v>3333380.1540805963</c:v>
                </c:pt>
                <c:pt idx="214">
                  <c:v>3333380.1540805963</c:v>
                </c:pt>
                <c:pt idx="215">
                  <c:v>3333380.1540805963</c:v>
                </c:pt>
                <c:pt idx="216">
                  <c:v>3333380.1540805963</c:v>
                </c:pt>
                <c:pt idx="217">
                  <c:v>3333380.1540805963</c:v>
                </c:pt>
                <c:pt idx="218">
                  <c:v>3333380.1540805963</c:v>
                </c:pt>
                <c:pt idx="219">
                  <c:v>3333380.1540805963</c:v>
                </c:pt>
                <c:pt idx="220">
                  <c:v>3333380.1540805963</c:v>
                </c:pt>
                <c:pt idx="221">
                  <c:v>3333380.1540805963</c:v>
                </c:pt>
                <c:pt idx="222">
                  <c:v>3333380.1540805963</c:v>
                </c:pt>
                <c:pt idx="223">
                  <c:v>3333380.1540805963</c:v>
                </c:pt>
                <c:pt idx="224">
                  <c:v>3333380.1540805963</c:v>
                </c:pt>
                <c:pt idx="225">
                  <c:v>3333380.1540805963</c:v>
                </c:pt>
                <c:pt idx="226">
                  <c:v>3333380.1540805963</c:v>
                </c:pt>
                <c:pt idx="227">
                  <c:v>3333380.1540805963</c:v>
                </c:pt>
                <c:pt idx="228">
                  <c:v>3333380.1540805963</c:v>
                </c:pt>
                <c:pt idx="229">
                  <c:v>3333380.1540805963</c:v>
                </c:pt>
                <c:pt idx="230">
                  <c:v>3333380.1540805963</c:v>
                </c:pt>
                <c:pt idx="231">
                  <c:v>3333380.1540805963</c:v>
                </c:pt>
                <c:pt idx="232">
                  <c:v>3333380.1540805963</c:v>
                </c:pt>
                <c:pt idx="233">
                  <c:v>3333380.1540805963</c:v>
                </c:pt>
                <c:pt idx="234">
                  <c:v>3333380.1540805963</c:v>
                </c:pt>
                <c:pt idx="235">
                  <c:v>3333380.1540805963</c:v>
                </c:pt>
                <c:pt idx="236">
                  <c:v>3333380.1540805963</c:v>
                </c:pt>
                <c:pt idx="237">
                  <c:v>3333380.1540805963</c:v>
                </c:pt>
                <c:pt idx="238">
                  <c:v>3333380.1540805963</c:v>
                </c:pt>
                <c:pt idx="239">
                  <c:v>3333380.1540805963</c:v>
                </c:pt>
                <c:pt idx="240">
                  <c:v>3333380.1540805963</c:v>
                </c:pt>
                <c:pt idx="241">
                  <c:v>3333380.1540805963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25%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14.239756180155773</c:v>
                </c:pt>
                <c:pt idx="1">
                  <c:v>20.132069082289195</c:v>
                </c:pt>
                <c:pt idx="2">
                  <c:v>25.41059939045039</c:v>
                </c:pt>
                <c:pt idx="3">
                  <c:v>33.635286149678294</c:v>
                </c:pt>
                <c:pt idx="4">
                  <c:v>39.527599051811713</c:v>
                </c:pt>
                <c:pt idx="5">
                  <c:v>47.138503217067388</c:v>
                </c:pt>
                <c:pt idx="6">
                  <c:v>56.345242126650859</c:v>
                </c:pt>
                <c:pt idx="7">
                  <c:v>72.180833051134442</c:v>
                </c:pt>
                <c:pt idx="8">
                  <c:v>98.082458516762614</c:v>
                </c:pt>
                <c:pt idx="9">
                  <c:v>138.83762275651878</c:v>
                </c:pt>
                <c:pt idx="10">
                  <c:v>163.02065695902471</c:v>
                </c:pt>
                <c:pt idx="11">
                  <c:v>156.02353538774128</c:v>
                </c:pt>
                <c:pt idx="12">
                  <c:v>206.84473416864205</c:v>
                </c:pt>
                <c:pt idx="13">
                  <c:v>281.84896715204877</c:v>
                </c:pt>
                <c:pt idx="14">
                  <c:v>275.58838469353202</c:v>
                </c:pt>
                <c:pt idx="15">
                  <c:v>426.45614629190652</c:v>
                </c:pt>
                <c:pt idx="16">
                  <c:v>539.51490010159159</c:v>
                </c:pt>
                <c:pt idx="17">
                  <c:v>606.0489332881815</c:v>
                </c:pt>
                <c:pt idx="18">
                  <c:v>697.37978327124961</c:v>
                </c:pt>
                <c:pt idx="19">
                  <c:v>827.25618015577379</c:v>
                </c:pt>
                <c:pt idx="20">
                  <c:v>947.55756857433119</c:v>
                </c:pt>
                <c:pt idx="21">
                  <c:v>1192.579580088046</c:v>
                </c:pt>
                <c:pt idx="22">
                  <c:v>1490.7244751100575</c:v>
                </c:pt>
                <c:pt idx="23">
                  <c:v>1863.405593887572</c:v>
                </c:pt>
                <c:pt idx="24">
                  <c:v>2329.2569923594647</c:v>
                </c:pt>
                <c:pt idx="25">
                  <c:v>2911.5712404493311</c:v>
                </c:pt>
                <c:pt idx="26">
                  <c:v>3639.464050561664</c:v>
                </c:pt>
                <c:pt idx="27">
                  <c:v>4549.3300632020801</c:v>
                </c:pt>
                <c:pt idx="28">
                  <c:v>5686.6625790026001</c:v>
                </c:pt>
                <c:pt idx="29">
                  <c:v>7108.3282237532494</c:v>
                </c:pt>
                <c:pt idx="30">
                  <c:v>8885.4102796915631</c:v>
                </c:pt>
                <c:pt idx="31">
                  <c:v>11106.762849614453</c:v>
                </c:pt>
                <c:pt idx="32">
                  <c:v>13883.453562018067</c:v>
                </c:pt>
                <c:pt idx="33">
                  <c:v>17354.316952522582</c:v>
                </c:pt>
                <c:pt idx="34">
                  <c:v>21692.896190653228</c:v>
                </c:pt>
                <c:pt idx="35">
                  <c:v>27116.120238316536</c:v>
                </c:pt>
                <c:pt idx="36">
                  <c:v>33895.150297895671</c:v>
                </c:pt>
                <c:pt idx="37">
                  <c:v>42368.937872369585</c:v>
                </c:pt>
                <c:pt idx="38">
                  <c:v>52961.172340461984</c:v>
                </c:pt>
                <c:pt idx="39">
                  <c:v>66201.46542557748</c:v>
                </c:pt>
                <c:pt idx="40">
                  <c:v>82751.83178197185</c:v>
                </c:pt>
                <c:pt idx="41">
                  <c:v>103439.78972746481</c:v>
                </c:pt>
                <c:pt idx="42">
                  <c:v>129299.73715933101</c:v>
                </c:pt>
                <c:pt idx="43">
                  <c:v>161624.67144916378</c:v>
                </c:pt>
                <c:pt idx="44">
                  <c:v>202030.83931145474</c:v>
                </c:pt>
                <c:pt idx="45">
                  <c:v>252538.54913931841</c:v>
                </c:pt>
                <c:pt idx="46">
                  <c:v>315673.18642414798</c:v>
                </c:pt>
                <c:pt idx="47">
                  <c:v>394591.48303018505</c:v>
                </c:pt>
                <c:pt idx="48">
                  <c:v>493239.35378773132</c:v>
                </c:pt>
                <c:pt idx="49">
                  <c:v>616549.19223466411</c:v>
                </c:pt>
                <c:pt idx="50">
                  <c:v>770686.49029333016</c:v>
                </c:pt>
                <c:pt idx="51">
                  <c:v>963358.11286666268</c:v>
                </c:pt>
                <c:pt idx="52">
                  <c:v>1204197.6410833285</c:v>
                </c:pt>
                <c:pt idx="53">
                  <c:v>1505247.0513541605</c:v>
                </c:pt>
                <c:pt idx="54">
                  <c:v>1881558.8141927007</c:v>
                </c:pt>
                <c:pt idx="55">
                  <c:v>2351948.5177408759</c:v>
                </c:pt>
                <c:pt idx="56">
                  <c:v>2939935.6471760948</c:v>
                </c:pt>
                <c:pt idx="57">
                  <c:v>3333380.1540805963</c:v>
                </c:pt>
                <c:pt idx="58">
                  <c:v>3333380.1540805963</c:v>
                </c:pt>
                <c:pt idx="59">
                  <c:v>3333380.1540805963</c:v>
                </c:pt>
                <c:pt idx="60">
                  <c:v>3333380.1540805963</c:v>
                </c:pt>
                <c:pt idx="61">
                  <c:v>3333380.1540805963</c:v>
                </c:pt>
                <c:pt idx="62">
                  <c:v>3333380.1540805963</c:v>
                </c:pt>
                <c:pt idx="63">
                  <c:v>3333380.1540805963</c:v>
                </c:pt>
                <c:pt idx="64">
                  <c:v>3333380.1540805963</c:v>
                </c:pt>
                <c:pt idx="65">
                  <c:v>3333380.1540805963</c:v>
                </c:pt>
                <c:pt idx="66">
                  <c:v>3333380.1540805963</c:v>
                </c:pt>
                <c:pt idx="67">
                  <c:v>3333380.1540805963</c:v>
                </c:pt>
                <c:pt idx="68">
                  <c:v>3333380.1540805963</c:v>
                </c:pt>
                <c:pt idx="69">
                  <c:v>3333380.1540805963</c:v>
                </c:pt>
                <c:pt idx="70">
                  <c:v>3333380.1540805963</c:v>
                </c:pt>
                <c:pt idx="71">
                  <c:v>3333380.1540805963</c:v>
                </c:pt>
                <c:pt idx="72">
                  <c:v>3333380.1540805963</c:v>
                </c:pt>
                <c:pt idx="73">
                  <c:v>3333380.1540805963</c:v>
                </c:pt>
                <c:pt idx="74">
                  <c:v>3333380.1540805963</c:v>
                </c:pt>
                <c:pt idx="75">
                  <c:v>3333380.1540805963</c:v>
                </c:pt>
                <c:pt idx="76">
                  <c:v>3333380.1540805963</c:v>
                </c:pt>
                <c:pt idx="77">
                  <c:v>3333380.1540805963</c:v>
                </c:pt>
                <c:pt idx="78">
                  <c:v>3333380.1540805963</c:v>
                </c:pt>
                <c:pt idx="79">
                  <c:v>3333380.1540805963</c:v>
                </c:pt>
                <c:pt idx="80">
                  <c:v>3333380.1540805963</c:v>
                </c:pt>
                <c:pt idx="81">
                  <c:v>3333380.1540805963</c:v>
                </c:pt>
                <c:pt idx="82">
                  <c:v>3333380.1540805963</c:v>
                </c:pt>
                <c:pt idx="83">
                  <c:v>3333380.1540805963</c:v>
                </c:pt>
                <c:pt idx="84">
                  <c:v>3333380.1540805963</c:v>
                </c:pt>
                <c:pt idx="85">
                  <c:v>3333380.1540805963</c:v>
                </c:pt>
                <c:pt idx="86">
                  <c:v>3333380.1540805963</c:v>
                </c:pt>
                <c:pt idx="87">
                  <c:v>3333380.1540805963</c:v>
                </c:pt>
                <c:pt idx="88">
                  <c:v>3333380.1540805963</c:v>
                </c:pt>
                <c:pt idx="89">
                  <c:v>3333380.1540805963</c:v>
                </c:pt>
                <c:pt idx="90">
                  <c:v>3333380.1540805963</c:v>
                </c:pt>
                <c:pt idx="91">
                  <c:v>3333380.1540805963</c:v>
                </c:pt>
                <c:pt idx="92">
                  <c:v>3333380.1540805963</c:v>
                </c:pt>
                <c:pt idx="93">
                  <c:v>3333380.1540805963</c:v>
                </c:pt>
                <c:pt idx="94">
                  <c:v>3333380.1540805963</c:v>
                </c:pt>
                <c:pt idx="95">
                  <c:v>3333380.1540805963</c:v>
                </c:pt>
                <c:pt idx="96">
                  <c:v>3333380.1540805963</c:v>
                </c:pt>
                <c:pt idx="97">
                  <c:v>3333380.1540805963</c:v>
                </c:pt>
                <c:pt idx="98">
                  <c:v>3333380.1540805963</c:v>
                </c:pt>
                <c:pt idx="99">
                  <c:v>3333380.1540805963</c:v>
                </c:pt>
                <c:pt idx="100">
                  <c:v>3333380.1540805963</c:v>
                </c:pt>
                <c:pt idx="101">
                  <c:v>3333380.1540805963</c:v>
                </c:pt>
                <c:pt idx="102">
                  <c:v>3333380.1540805963</c:v>
                </c:pt>
                <c:pt idx="103">
                  <c:v>3333380.1540805963</c:v>
                </c:pt>
                <c:pt idx="104">
                  <c:v>3333380.1540805963</c:v>
                </c:pt>
                <c:pt idx="105">
                  <c:v>3333380.1540805963</c:v>
                </c:pt>
                <c:pt idx="106">
                  <c:v>3333380.1540805963</c:v>
                </c:pt>
                <c:pt idx="107">
                  <c:v>3333380.1540805963</c:v>
                </c:pt>
                <c:pt idx="108">
                  <c:v>3333380.1540805963</c:v>
                </c:pt>
                <c:pt idx="109">
                  <c:v>3333380.1540805963</c:v>
                </c:pt>
                <c:pt idx="110">
                  <c:v>3333380.1540805963</c:v>
                </c:pt>
                <c:pt idx="111">
                  <c:v>3333380.1540805963</c:v>
                </c:pt>
                <c:pt idx="112">
                  <c:v>3333380.1540805963</c:v>
                </c:pt>
                <c:pt idx="113">
                  <c:v>3333380.1540805963</c:v>
                </c:pt>
                <c:pt idx="114">
                  <c:v>3333380.1540805963</c:v>
                </c:pt>
                <c:pt idx="115">
                  <c:v>3333380.1540805963</c:v>
                </c:pt>
                <c:pt idx="116">
                  <c:v>3333380.1540805963</c:v>
                </c:pt>
                <c:pt idx="117">
                  <c:v>3333380.1540805963</c:v>
                </c:pt>
                <c:pt idx="118">
                  <c:v>3333380.1540805963</c:v>
                </c:pt>
                <c:pt idx="119">
                  <c:v>3333380.1540805963</c:v>
                </c:pt>
                <c:pt idx="120">
                  <c:v>3333380.1540805963</c:v>
                </c:pt>
                <c:pt idx="121">
                  <c:v>3333380.1540805963</c:v>
                </c:pt>
                <c:pt idx="122">
                  <c:v>3333380.1540805963</c:v>
                </c:pt>
                <c:pt idx="123">
                  <c:v>3333380.1540805963</c:v>
                </c:pt>
                <c:pt idx="124">
                  <c:v>3333380.1540805963</c:v>
                </c:pt>
                <c:pt idx="125">
                  <c:v>3333380.1540805963</c:v>
                </c:pt>
                <c:pt idx="126">
                  <c:v>3333380.1540805963</c:v>
                </c:pt>
                <c:pt idx="127">
                  <c:v>3333380.1540805963</c:v>
                </c:pt>
                <c:pt idx="128">
                  <c:v>3333380.1540805963</c:v>
                </c:pt>
                <c:pt idx="129">
                  <c:v>3333380.1540805963</c:v>
                </c:pt>
                <c:pt idx="130">
                  <c:v>3333380.1540805963</c:v>
                </c:pt>
                <c:pt idx="131">
                  <c:v>3333380.1540805963</c:v>
                </c:pt>
                <c:pt idx="132">
                  <c:v>3333380.1540805963</c:v>
                </c:pt>
                <c:pt idx="133">
                  <c:v>3333380.1540805963</c:v>
                </c:pt>
                <c:pt idx="134">
                  <c:v>3333380.1540805963</c:v>
                </c:pt>
                <c:pt idx="135">
                  <c:v>3333380.1540805963</c:v>
                </c:pt>
                <c:pt idx="136">
                  <c:v>3333380.1540805963</c:v>
                </c:pt>
                <c:pt idx="137">
                  <c:v>3333380.1540805963</c:v>
                </c:pt>
                <c:pt idx="138">
                  <c:v>3333380.1540805963</c:v>
                </c:pt>
                <c:pt idx="139">
                  <c:v>3333380.1540805963</c:v>
                </c:pt>
                <c:pt idx="140">
                  <c:v>3333380.1540805963</c:v>
                </c:pt>
                <c:pt idx="141">
                  <c:v>3333380.1540805963</c:v>
                </c:pt>
                <c:pt idx="142">
                  <c:v>3333380.1540805963</c:v>
                </c:pt>
                <c:pt idx="143">
                  <c:v>3333380.1540805963</c:v>
                </c:pt>
                <c:pt idx="144">
                  <c:v>3333380.1540805963</c:v>
                </c:pt>
                <c:pt idx="145">
                  <c:v>3333380.1540805963</c:v>
                </c:pt>
                <c:pt idx="146">
                  <c:v>3333380.1540805963</c:v>
                </c:pt>
                <c:pt idx="147">
                  <c:v>3333380.1540805963</c:v>
                </c:pt>
                <c:pt idx="148">
                  <c:v>3333380.1540805963</c:v>
                </c:pt>
                <c:pt idx="149">
                  <c:v>3333380.1540805963</c:v>
                </c:pt>
                <c:pt idx="150">
                  <c:v>3333380.1540805963</c:v>
                </c:pt>
                <c:pt idx="151">
                  <c:v>3333380.1540805963</c:v>
                </c:pt>
                <c:pt idx="152">
                  <c:v>3333380.1540805963</c:v>
                </c:pt>
                <c:pt idx="153">
                  <c:v>3333380.1540805963</c:v>
                </c:pt>
                <c:pt idx="154">
                  <c:v>3333380.1540805963</c:v>
                </c:pt>
                <c:pt idx="155">
                  <c:v>3333380.1540805963</c:v>
                </c:pt>
                <c:pt idx="156">
                  <c:v>3333380.1540805963</c:v>
                </c:pt>
                <c:pt idx="157">
                  <c:v>3333380.1540805963</c:v>
                </c:pt>
                <c:pt idx="158">
                  <c:v>3333380.1540805963</c:v>
                </c:pt>
                <c:pt idx="159">
                  <c:v>3333380.1540805963</c:v>
                </c:pt>
                <c:pt idx="160">
                  <c:v>3333380.1540805963</c:v>
                </c:pt>
                <c:pt idx="161">
                  <c:v>3333380.1540805963</c:v>
                </c:pt>
                <c:pt idx="162">
                  <c:v>3333380.1540805963</c:v>
                </c:pt>
                <c:pt idx="163">
                  <c:v>3333380.1540805963</c:v>
                </c:pt>
                <c:pt idx="164">
                  <c:v>3333380.1540805963</c:v>
                </c:pt>
                <c:pt idx="165">
                  <c:v>3333380.1540805963</c:v>
                </c:pt>
                <c:pt idx="166">
                  <c:v>3333380.1540805963</c:v>
                </c:pt>
                <c:pt idx="167">
                  <c:v>3333380.1540805963</c:v>
                </c:pt>
                <c:pt idx="168">
                  <c:v>3333380.1540805963</c:v>
                </c:pt>
                <c:pt idx="169">
                  <c:v>3333380.1540805963</c:v>
                </c:pt>
                <c:pt idx="170">
                  <c:v>3333380.1540805963</c:v>
                </c:pt>
                <c:pt idx="171">
                  <c:v>3333380.1540805963</c:v>
                </c:pt>
                <c:pt idx="172">
                  <c:v>3333380.1540805963</c:v>
                </c:pt>
                <c:pt idx="173">
                  <c:v>3333380.1540805963</c:v>
                </c:pt>
                <c:pt idx="174">
                  <c:v>3333380.1540805963</c:v>
                </c:pt>
                <c:pt idx="175">
                  <c:v>3333380.1540805963</c:v>
                </c:pt>
                <c:pt idx="176">
                  <c:v>3333380.1540805963</c:v>
                </c:pt>
                <c:pt idx="177">
                  <c:v>3333380.1540805963</c:v>
                </c:pt>
                <c:pt idx="178">
                  <c:v>3333380.1540805963</c:v>
                </c:pt>
                <c:pt idx="179">
                  <c:v>3333380.1540805963</c:v>
                </c:pt>
                <c:pt idx="180">
                  <c:v>3333380.1540805963</c:v>
                </c:pt>
                <c:pt idx="181">
                  <c:v>3333380.1540805963</c:v>
                </c:pt>
                <c:pt idx="182">
                  <c:v>3333380.1540805963</c:v>
                </c:pt>
                <c:pt idx="183">
                  <c:v>3333380.1540805963</c:v>
                </c:pt>
                <c:pt idx="184">
                  <c:v>3333380.1540805963</c:v>
                </c:pt>
                <c:pt idx="185">
                  <c:v>3333380.1540805963</c:v>
                </c:pt>
                <c:pt idx="186">
                  <c:v>3333380.1540805963</c:v>
                </c:pt>
                <c:pt idx="187">
                  <c:v>3333380.1540805963</c:v>
                </c:pt>
                <c:pt idx="188">
                  <c:v>3333380.1540805963</c:v>
                </c:pt>
                <c:pt idx="189">
                  <c:v>3333380.1540805963</c:v>
                </c:pt>
                <c:pt idx="190">
                  <c:v>3333380.1540805963</c:v>
                </c:pt>
                <c:pt idx="191">
                  <c:v>3333380.1540805963</c:v>
                </c:pt>
                <c:pt idx="192">
                  <c:v>3333380.1540805963</c:v>
                </c:pt>
                <c:pt idx="193">
                  <c:v>3333380.1540805963</c:v>
                </c:pt>
                <c:pt idx="194">
                  <c:v>3333380.1540805963</c:v>
                </c:pt>
                <c:pt idx="195">
                  <c:v>3333380.1540805963</c:v>
                </c:pt>
                <c:pt idx="196">
                  <c:v>3333380.1540805963</c:v>
                </c:pt>
                <c:pt idx="197">
                  <c:v>3333380.1540805963</c:v>
                </c:pt>
                <c:pt idx="198">
                  <c:v>3333380.1540805963</c:v>
                </c:pt>
                <c:pt idx="199">
                  <c:v>3333380.1540805963</c:v>
                </c:pt>
                <c:pt idx="200">
                  <c:v>3333380.1540805963</c:v>
                </c:pt>
                <c:pt idx="201">
                  <c:v>3333380.1540805963</c:v>
                </c:pt>
                <c:pt idx="202">
                  <c:v>3333380.1540805963</c:v>
                </c:pt>
                <c:pt idx="203">
                  <c:v>3333380.1540805963</c:v>
                </c:pt>
                <c:pt idx="204">
                  <c:v>3333380.1540805963</c:v>
                </c:pt>
                <c:pt idx="205">
                  <c:v>3333380.1540805963</c:v>
                </c:pt>
                <c:pt idx="206">
                  <c:v>3333380.1540805963</c:v>
                </c:pt>
                <c:pt idx="207">
                  <c:v>3333380.1540805963</c:v>
                </c:pt>
                <c:pt idx="208">
                  <c:v>3333380.1540805963</c:v>
                </c:pt>
                <c:pt idx="209">
                  <c:v>3333380.1540805963</c:v>
                </c:pt>
                <c:pt idx="210">
                  <c:v>3333380.1540805963</c:v>
                </c:pt>
                <c:pt idx="211">
                  <c:v>3333380.1540805963</c:v>
                </c:pt>
                <c:pt idx="212">
                  <c:v>3333380.1540805963</c:v>
                </c:pt>
                <c:pt idx="213">
                  <c:v>3333380.1540805963</c:v>
                </c:pt>
                <c:pt idx="214">
                  <c:v>3333380.1540805963</c:v>
                </c:pt>
                <c:pt idx="215">
                  <c:v>3333380.1540805963</c:v>
                </c:pt>
                <c:pt idx="216">
                  <c:v>3333380.1540805963</c:v>
                </c:pt>
                <c:pt idx="217">
                  <c:v>3333380.1540805963</c:v>
                </c:pt>
                <c:pt idx="218">
                  <c:v>3333380.1540805963</c:v>
                </c:pt>
                <c:pt idx="219">
                  <c:v>3333380.1540805963</c:v>
                </c:pt>
                <c:pt idx="220">
                  <c:v>3333380.1540805963</c:v>
                </c:pt>
                <c:pt idx="221">
                  <c:v>3333380.1540805963</c:v>
                </c:pt>
                <c:pt idx="222">
                  <c:v>3333380.1540805963</c:v>
                </c:pt>
                <c:pt idx="223">
                  <c:v>3333380.1540805963</c:v>
                </c:pt>
                <c:pt idx="224">
                  <c:v>3333380.1540805963</c:v>
                </c:pt>
                <c:pt idx="225">
                  <c:v>3333380.1540805963</c:v>
                </c:pt>
                <c:pt idx="226">
                  <c:v>3333380.1540805963</c:v>
                </c:pt>
                <c:pt idx="227">
                  <c:v>3333380.1540805963</c:v>
                </c:pt>
                <c:pt idx="228">
                  <c:v>3333380.1540805963</c:v>
                </c:pt>
                <c:pt idx="229">
                  <c:v>3333380.1540805963</c:v>
                </c:pt>
                <c:pt idx="230">
                  <c:v>3333380.1540805963</c:v>
                </c:pt>
                <c:pt idx="231">
                  <c:v>3333380.1540805963</c:v>
                </c:pt>
                <c:pt idx="232">
                  <c:v>3333380.1540805963</c:v>
                </c:pt>
                <c:pt idx="233">
                  <c:v>3333380.1540805963</c:v>
                </c:pt>
                <c:pt idx="234">
                  <c:v>3333380.1540805963</c:v>
                </c:pt>
                <c:pt idx="235">
                  <c:v>3333380.1540805963</c:v>
                </c:pt>
                <c:pt idx="236">
                  <c:v>3333380.1540805963</c:v>
                </c:pt>
                <c:pt idx="237">
                  <c:v>3333380.1540805963</c:v>
                </c:pt>
                <c:pt idx="238">
                  <c:v>3333380.1540805963</c:v>
                </c:pt>
                <c:pt idx="239">
                  <c:v>3333380.1540805963</c:v>
                </c:pt>
                <c:pt idx="240">
                  <c:v>3333380.1540805963</c:v>
                </c:pt>
                <c:pt idx="241">
                  <c:v>3333380.1540805963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40%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14.239756180155773</c:v>
                </c:pt>
                <c:pt idx="1">
                  <c:v>20.132069082289195</c:v>
                </c:pt>
                <c:pt idx="2">
                  <c:v>25.41059939045039</c:v>
                </c:pt>
                <c:pt idx="3">
                  <c:v>33.635286149678294</c:v>
                </c:pt>
                <c:pt idx="4">
                  <c:v>39.527599051811713</c:v>
                </c:pt>
                <c:pt idx="5">
                  <c:v>47.138503217067388</c:v>
                </c:pt>
                <c:pt idx="6">
                  <c:v>56.345242126650859</c:v>
                </c:pt>
                <c:pt idx="7">
                  <c:v>72.180833051134442</c:v>
                </c:pt>
                <c:pt idx="8">
                  <c:v>98.082458516762614</c:v>
                </c:pt>
                <c:pt idx="9">
                  <c:v>138.83762275651878</c:v>
                </c:pt>
                <c:pt idx="10">
                  <c:v>163.02065695902471</c:v>
                </c:pt>
                <c:pt idx="11">
                  <c:v>156.02353538774128</c:v>
                </c:pt>
                <c:pt idx="12">
                  <c:v>206.84473416864205</c:v>
                </c:pt>
                <c:pt idx="13">
                  <c:v>281.84896715204877</c:v>
                </c:pt>
                <c:pt idx="14">
                  <c:v>275.58838469353202</c:v>
                </c:pt>
                <c:pt idx="15">
                  <c:v>426.45614629190652</c:v>
                </c:pt>
                <c:pt idx="16">
                  <c:v>539.51490010159159</c:v>
                </c:pt>
                <c:pt idx="17">
                  <c:v>606.0489332881815</c:v>
                </c:pt>
                <c:pt idx="18">
                  <c:v>697.37978327124961</c:v>
                </c:pt>
                <c:pt idx="19">
                  <c:v>827.25618015577379</c:v>
                </c:pt>
                <c:pt idx="20">
                  <c:v>947.55756857433119</c:v>
                </c:pt>
                <c:pt idx="21">
                  <c:v>1192.579580088046</c:v>
                </c:pt>
                <c:pt idx="22">
                  <c:v>1669.6114121232645</c:v>
                </c:pt>
                <c:pt idx="23">
                  <c:v>2337.4559769725702</c:v>
                </c:pt>
                <c:pt idx="24">
                  <c:v>3272.4383677615979</c:v>
                </c:pt>
                <c:pt idx="25">
                  <c:v>4581.4137148662367</c:v>
                </c:pt>
                <c:pt idx="26">
                  <c:v>6413.9792008127315</c:v>
                </c:pt>
                <c:pt idx="27">
                  <c:v>8979.5708811378227</c:v>
                </c:pt>
                <c:pt idx="28">
                  <c:v>12571.399233592951</c:v>
                </c:pt>
                <c:pt idx="29">
                  <c:v>17599.958927030129</c:v>
                </c:pt>
                <c:pt idx="30">
                  <c:v>24639.942497842178</c:v>
                </c:pt>
                <c:pt idx="31">
                  <c:v>34495.919496979048</c:v>
                </c:pt>
                <c:pt idx="32">
                  <c:v>48294.287295770664</c:v>
                </c:pt>
                <c:pt idx="33">
                  <c:v>67612.002214078922</c:v>
                </c:pt>
                <c:pt idx="34">
                  <c:v>94656.803099710494</c:v>
                </c:pt>
                <c:pt idx="35">
                  <c:v>132519.52433959467</c:v>
                </c:pt>
                <c:pt idx="36">
                  <c:v>185527.33407543256</c:v>
                </c:pt>
                <c:pt idx="37">
                  <c:v>259738.26770560557</c:v>
                </c:pt>
                <c:pt idx="38">
                  <c:v>363633.57478784781</c:v>
                </c:pt>
                <c:pt idx="39">
                  <c:v>509087.00470298686</c:v>
                </c:pt>
                <c:pt idx="40">
                  <c:v>712721.8065841815</c:v>
                </c:pt>
                <c:pt idx="41">
                  <c:v>997810.52921785403</c:v>
                </c:pt>
                <c:pt idx="42">
                  <c:v>1396934.7409049957</c:v>
                </c:pt>
                <c:pt idx="43">
                  <c:v>1955708.6372669938</c:v>
                </c:pt>
                <c:pt idx="44">
                  <c:v>2737992.0921737915</c:v>
                </c:pt>
                <c:pt idx="45">
                  <c:v>3333380.1540805963</c:v>
                </c:pt>
                <c:pt idx="46">
                  <c:v>3333380.1540805963</c:v>
                </c:pt>
                <c:pt idx="47">
                  <c:v>3333380.1540805963</c:v>
                </c:pt>
                <c:pt idx="48">
                  <c:v>3333380.1540805963</c:v>
                </c:pt>
                <c:pt idx="49">
                  <c:v>3333380.1540805963</c:v>
                </c:pt>
                <c:pt idx="50">
                  <c:v>3333380.1540805963</c:v>
                </c:pt>
                <c:pt idx="51">
                  <c:v>3333380.1540805963</c:v>
                </c:pt>
                <c:pt idx="52">
                  <c:v>3333380.1540805963</c:v>
                </c:pt>
                <c:pt idx="53">
                  <c:v>3333380.1540805963</c:v>
                </c:pt>
                <c:pt idx="54">
                  <c:v>3333380.1540805963</c:v>
                </c:pt>
                <c:pt idx="55">
                  <c:v>3333380.1540805963</c:v>
                </c:pt>
                <c:pt idx="56">
                  <c:v>3333380.1540805963</c:v>
                </c:pt>
                <c:pt idx="57">
                  <c:v>3333380.1540805963</c:v>
                </c:pt>
                <c:pt idx="58">
                  <c:v>3333380.1540805963</c:v>
                </c:pt>
                <c:pt idx="59">
                  <c:v>3333380.1540805963</c:v>
                </c:pt>
                <c:pt idx="60">
                  <c:v>3333380.1540805963</c:v>
                </c:pt>
                <c:pt idx="61">
                  <c:v>3333380.1540805963</c:v>
                </c:pt>
                <c:pt idx="62">
                  <c:v>3333380.1540805963</c:v>
                </c:pt>
                <c:pt idx="63">
                  <c:v>3333380.1540805963</c:v>
                </c:pt>
                <c:pt idx="64">
                  <c:v>3333380.1540805963</c:v>
                </c:pt>
                <c:pt idx="65">
                  <c:v>3333380.1540805963</c:v>
                </c:pt>
                <c:pt idx="66">
                  <c:v>3333380.1540805963</c:v>
                </c:pt>
                <c:pt idx="67">
                  <c:v>3333380.1540805963</c:v>
                </c:pt>
                <c:pt idx="68">
                  <c:v>3333380.1540805963</c:v>
                </c:pt>
                <c:pt idx="69">
                  <c:v>3333380.1540805963</c:v>
                </c:pt>
                <c:pt idx="70">
                  <c:v>3333380.1540805963</c:v>
                </c:pt>
                <c:pt idx="71">
                  <c:v>3333380.1540805963</c:v>
                </c:pt>
                <c:pt idx="72">
                  <c:v>3333380.1540805963</c:v>
                </c:pt>
                <c:pt idx="73">
                  <c:v>3333380.1540805963</c:v>
                </c:pt>
                <c:pt idx="74">
                  <c:v>3333380.1540805963</c:v>
                </c:pt>
                <c:pt idx="75">
                  <c:v>3333380.1540805963</c:v>
                </c:pt>
                <c:pt idx="76">
                  <c:v>3333380.1540805963</c:v>
                </c:pt>
                <c:pt idx="77">
                  <c:v>3333380.1540805963</c:v>
                </c:pt>
                <c:pt idx="78">
                  <c:v>3333380.1540805963</c:v>
                </c:pt>
                <c:pt idx="79">
                  <c:v>3333380.1540805963</c:v>
                </c:pt>
                <c:pt idx="80">
                  <c:v>3333380.1540805963</c:v>
                </c:pt>
                <c:pt idx="81">
                  <c:v>3333380.1540805963</c:v>
                </c:pt>
                <c:pt idx="82">
                  <c:v>3333380.1540805963</c:v>
                </c:pt>
                <c:pt idx="83">
                  <c:v>3333380.1540805963</c:v>
                </c:pt>
                <c:pt idx="84">
                  <c:v>3333380.1540805963</c:v>
                </c:pt>
                <c:pt idx="85">
                  <c:v>3333380.1540805963</c:v>
                </c:pt>
                <c:pt idx="86">
                  <c:v>3333380.1540805963</c:v>
                </c:pt>
                <c:pt idx="87">
                  <c:v>3333380.1540805963</c:v>
                </c:pt>
                <c:pt idx="88">
                  <c:v>3333380.1540805963</c:v>
                </c:pt>
                <c:pt idx="89">
                  <c:v>3333380.1540805963</c:v>
                </c:pt>
                <c:pt idx="90">
                  <c:v>3333380.1540805963</c:v>
                </c:pt>
                <c:pt idx="91">
                  <c:v>3333380.1540805963</c:v>
                </c:pt>
                <c:pt idx="92">
                  <c:v>3333380.1540805963</c:v>
                </c:pt>
                <c:pt idx="93">
                  <c:v>3333380.1540805963</c:v>
                </c:pt>
                <c:pt idx="94">
                  <c:v>3333380.1540805963</c:v>
                </c:pt>
                <c:pt idx="95">
                  <c:v>3333380.1540805963</c:v>
                </c:pt>
                <c:pt idx="96">
                  <c:v>3333380.1540805963</c:v>
                </c:pt>
                <c:pt idx="97">
                  <c:v>3333380.1540805963</c:v>
                </c:pt>
                <c:pt idx="98">
                  <c:v>3333380.1540805963</c:v>
                </c:pt>
                <c:pt idx="99">
                  <c:v>3333380.1540805963</c:v>
                </c:pt>
                <c:pt idx="100">
                  <c:v>3333380.1540805963</c:v>
                </c:pt>
                <c:pt idx="101">
                  <c:v>3333380.1540805963</c:v>
                </c:pt>
                <c:pt idx="102">
                  <c:v>3333380.1540805963</c:v>
                </c:pt>
                <c:pt idx="103">
                  <c:v>3333380.1540805963</c:v>
                </c:pt>
                <c:pt idx="104">
                  <c:v>3333380.1540805963</c:v>
                </c:pt>
                <c:pt idx="105">
                  <c:v>3333380.1540805963</c:v>
                </c:pt>
                <c:pt idx="106">
                  <c:v>3333380.1540805963</c:v>
                </c:pt>
                <c:pt idx="107">
                  <c:v>3333380.1540805963</c:v>
                </c:pt>
                <c:pt idx="108">
                  <c:v>3333380.1540805963</c:v>
                </c:pt>
                <c:pt idx="109">
                  <c:v>3333380.1540805963</c:v>
                </c:pt>
                <c:pt idx="110">
                  <c:v>3333380.1540805963</c:v>
                </c:pt>
                <c:pt idx="111">
                  <c:v>3333380.1540805963</c:v>
                </c:pt>
                <c:pt idx="112">
                  <c:v>3333380.1540805963</c:v>
                </c:pt>
                <c:pt idx="113">
                  <c:v>3333380.1540805963</c:v>
                </c:pt>
                <c:pt idx="114">
                  <c:v>3333380.1540805963</c:v>
                </c:pt>
                <c:pt idx="115">
                  <c:v>3333380.1540805963</c:v>
                </c:pt>
                <c:pt idx="116">
                  <c:v>3333380.1540805963</c:v>
                </c:pt>
                <c:pt idx="117">
                  <c:v>3333380.1540805963</c:v>
                </c:pt>
                <c:pt idx="118">
                  <c:v>3333380.1540805963</c:v>
                </c:pt>
                <c:pt idx="119">
                  <c:v>3333380.1540805963</c:v>
                </c:pt>
                <c:pt idx="120">
                  <c:v>3333380.1540805963</c:v>
                </c:pt>
                <c:pt idx="121">
                  <c:v>3333380.1540805963</c:v>
                </c:pt>
                <c:pt idx="122">
                  <c:v>3333380.1540805963</c:v>
                </c:pt>
                <c:pt idx="123">
                  <c:v>3333380.1540805963</c:v>
                </c:pt>
                <c:pt idx="124">
                  <c:v>3333380.1540805963</c:v>
                </c:pt>
                <c:pt idx="125">
                  <c:v>3333380.1540805963</c:v>
                </c:pt>
                <c:pt idx="126">
                  <c:v>3333380.1540805963</c:v>
                </c:pt>
                <c:pt idx="127">
                  <c:v>3333380.1540805963</c:v>
                </c:pt>
                <c:pt idx="128">
                  <c:v>3333380.1540805963</c:v>
                </c:pt>
                <c:pt idx="129">
                  <c:v>3333380.1540805963</c:v>
                </c:pt>
                <c:pt idx="130">
                  <c:v>3333380.1540805963</c:v>
                </c:pt>
                <c:pt idx="131">
                  <c:v>3333380.1540805963</c:v>
                </c:pt>
                <c:pt idx="132">
                  <c:v>3333380.1540805963</c:v>
                </c:pt>
                <c:pt idx="133">
                  <c:v>3333380.1540805963</c:v>
                </c:pt>
                <c:pt idx="134">
                  <c:v>3333380.1540805963</c:v>
                </c:pt>
                <c:pt idx="135">
                  <c:v>3333380.1540805963</c:v>
                </c:pt>
                <c:pt idx="136">
                  <c:v>3333380.1540805963</c:v>
                </c:pt>
                <c:pt idx="137">
                  <c:v>3333380.1540805963</c:v>
                </c:pt>
                <c:pt idx="138">
                  <c:v>3333380.1540805963</c:v>
                </c:pt>
                <c:pt idx="139">
                  <c:v>3333380.1540805963</c:v>
                </c:pt>
                <c:pt idx="140">
                  <c:v>3333380.1540805963</c:v>
                </c:pt>
                <c:pt idx="141">
                  <c:v>3333380.1540805963</c:v>
                </c:pt>
                <c:pt idx="142">
                  <c:v>3333380.1540805963</c:v>
                </c:pt>
                <c:pt idx="143">
                  <c:v>3333380.1540805963</c:v>
                </c:pt>
                <c:pt idx="144">
                  <c:v>3333380.1540805963</c:v>
                </c:pt>
                <c:pt idx="145">
                  <c:v>3333380.1540805963</c:v>
                </c:pt>
                <c:pt idx="146">
                  <c:v>3333380.1540805963</c:v>
                </c:pt>
                <c:pt idx="147">
                  <c:v>3333380.1540805963</c:v>
                </c:pt>
                <c:pt idx="148">
                  <c:v>3333380.1540805963</c:v>
                </c:pt>
                <c:pt idx="149">
                  <c:v>3333380.1540805963</c:v>
                </c:pt>
                <c:pt idx="150">
                  <c:v>3333380.1540805963</c:v>
                </c:pt>
                <c:pt idx="151">
                  <c:v>3333380.1540805963</c:v>
                </c:pt>
                <c:pt idx="152">
                  <c:v>3333380.1540805963</c:v>
                </c:pt>
                <c:pt idx="153">
                  <c:v>3333380.1540805963</c:v>
                </c:pt>
                <c:pt idx="154">
                  <c:v>3333380.1540805963</c:v>
                </c:pt>
                <c:pt idx="155">
                  <c:v>3333380.1540805963</c:v>
                </c:pt>
                <c:pt idx="156">
                  <c:v>3333380.1540805963</c:v>
                </c:pt>
                <c:pt idx="157">
                  <c:v>3333380.1540805963</c:v>
                </c:pt>
                <c:pt idx="158">
                  <c:v>3333380.1540805963</c:v>
                </c:pt>
                <c:pt idx="159">
                  <c:v>3333380.1540805963</c:v>
                </c:pt>
                <c:pt idx="160">
                  <c:v>3333380.1540805963</c:v>
                </c:pt>
                <c:pt idx="161">
                  <c:v>3333380.1540805963</c:v>
                </c:pt>
                <c:pt idx="162">
                  <c:v>3333380.1540805963</c:v>
                </c:pt>
                <c:pt idx="163">
                  <c:v>3333380.1540805963</c:v>
                </c:pt>
                <c:pt idx="164">
                  <c:v>3333380.1540805963</c:v>
                </c:pt>
                <c:pt idx="165">
                  <c:v>3333380.1540805963</c:v>
                </c:pt>
                <c:pt idx="166">
                  <c:v>3333380.1540805963</c:v>
                </c:pt>
                <c:pt idx="167">
                  <c:v>3333380.1540805963</c:v>
                </c:pt>
                <c:pt idx="168">
                  <c:v>3333380.1540805963</c:v>
                </c:pt>
                <c:pt idx="169">
                  <c:v>3333380.1540805963</c:v>
                </c:pt>
                <c:pt idx="170">
                  <c:v>3333380.1540805963</c:v>
                </c:pt>
                <c:pt idx="171">
                  <c:v>3333380.1540805963</c:v>
                </c:pt>
                <c:pt idx="172">
                  <c:v>3333380.1540805963</c:v>
                </c:pt>
                <c:pt idx="173">
                  <c:v>3333380.1540805963</c:v>
                </c:pt>
                <c:pt idx="174">
                  <c:v>3333380.1540805963</c:v>
                </c:pt>
                <c:pt idx="175">
                  <c:v>3333380.1540805963</c:v>
                </c:pt>
                <c:pt idx="176">
                  <c:v>3333380.1540805963</c:v>
                </c:pt>
                <c:pt idx="177">
                  <c:v>3333380.1540805963</c:v>
                </c:pt>
                <c:pt idx="178">
                  <c:v>3333380.1540805963</c:v>
                </c:pt>
                <c:pt idx="179">
                  <c:v>3333380.1540805963</c:v>
                </c:pt>
                <c:pt idx="180">
                  <c:v>3333380.1540805963</c:v>
                </c:pt>
                <c:pt idx="181">
                  <c:v>3333380.1540805963</c:v>
                </c:pt>
                <c:pt idx="182">
                  <c:v>3333380.1540805963</c:v>
                </c:pt>
                <c:pt idx="183">
                  <c:v>3333380.1540805963</c:v>
                </c:pt>
                <c:pt idx="184">
                  <c:v>3333380.1540805963</c:v>
                </c:pt>
                <c:pt idx="185">
                  <c:v>3333380.1540805963</c:v>
                </c:pt>
                <c:pt idx="186">
                  <c:v>3333380.1540805963</c:v>
                </c:pt>
                <c:pt idx="187">
                  <c:v>3333380.1540805963</c:v>
                </c:pt>
                <c:pt idx="188">
                  <c:v>3333380.1540805963</c:v>
                </c:pt>
                <c:pt idx="189">
                  <c:v>3333380.1540805963</c:v>
                </c:pt>
                <c:pt idx="190">
                  <c:v>3333380.1540805963</c:v>
                </c:pt>
                <c:pt idx="191">
                  <c:v>3333380.1540805963</c:v>
                </c:pt>
                <c:pt idx="192">
                  <c:v>3333380.1540805963</c:v>
                </c:pt>
                <c:pt idx="193">
                  <c:v>3333380.1540805963</c:v>
                </c:pt>
                <c:pt idx="194">
                  <c:v>3333380.1540805963</c:v>
                </c:pt>
                <c:pt idx="195">
                  <c:v>3333380.1540805963</c:v>
                </c:pt>
                <c:pt idx="196">
                  <c:v>3333380.1540805963</c:v>
                </c:pt>
                <c:pt idx="197">
                  <c:v>3333380.1540805963</c:v>
                </c:pt>
                <c:pt idx="198">
                  <c:v>3333380.1540805963</c:v>
                </c:pt>
                <c:pt idx="199">
                  <c:v>3333380.1540805963</c:v>
                </c:pt>
                <c:pt idx="200">
                  <c:v>3333380.1540805963</c:v>
                </c:pt>
                <c:pt idx="201">
                  <c:v>3333380.1540805963</c:v>
                </c:pt>
                <c:pt idx="202">
                  <c:v>3333380.1540805963</c:v>
                </c:pt>
                <c:pt idx="203">
                  <c:v>3333380.1540805963</c:v>
                </c:pt>
                <c:pt idx="204">
                  <c:v>3333380.1540805963</c:v>
                </c:pt>
                <c:pt idx="205">
                  <c:v>3333380.1540805963</c:v>
                </c:pt>
                <c:pt idx="206">
                  <c:v>3333380.1540805963</c:v>
                </c:pt>
                <c:pt idx="207">
                  <c:v>3333380.1540805963</c:v>
                </c:pt>
                <c:pt idx="208">
                  <c:v>3333380.1540805963</c:v>
                </c:pt>
                <c:pt idx="209">
                  <c:v>3333380.1540805963</c:v>
                </c:pt>
                <c:pt idx="210">
                  <c:v>3333380.1540805963</c:v>
                </c:pt>
                <c:pt idx="211">
                  <c:v>3333380.1540805963</c:v>
                </c:pt>
                <c:pt idx="212">
                  <c:v>3333380.1540805963</c:v>
                </c:pt>
                <c:pt idx="213">
                  <c:v>3333380.1540805963</c:v>
                </c:pt>
                <c:pt idx="214">
                  <c:v>3333380.1540805963</c:v>
                </c:pt>
                <c:pt idx="215">
                  <c:v>3333380.1540805963</c:v>
                </c:pt>
                <c:pt idx="216">
                  <c:v>3333380.1540805963</c:v>
                </c:pt>
                <c:pt idx="217">
                  <c:v>3333380.1540805963</c:v>
                </c:pt>
                <c:pt idx="218">
                  <c:v>3333380.1540805963</c:v>
                </c:pt>
                <c:pt idx="219">
                  <c:v>3333380.1540805963</c:v>
                </c:pt>
                <c:pt idx="220">
                  <c:v>3333380.1540805963</c:v>
                </c:pt>
                <c:pt idx="221">
                  <c:v>3333380.1540805963</c:v>
                </c:pt>
                <c:pt idx="222">
                  <c:v>3333380.1540805963</c:v>
                </c:pt>
                <c:pt idx="223">
                  <c:v>3333380.1540805963</c:v>
                </c:pt>
                <c:pt idx="224">
                  <c:v>3333380.1540805963</c:v>
                </c:pt>
                <c:pt idx="225">
                  <c:v>3333380.1540805963</c:v>
                </c:pt>
                <c:pt idx="226">
                  <c:v>3333380.1540805963</c:v>
                </c:pt>
                <c:pt idx="227">
                  <c:v>3333380.1540805963</c:v>
                </c:pt>
                <c:pt idx="228">
                  <c:v>3333380.1540805963</c:v>
                </c:pt>
                <c:pt idx="229">
                  <c:v>3333380.1540805963</c:v>
                </c:pt>
                <c:pt idx="230">
                  <c:v>3333380.1540805963</c:v>
                </c:pt>
                <c:pt idx="231">
                  <c:v>3333380.1540805963</c:v>
                </c:pt>
                <c:pt idx="232">
                  <c:v>3333380.1540805963</c:v>
                </c:pt>
                <c:pt idx="233">
                  <c:v>3333380.1540805963</c:v>
                </c:pt>
                <c:pt idx="234">
                  <c:v>3333380.1540805963</c:v>
                </c:pt>
                <c:pt idx="235">
                  <c:v>3333380.1540805963</c:v>
                </c:pt>
                <c:pt idx="236">
                  <c:v>3333380.1540805963</c:v>
                </c:pt>
                <c:pt idx="237">
                  <c:v>3333380.1540805963</c:v>
                </c:pt>
                <c:pt idx="238">
                  <c:v>3333380.1540805963</c:v>
                </c:pt>
                <c:pt idx="239">
                  <c:v>3333380.1540805963</c:v>
                </c:pt>
                <c:pt idx="240">
                  <c:v>3333380.1540805963</c:v>
                </c:pt>
                <c:pt idx="241">
                  <c:v>3333380.1540805963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14.239756180155773</c:v>
                </c:pt>
                <c:pt idx="1">
                  <c:v>20.132069082289195</c:v>
                </c:pt>
                <c:pt idx="2">
                  <c:v>25.41059939045039</c:v>
                </c:pt>
                <c:pt idx="3">
                  <c:v>33.635286149678294</c:v>
                </c:pt>
                <c:pt idx="4">
                  <c:v>39.527599051811713</c:v>
                </c:pt>
                <c:pt idx="5">
                  <c:v>47.138503217067388</c:v>
                </c:pt>
                <c:pt idx="6">
                  <c:v>56.345242126650859</c:v>
                </c:pt>
                <c:pt idx="7">
                  <c:v>72.180833051134442</c:v>
                </c:pt>
                <c:pt idx="8">
                  <c:v>98.082458516762614</c:v>
                </c:pt>
                <c:pt idx="9">
                  <c:v>138.83762275651878</c:v>
                </c:pt>
                <c:pt idx="10">
                  <c:v>163.02065695902471</c:v>
                </c:pt>
                <c:pt idx="11">
                  <c:v>156.02353538774128</c:v>
                </c:pt>
                <c:pt idx="12">
                  <c:v>206.84473416864205</c:v>
                </c:pt>
                <c:pt idx="13">
                  <c:v>281.84896715204877</c:v>
                </c:pt>
                <c:pt idx="14">
                  <c:v>275.58838469353202</c:v>
                </c:pt>
                <c:pt idx="15">
                  <c:v>426.45614629190652</c:v>
                </c:pt>
                <c:pt idx="16">
                  <c:v>539.51490010159159</c:v>
                </c:pt>
                <c:pt idx="17">
                  <c:v>606.0489332881815</c:v>
                </c:pt>
                <c:pt idx="18">
                  <c:v>697.37978327124961</c:v>
                </c:pt>
                <c:pt idx="19">
                  <c:v>827.25618015577379</c:v>
                </c:pt>
                <c:pt idx="20">
                  <c:v>947.55756857433119</c:v>
                </c:pt>
                <c:pt idx="21">
                  <c:v>1192.579580088046</c:v>
                </c:pt>
                <c:pt idx="22">
                  <c:v>1397.6040612651207</c:v>
                </c:pt>
                <c:pt idx="23">
                  <c:v>1637.8756979224404</c:v>
                </c:pt>
                <c:pt idx="24">
                  <c:v>1919.4540687128372</c:v>
                </c:pt>
                <c:pt idx="25">
                  <c:v>2249.4404957419001</c:v>
                </c:pt>
                <c:pt idx="26">
                  <c:v>2636.1571377827909</c:v>
                </c:pt>
                <c:pt idx="27">
                  <c:v>3089.3568726258582</c:v>
                </c:pt>
                <c:pt idx="28">
                  <c:v>3620.4692617329938</c:v>
                </c:pt>
                <c:pt idx="29">
                  <c:v>4242.888800351584</c:v>
                </c:pt>
                <c:pt idx="30">
                  <c:v>4972.3127226695242</c:v>
                </c:pt>
                <c:pt idx="31">
                  <c:v>5827.136881356043</c:v>
                </c:pt>
                <c:pt idx="32">
                  <c:v>6828.9196854516968</c:v>
                </c:pt>
                <c:pt idx="33">
                  <c:v>8002.925796982031</c:v>
                </c:pt>
                <c:pt idx="34">
                  <c:v>9378.7632981605511</c:v>
                </c:pt>
                <c:pt idx="35">
                  <c:v>10991.130398346852</c:v>
                </c:pt>
                <c:pt idx="36">
                  <c:v>12880.690512485538</c:v>
                </c:pt>
                <c:pt idx="37">
                  <c:v>15095.097780241915</c:v>
                </c:pt>
                <c:pt idx="38">
                  <c:v>17690.198889119547</c:v>
                </c:pt>
                <c:pt idx="39">
                  <c:v>20731.441511178557</c:v>
                </c:pt>
                <c:pt idx="40">
                  <c:v>24295.524873706403</c:v>
                </c:pt>
                <c:pt idx="41">
                  <c:v>28472.334090738794</c:v>
                </c:pt>
                <c:pt idx="42">
                  <c:v>33367.207038691733</c:v>
                </c:pt>
                <c:pt idx="43">
                  <c:v>39103.590946028751</c:v>
                </c:pt>
                <c:pt idx="44">
                  <c:v>45826.155695358277</c:v>
                </c:pt>
                <c:pt idx="45">
                  <c:v>53704.442354506857</c:v>
                </c:pt>
                <c:pt idx="46">
                  <c:v>62937.138951428278</c:v>
                </c:pt>
                <c:pt idx="47">
                  <c:v>73757.091326709924</c:v>
                </c:pt>
                <c:pt idx="48">
                  <c:v>86437.175435874698</c:v>
                </c:pt>
                <c:pt idx="49">
                  <c:v>101297.17919918215</c:v>
                </c:pt>
                <c:pt idx="50">
                  <c:v>118711.86745711809</c:v>
                </c:pt>
                <c:pt idx="51">
                  <c:v>139120.43342733235</c:v>
                </c:pt>
                <c:pt idx="52">
                  <c:v>163037.57502593554</c:v>
                </c:pt>
                <c:pt idx="53">
                  <c:v>191066.4753946581</c:v>
                </c:pt>
                <c:pt idx="54">
                  <c:v>223914.01499887469</c:v>
                </c:pt>
                <c:pt idx="55">
                  <c:v>262408.59894104709</c:v>
                </c:pt>
                <c:pt idx="56">
                  <c:v>307521.04908908607</c:v>
                </c:pt>
                <c:pt idx="57">
                  <c:v>360389.08791284717</c:v>
                </c:pt>
                <c:pt idx="58">
                  <c:v>422346.03150377766</c:v>
                </c:pt>
                <c:pt idx="59">
                  <c:v>494954.41540706868</c:v>
                </c:pt>
                <c:pt idx="60">
                  <c:v>580045.40129972051</c:v>
                </c:pt>
                <c:pt idx="61">
                  <c:v>679764.95833912864</c:v>
                </c:pt>
                <c:pt idx="62">
                  <c:v>796627.98386195884</c:v>
                </c:pt>
                <c:pt idx="63">
                  <c:v>933581.72834111471</c:v>
                </c:pt>
                <c:pt idx="64">
                  <c:v>1094080.1241591971</c:v>
                </c:pt>
                <c:pt idx="65">
                  <c:v>1282170.8927478462</c:v>
                </c:pt>
                <c:pt idx="66">
                  <c:v>1502597.6269089042</c:v>
                </c:pt>
                <c:pt idx="67">
                  <c:v>1760919.4228029421</c:v>
                </c:pt>
                <c:pt idx="68">
                  <c:v>2063651.0786880383</c:v>
                </c:pt>
                <c:pt idx="69">
                  <c:v>2418427.3961789762</c:v>
                </c:pt>
                <c:pt idx="70">
                  <c:v>2834195.7276553637</c:v>
                </c:pt>
                <c:pt idx="71">
                  <c:v>3321441.6258065989</c:v>
                </c:pt>
                <c:pt idx="72">
                  <c:v>3333380.1540805963</c:v>
                </c:pt>
                <c:pt idx="73">
                  <c:v>3333380.1540805963</c:v>
                </c:pt>
                <c:pt idx="74">
                  <c:v>3333380.1540805963</c:v>
                </c:pt>
                <c:pt idx="75">
                  <c:v>3333380.1540805963</c:v>
                </c:pt>
                <c:pt idx="76">
                  <c:v>3333380.1540805963</c:v>
                </c:pt>
                <c:pt idx="77">
                  <c:v>3333380.1540805963</c:v>
                </c:pt>
                <c:pt idx="78">
                  <c:v>3333380.1540805963</c:v>
                </c:pt>
                <c:pt idx="79">
                  <c:v>3333380.1540805963</c:v>
                </c:pt>
                <c:pt idx="80">
                  <c:v>3333380.1540805963</c:v>
                </c:pt>
                <c:pt idx="81">
                  <c:v>3333380.1540805963</c:v>
                </c:pt>
                <c:pt idx="82">
                  <c:v>3333380.1540805963</c:v>
                </c:pt>
                <c:pt idx="83">
                  <c:v>3333380.1540805963</c:v>
                </c:pt>
                <c:pt idx="84">
                  <c:v>3333380.1540805963</c:v>
                </c:pt>
                <c:pt idx="85">
                  <c:v>3333380.1540805963</c:v>
                </c:pt>
                <c:pt idx="86">
                  <c:v>3333380.1540805963</c:v>
                </c:pt>
                <c:pt idx="87">
                  <c:v>3333380.1540805963</c:v>
                </c:pt>
                <c:pt idx="88">
                  <c:v>3333380.1540805963</c:v>
                </c:pt>
                <c:pt idx="89">
                  <c:v>3333380.1540805963</c:v>
                </c:pt>
                <c:pt idx="90">
                  <c:v>3333380.1540805963</c:v>
                </c:pt>
                <c:pt idx="91">
                  <c:v>3333380.1540805963</c:v>
                </c:pt>
                <c:pt idx="92">
                  <c:v>3333380.1540805963</c:v>
                </c:pt>
                <c:pt idx="93">
                  <c:v>3333380.1540805963</c:v>
                </c:pt>
                <c:pt idx="94">
                  <c:v>3333380.1540805963</c:v>
                </c:pt>
                <c:pt idx="95">
                  <c:v>3333380.1540805963</c:v>
                </c:pt>
                <c:pt idx="96">
                  <c:v>3333380.1540805963</c:v>
                </c:pt>
                <c:pt idx="97">
                  <c:v>3333380.1540805963</c:v>
                </c:pt>
                <c:pt idx="98">
                  <c:v>3333380.1540805963</c:v>
                </c:pt>
                <c:pt idx="99">
                  <c:v>3333380.1540805963</c:v>
                </c:pt>
                <c:pt idx="100">
                  <c:v>3333380.1540805963</c:v>
                </c:pt>
                <c:pt idx="101">
                  <c:v>3333380.1540805963</c:v>
                </c:pt>
                <c:pt idx="102">
                  <c:v>3333380.1540805963</c:v>
                </c:pt>
                <c:pt idx="103">
                  <c:v>3333380.1540805963</c:v>
                </c:pt>
                <c:pt idx="104">
                  <c:v>3333380.1540805963</c:v>
                </c:pt>
                <c:pt idx="105">
                  <c:v>3333380.1540805963</c:v>
                </c:pt>
                <c:pt idx="106">
                  <c:v>3333380.1540805963</c:v>
                </c:pt>
                <c:pt idx="107">
                  <c:v>3333380.1540805963</c:v>
                </c:pt>
                <c:pt idx="108">
                  <c:v>3333380.1540805963</c:v>
                </c:pt>
                <c:pt idx="109">
                  <c:v>3333380.1540805963</c:v>
                </c:pt>
                <c:pt idx="110">
                  <c:v>3333380.1540805963</c:v>
                </c:pt>
                <c:pt idx="111">
                  <c:v>3333380.1540805963</c:v>
                </c:pt>
                <c:pt idx="112">
                  <c:v>3333380.1540805963</c:v>
                </c:pt>
                <c:pt idx="113">
                  <c:v>3333380.1540805963</c:v>
                </c:pt>
                <c:pt idx="114">
                  <c:v>3333380.1540805963</c:v>
                </c:pt>
                <c:pt idx="115">
                  <c:v>3333380.1540805963</c:v>
                </c:pt>
                <c:pt idx="116">
                  <c:v>3333380.1540805963</c:v>
                </c:pt>
                <c:pt idx="117">
                  <c:v>3333380.1540805963</c:v>
                </c:pt>
                <c:pt idx="118">
                  <c:v>3333380.1540805963</c:v>
                </c:pt>
                <c:pt idx="119">
                  <c:v>3333380.1540805963</c:v>
                </c:pt>
                <c:pt idx="120">
                  <c:v>3333380.1540805963</c:v>
                </c:pt>
                <c:pt idx="121">
                  <c:v>3333380.1540805963</c:v>
                </c:pt>
                <c:pt idx="122">
                  <c:v>3333380.1540805963</c:v>
                </c:pt>
                <c:pt idx="123">
                  <c:v>3333380.1540805963</c:v>
                </c:pt>
                <c:pt idx="124">
                  <c:v>3333380.1540805963</c:v>
                </c:pt>
                <c:pt idx="125">
                  <c:v>3333380.1540805963</c:v>
                </c:pt>
                <c:pt idx="126">
                  <c:v>3333380.1540805963</c:v>
                </c:pt>
                <c:pt idx="127">
                  <c:v>3333380.1540805963</c:v>
                </c:pt>
                <c:pt idx="128">
                  <c:v>3333380.1540805963</c:v>
                </c:pt>
                <c:pt idx="129">
                  <c:v>3333380.1540805963</c:v>
                </c:pt>
                <c:pt idx="130">
                  <c:v>3333380.1540805963</c:v>
                </c:pt>
                <c:pt idx="131">
                  <c:v>3333380.1540805963</c:v>
                </c:pt>
                <c:pt idx="132">
                  <c:v>3333380.1540805963</c:v>
                </c:pt>
                <c:pt idx="133">
                  <c:v>3333380.1540805963</c:v>
                </c:pt>
                <c:pt idx="134">
                  <c:v>3333380.1540805963</c:v>
                </c:pt>
                <c:pt idx="135">
                  <c:v>3333380.1540805963</c:v>
                </c:pt>
                <c:pt idx="136">
                  <c:v>3333380.1540805963</c:v>
                </c:pt>
                <c:pt idx="137">
                  <c:v>3333380.1540805963</c:v>
                </c:pt>
                <c:pt idx="138">
                  <c:v>3333380.1540805963</c:v>
                </c:pt>
                <c:pt idx="139">
                  <c:v>3333380.1540805963</c:v>
                </c:pt>
                <c:pt idx="140">
                  <c:v>3333380.1540805963</c:v>
                </c:pt>
                <c:pt idx="141">
                  <c:v>3333380.1540805963</c:v>
                </c:pt>
                <c:pt idx="142">
                  <c:v>3333380.1540805963</c:v>
                </c:pt>
                <c:pt idx="143">
                  <c:v>3333380.1540805963</c:v>
                </c:pt>
                <c:pt idx="144">
                  <c:v>3333380.1540805963</c:v>
                </c:pt>
                <c:pt idx="145">
                  <c:v>3333380.1540805963</c:v>
                </c:pt>
                <c:pt idx="146">
                  <c:v>3333380.1540805963</c:v>
                </c:pt>
                <c:pt idx="147">
                  <c:v>3333380.1540805963</c:v>
                </c:pt>
                <c:pt idx="148">
                  <c:v>3333380.1540805963</c:v>
                </c:pt>
                <c:pt idx="149">
                  <c:v>3333380.1540805963</c:v>
                </c:pt>
                <c:pt idx="150">
                  <c:v>3333380.1540805963</c:v>
                </c:pt>
                <c:pt idx="151">
                  <c:v>3333380.1540805963</c:v>
                </c:pt>
                <c:pt idx="152">
                  <c:v>3333380.1540805963</c:v>
                </c:pt>
                <c:pt idx="153">
                  <c:v>3333380.1540805963</c:v>
                </c:pt>
                <c:pt idx="154">
                  <c:v>3333380.1540805963</c:v>
                </c:pt>
                <c:pt idx="155">
                  <c:v>3333380.1540805963</c:v>
                </c:pt>
                <c:pt idx="156">
                  <c:v>3333380.1540805963</c:v>
                </c:pt>
                <c:pt idx="157">
                  <c:v>3333380.1540805963</c:v>
                </c:pt>
                <c:pt idx="158">
                  <c:v>3333380.1540805963</c:v>
                </c:pt>
                <c:pt idx="159">
                  <c:v>3333380.1540805963</c:v>
                </c:pt>
                <c:pt idx="160">
                  <c:v>3333380.1540805963</c:v>
                </c:pt>
                <c:pt idx="161">
                  <c:v>3333380.1540805963</c:v>
                </c:pt>
                <c:pt idx="162">
                  <c:v>3333380.1540805963</c:v>
                </c:pt>
                <c:pt idx="163">
                  <c:v>3333380.1540805963</c:v>
                </c:pt>
                <c:pt idx="164">
                  <c:v>3333380.1540805963</c:v>
                </c:pt>
                <c:pt idx="165">
                  <c:v>3333380.1540805963</c:v>
                </c:pt>
                <c:pt idx="166">
                  <c:v>3333380.1540805963</c:v>
                </c:pt>
                <c:pt idx="167">
                  <c:v>3333380.1540805963</c:v>
                </c:pt>
                <c:pt idx="168">
                  <c:v>3333380.1540805963</c:v>
                </c:pt>
                <c:pt idx="169">
                  <c:v>3333380.1540805963</c:v>
                </c:pt>
                <c:pt idx="170">
                  <c:v>3333380.1540805963</c:v>
                </c:pt>
                <c:pt idx="171">
                  <c:v>3333380.1540805963</c:v>
                </c:pt>
                <c:pt idx="172">
                  <c:v>3333380.1540805963</c:v>
                </c:pt>
                <c:pt idx="173">
                  <c:v>3333380.1540805963</c:v>
                </c:pt>
                <c:pt idx="174">
                  <c:v>3333380.1540805963</c:v>
                </c:pt>
                <c:pt idx="175">
                  <c:v>3333380.1540805963</c:v>
                </c:pt>
                <c:pt idx="176">
                  <c:v>3333380.1540805963</c:v>
                </c:pt>
                <c:pt idx="177">
                  <c:v>3333380.1540805963</c:v>
                </c:pt>
                <c:pt idx="178">
                  <c:v>3333380.1540805963</c:v>
                </c:pt>
                <c:pt idx="179">
                  <c:v>3333380.1540805963</c:v>
                </c:pt>
                <c:pt idx="180">
                  <c:v>3333380.1540805963</c:v>
                </c:pt>
                <c:pt idx="181">
                  <c:v>3333380.1540805963</c:v>
                </c:pt>
                <c:pt idx="182">
                  <c:v>3333380.1540805963</c:v>
                </c:pt>
                <c:pt idx="183">
                  <c:v>3333380.1540805963</c:v>
                </c:pt>
                <c:pt idx="184">
                  <c:v>3333380.1540805963</c:v>
                </c:pt>
                <c:pt idx="185">
                  <c:v>3333380.1540805963</c:v>
                </c:pt>
                <c:pt idx="186">
                  <c:v>3333380.1540805963</c:v>
                </c:pt>
                <c:pt idx="187">
                  <c:v>3333380.1540805963</c:v>
                </c:pt>
                <c:pt idx="188">
                  <c:v>3333380.1540805963</c:v>
                </c:pt>
                <c:pt idx="189">
                  <c:v>3333380.1540805963</c:v>
                </c:pt>
                <c:pt idx="190">
                  <c:v>3333380.1540805963</c:v>
                </c:pt>
                <c:pt idx="191">
                  <c:v>3333380.1540805963</c:v>
                </c:pt>
                <c:pt idx="192">
                  <c:v>3333380.1540805963</c:v>
                </c:pt>
                <c:pt idx="193">
                  <c:v>3333380.1540805963</c:v>
                </c:pt>
                <c:pt idx="194">
                  <c:v>3333380.1540805963</c:v>
                </c:pt>
                <c:pt idx="195">
                  <c:v>3333380.1540805963</c:v>
                </c:pt>
                <c:pt idx="196">
                  <c:v>3333380.1540805963</c:v>
                </c:pt>
                <c:pt idx="197">
                  <c:v>3333380.1540805963</c:v>
                </c:pt>
                <c:pt idx="198">
                  <c:v>3333380.1540805963</c:v>
                </c:pt>
                <c:pt idx="199">
                  <c:v>3333380.1540805963</c:v>
                </c:pt>
                <c:pt idx="200">
                  <c:v>3333380.1540805963</c:v>
                </c:pt>
                <c:pt idx="201">
                  <c:v>3333380.1540805963</c:v>
                </c:pt>
                <c:pt idx="202">
                  <c:v>3333380.1540805963</c:v>
                </c:pt>
                <c:pt idx="203">
                  <c:v>3333380.1540805963</c:v>
                </c:pt>
                <c:pt idx="204">
                  <c:v>3333380.1540805963</c:v>
                </c:pt>
                <c:pt idx="205">
                  <c:v>3333380.1540805963</c:v>
                </c:pt>
                <c:pt idx="206">
                  <c:v>3333380.1540805963</c:v>
                </c:pt>
                <c:pt idx="207">
                  <c:v>3333380.1540805963</c:v>
                </c:pt>
                <c:pt idx="208">
                  <c:v>3333380.1540805963</c:v>
                </c:pt>
                <c:pt idx="209">
                  <c:v>3333380.1540805963</c:v>
                </c:pt>
                <c:pt idx="210">
                  <c:v>3333380.1540805963</c:v>
                </c:pt>
                <c:pt idx="211">
                  <c:v>3333380.1540805963</c:v>
                </c:pt>
                <c:pt idx="212">
                  <c:v>3333380.1540805963</c:v>
                </c:pt>
                <c:pt idx="213">
                  <c:v>3333380.1540805963</c:v>
                </c:pt>
                <c:pt idx="214">
                  <c:v>3333380.1540805963</c:v>
                </c:pt>
                <c:pt idx="215">
                  <c:v>3333380.1540805963</c:v>
                </c:pt>
                <c:pt idx="216">
                  <c:v>3333380.1540805963</c:v>
                </c:pt>
                <c:pt idx="217">
                  <c:v>3333380.1540805963</c:v>
                </c:pt>
                <c:pt idx="218">
                  <c:v>3333380.1540805963</c:v>
                </c:pt>
                <c:pt idx="219">
                  <c:v>3333380.1540805963</c:v>
                </c:pt>
                <c:pt idx="220">
                  <c:v>3333380.1540805963</c:v>
                </c:pt>
                <c:pt idx="221">
                  <c:v>3333380.1540805963</c:v>
                </c:pt>
                <c:pt idx="222">
                  <c:v>3333380.1540805963</c:v>
                </c:pt>
                <c:pt idx="223">
                  <c:v>3333380.1540805963</c:v>
                </c:pt>
                <c:pt idx="224">
                  <c:v>3333380.1540805963</c:v>
                </c:pt>
                <c:pt idx="225">
                  <c:v>3333380.1540805963</c:v>
                </c:pt>
                <c:pt idx="226">
                  <c:v>3333380.1540805963</c:v>
                </c:pt>
                <c:pt idx="227">
                  <c:v>3333380.1540805963</c:v>
                </c:pt>
                <c:pt idx="228">
                  <c:v>3333380.1540805963</c:v>
                </c:pt>
                <c:pt idx="229">
                  <c:v>3333380.1540805963</c:v>
                </c:pt>
                <c:pt idx="230">
                  <c:v>3333380.1540805963</c:v>
                </c:pt>
                <c:pt idx="231">
                  <c:v>3333380.1540805963</c:v>
                </c:pt>
                <c:pt idx="232">
                  <c:v>3333380.1540805963</c:v>
                </c:pt>
                <c:pt idx="233">
                  <c:v>3333380.1540805963</c:v>
                </c:pt>
                <c:pt idx="234">
                  <c:v>3333380.1540805963</c:v>
                </c:pt>
                <c:pt idx="235">
                  <c:v>3333380.1540805963</c:v>
                </c:pt>
                <c:pt idx="236">
                  <c:v>3333380.1540805963</c:v>
                </c:pt>
                <c:pt idx="237">
                  <c:v>3333380.1540805963</c:v>
                </c:pt>
                <c:pt idx="238">
                  <c:v>3333380.1540805963</c:v>
                </c:pt>
                <c:pt idx="239">
                  <c:v>3333380.1540805963</c:v>
                </c:pt>
                <c:pt idx="240">
                  <c:v>3333380.1540805963</c:v>
                </c:pt>
                <c:pt idx="241">
                  <c:v>3333380.1540805963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1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29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6364.33320052737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cases: Country by day since 100th infection</a:t>
            </a:r>
            <a:endParaRPr lang="en-GB" sz="1800"/>
          </a:p>
        </c:rich>
      </c:tx>
      <c:layout>
        <c:manualLayout>
          <c:xMode val="edge"/>
          <c:yMode val="edge"/>
          <c:x val="0.14386729070242973"/>
          <c:y val="9.933712665478858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225589793856148E-2"/>
          <c:y val="7.4670365244226308E-2"/>
          <c:w val="0.74154846987902279"/>
          <c:h val="0.81719722257760619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Days_Since_100!$I$2:$KU$2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150</c:v>
                </c:pt>
                <c:pt idx="2">
                  <c:v>225</c:v>
                </c:pt>
                <c:pt idx="3">
                  <c:v>337.5</c:v>
                </c:pt>
                <c:pt idx="4">
                  <c:v>506.25</c:v>
                </c:pt>
                <c:pt idx="5">
                  <c:v>759.375</c:v>
                </c:pt>
                <c:pt idx="6">
                  <c:v>1139.0625</c:v>
                </c:pt>
                <c:pt idx="7">
                  <c:v>1708.59375</c:v>
                </c:pt>
                <c:pt idx="8">
                  <c:v>2562.890625</c:v>
                </c:pt>
                <c:pt idx="9">
                  <c:v>3844.3359375</c:v>
                </c:pt>
                <c:pt idx="10">
                  <c:v>5766.50390625</c:v>
                </c:pt>
                <c:pt idx="11">
                  <c:v>8649.755859375</c:v>
                </c:pt>
                <c:pt idx="12">
                  <c:v>12974.6337890625</c:v>
                </c:pt>
                <c:pt idx="13">
                  <c:v>19461.95068359375</c:v>
                </c:pt>
                <c:pt idx="14">
                  <c:v>29192.926025390625</c:v>
                </c:pt>
                <c:pt idx="15">
                  <c:v>43789.389038085938</c:v>
                </c:pt>
                <c:pt idx="16">
                  <c:v>65684.083557128906</c:v>
                </c:pt>
                <c:pt idx="17">
                  <c:v>98526.125335693359</c:v>
                </c:pt>
                <c:pt idx="18">
                  <c:v>147789.18800354004</c:v>
                </c:pt>
                <c:pt idx="19">
                  <c:v>221683.78200531006</c:v>
                </c:pt>
                <c:pt idx="20">
                  <c:v>332525.67300796509</c:v>
                </c:pt>
                <c:pt idx="21">
                  <c:v>498788.50951194763</c:v>
                </c:pt>
                <c:pt idx="22">
                  <c:v>748182.76426792145</c:v>
                </c:pt>
                <c:pt idx="23">
                  <c:v>1122274.1464018822</c:v>
                </c:pt>
                <c:pt idx="24">
                  <c:v>1683411.2196028233</c:v>
                </c:pt>
                <c:pt idx="25">
                  <c:v>2525116.8294042349</c:v>
                </c:pt>
                <c:pt idx="26">
                  <c:v>3787675.2441063523</c:v>
                </c:pt>
                <c:pt idx="27">
                  <c:v>5681512.8661595285</c:v>
                </c:pt>
                <c:pt idx="28">
                  <c:v>8522269.2992392927</c:v>
                </c:pt>
                <c:pt idx="29">
                  <c:v>12783403.948858939</c:v>
                </c:pt>
                <c:pt idx="30">
                  <c:v>19175105.923288409</c:v>
                </c:pt>
                <c:pt idx="31">
                  <c:v>28762658.884932615</c:v>
                </c:pt>
                <c:pt idx="32">
                  <c:v>43143988.327398926</c:v>
                </c:pt>
                <c:pt idx="33">
                  <c:v>64715982.491098389</c:v>
                </c:pt>
                <c:pt idx="34">
                  <c:v>97073973.736647576</c:v>
                </c:pt>
                <c:pt idx="35">
                  <c:v>145610960.60497135</c:v>
                </c:pt>
                <c:pt idx="36">
                  <c:v>218416440.90745702</c:v>
                </c:pt>
                <c:pt idx="37">
                  <c:v>327624661.36118555</c:v>
                </c:pt>
                <c:pt idx="38">
                  <c:v>491436992.04177833</c:v>
                </c:pt>
                <c:pt idx="39">
                  <c:v>737155488.06266749</c:v>
                </c:pt>
                <c:pt idx="40">
                  <c:v>1105733232.0940013</c:v>
                </c:pt>
                <c:pt idx="41">
                  <c:v>1658599848.1410019</c:v>
                </c:pt>
                <c:pt idx="42">
                  <c:v>2487899772.211503</c:v>
                </c:pt>
                <c:pt idx="43">
                  <c:v>3731849658.3172545</c:v>
                </c:pt>
                <c:pt idx="44">
                  <c:v>5597774487.4758816</c:v>
                </c:pt>
                <c:pt idx="45">
                  <c:v>8396661731.2138224</c:v>
                </c:pt>
                <c:pt idx="46">
                  <c:v>12594992596.820734</c:v>
                </c:pt>
                <c:pt idx="47">
                  <c:v>18892488895.231102</c:v>
                </c:pt>
                <c:pt idx="48">
                  <c:v>28338733342.846653</c:v>
                </c:pt>
                <c:pt idx="49">
                  <c:v>42508100014.269981</c:v>
                </c:pt>
                <c:pt idx="50">
                  <c:v>63762150021.404968</c:v>
                </c:pt>
                <c:pt idx="51">
                  <c:v>95643225032.107452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Days_Since_100!$I$3:$KU$3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Days_Since_100!$I$4:$KU$4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Days_Since_100!$H$5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Days_Since_100!$I$5:$KU$5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  <c:pt idx="22">
                  <c:v>65778</c:v>
                </c:pt>
                <c:pt idx="23">
                  <c:v>83836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Days_Since_100!$H$6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Days_Since_100!$I$6:$KU$6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548</c:v>
                </c:pt>
                <c:pt idx="5">
                  <c:v>643</c:v>
                </c:pt>
                <c:pt idx="6">
                  <c:v>920</c:v>
                </c:pt>
                <c:pt idx="7">
                  <c:v>1406</c:v>
                </c:pt>
                <c:pt idx="8">
                  <c:v>2075</c:v>
                </c:pt>
                <c:pt idx="9">
                  <c:v>2877</c:v>
                </c:pt>
                <c:pt idx="10">
                  <c:v>5509</c:v>
                </c:pt>
                <c:pt idx="11">
                  <c:v>6087</c:v>
                </c:pt>
                <c:pt idx="12">
                  <c:v>8141</c:v>
                </c:pt>
                <c:pt idx="13">
                  <c:v>9802</c:v>
                </c:pt>
                <c:pt idx="14">
                  <c:v>11891</c:v>
                </c:pt>
                <c:pt idx="15">
                  <c:v>16630</c:v>
                </c:pt>
                <c:pt idx="16">
                  <c:v>19716</c:v>
                </c:pt>
                <c:pt idx="17">
                  <c:v>23707</c:v>
                </c:pt>
                <c:pt idx="18">
                  <c:v>27440</c:v>
                </c:pt>
                <c:pt idx="19">
                  <c:v>30587</c:v>
                </c:pt>
                <c:pt idx="20">
                  <c:v>34110</c:v>
                </c:pt>
                <c:pt idx="21">
                  <c:v>36814</c:v>
                </c:pt>
                <c:pt idx="22">
                  <c:v>39829</c:v>
                </c:pt>
                <c:pt idx="23">
                  <c:v>42354</c:v>
                </c:pt>
                <c:pt idx="24">
                  <c:v>44386</c:v>
                </c:pt>
                <c:pt idx="25">
                  <c:v>44759</c:v>
                </c:pt>
                <c:pt idx="26">
                  <c:v>59895</c:v>
                </c:pt>
                <c:pt idx="27">
                  <c:v>66358</c:v>
                </c:pt>
                <c:pt idx="28">
                  <c:v>68413</c:v>
                </c:pt>
                <c:pt idx="29">
                  <c:v>70513</c:v>
                </c:pt>
                <c:pt idx="30">
                  <c:v>72434</c:v>
                </c:pt>
                <c:pt idx="31">
                  <c:v>74211</c:v>
                </c:pt>
                <c:pt idx="32">
                  <c:v>74619</c:v>
                </c:pt>
                <c:pt idx="33">
                  <c:v>75077</c:v>
                </c:pt>
                <c:pt idx="34">
                  <c:v>75550</c:v>
                </c:pt>
                <c:pt idx="35">
                  <c:v>77001</c:v>
                </c:pt>
                <c:pt idx="36">
                  <c:v>77022</c:v>
                </c:pt>
                <c:pt idx="37">
                  <c:v>77241</c:v>
                </c:pt>
                <c:pt idx="38">
                  <c:v>77754</c:v>
                </c:pt>
                <c:pt idx="39">
                  <c:v>78166</c:v>
                </c:pt>
                <c:pt idx="40">
                  <c:v>78600</c:v>
                </c:pt>
                <c:pt idx="41">
                  <c:v>78928</c:v>
                </c:pt>
                <c:pt idx="42">
                  <c:v>79356</c:v>
                </c:pt>
                <c:pt idx="43">
                  <c:v>79932</c:v>
                </c:pt>
                <c:pt idx="44">
                  <c:v>80136</c:v>
                </c:pt>
                <c:pt idx="45">
                  <c:v>80261</c:v>
                </c:pt>
                <c:pt idx="46">
                  <c:v>80386</c:v>
                </c:pt>
                <c:pt idx="47">
                  <c:v>80537</c:v>
                </c:pt>
                <c:pt idx="48">
                  <c:v>80690</c:v>
                </c:pt>
                <c:pt idx="49">
                  <c:v>80770</c:v>
                </c:pt>
                <c:pt idx="50">
                  <c:v>80823</c:v>
                </c:pt>
                <c:pt idx="51">
                  <c:v>80860</c:v>
                </c:pt>
                <c:pt idx="52">
                  <c:v>80887</c:v>
                </c:pt>
                <c:pt idx="53">
                  <c:v>80921</c:v>
                </c:pt>
                <c:pt idx="54">
                  <c:v>80932</c:v>
                </c:pt>
                <c:pt idx="55">
                  <c:v>80945</c:v>
                </c:pt>
                <c:pt idx="56">
                  <c:v>80977</c:v>
                </c:pt>
                <c:pt idx="57">
                  <c:v>81003</c:v>
                </c:pt>
                <c:pt idx="58">
                  <c:v>81033</c:v>
                </c:pt>
                <c:pt idx="59">
                  <c:v>81058</c:v>
                </c:pt>
                <c:pt idx="60">
                  <c:v>81102</c:v>
                </c:pt>
                <c:pt idx="61">
                  <c:v>81156</c:v>
                </c:pt>
                <c:pt idx="62">
                  <c:v>81250</c:v>
                </c:pt>
                <c:pt idx="63">
                  <c:v>81305</c:v>
                </c:pt>
                <c:pt idx="64">
                  <c:v>81435</c:v>
                </c:pt>
                <c:pt idx="65">
                  <c:v>81498</c:v>
                </c:pt>
                <c:pt idx="66">
                  <c:v>81591</c:v>
                </c:pt>
                <c:pt idx="67">
                  <c:v>81661</c:v>
                </c:pt>
                <c:pt idx="68">
                  <c:v>81782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Days_Since_100!$H$7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Days_Since_100!$I$7:$KU$7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Days_Since_100!$H$8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Days_Since_100!$I$8:$KU$8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Days_Since_100!$H$9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Days_Since_100!$I$9:$KU$9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Days_Since_100!$H$10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Days_Since_100!$I$10:$KU$10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Days_Since_100!$H$11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Days_Since_100!$I$11:$KU$11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2716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12"/>
          <c:order val="10"/>
          <c:tx>
            <c:strRef>
              <c:f>Days_Since_100!$H$13</c:f>
              <c:strCache>
                <c:ptCount val="1"/>
                <c:pt idx="0">
                  <c:v>Europe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Days_Since_100!$I$13:$KU$13</c:f>
              <c:numCache>
                <c:formatCode>General</c:formatCode>
                <c:ptCount val="299"/>
                <c:pt idx="0">
                  <c:v>104</c:v>
                </c:pt>
                <c:pt idx="1">
                  <c:v>197</c:v>
                </c:pt>
                <c:pt idx="2">
                  <c:v>275</c:v>
                </c:pt>
                <c:pt idx="3">
                  <c:v>379</c:v>
                </c:pt>
                <c:pt idx="4">
                  <c:v>540</c:v>
                </c:pt>
                <c:pt idx="5">
                  <c:v>804</c:v>
                </c:pt>
                <c:pt idx="6">
                  <c:v>1093</c:v>
                </c:pt>
                <c:pt idx="7">
                  <c:v>1465</c:v>
                </c:pt>
                <c:pt idx="8">
                  <c:v>2205</c:v>
                </c:pt>
                <c:pt idx="9">
                  <c:v>2731</c:v>
                </c:pt>
                <c:pt idx="10">
                  <c:v>3360</c:v>
                </c:pt>
                <c:pt idx="11">
                  <c:v>4342</c:v>
                </c:pt>
                <c:pt idx="12">
                  <c:v>5743</c:v>
                </c:pt>
                <c:pt idx="13">
                  <c:v>7509</c:v>
                </c:pt>
                <c:pt idx="14">
                  <c:v>9653</c:v>
                </c:pt>
                <c:pt idx="15">
                  <c:v>12202</c:v>
                </c:pt>
                <c:pt idx="16">
                  <c:v>14988</c:v>
                </c:pt>
                <c:pt idx="17">
                  <c:v>18391</c:v>
                </c:pt>
                <c:pt idx="18">
                  <c:v>23465</c:v>
                </c:pt>
                <c:pt idx="19">
                  <c:v>29097</c:v>
                </c:pt>
                <c:pt idx="20">
                  <c:v>38314</c:v>
                </c:pt>
                <c:pt idx="21">
                  <c:v>46524</c:v>
                </c:pt>
                <c:pt idx="22">
                  <c:v>56031</c:v>
                </c:pt>
                <c:pt idx="23">
                  <c:v>65711</c:v>
                </c:pt>
                <c:pt idx="24">
                  <c:v>76893</c:v>
                </c:pt>
                <c:pt idx="25">
                  <c:v>90579</c:v>
                </c:pt>
                <c:pt idx="26">
                  <c:v>109054</c:v>
                </c:pt>
                <c:pt idx="27">
                  <c:v>129704</c:v>
                </c:pt>
                <c:pt idx="28">
                  <c:v>151490</c:v>
                </c:pt>
                <c:pt idx="29">
                  <c:v>171175</c:v>
                </c:pt>
                <c:pt idx="30">
                  <c:v>196940</c:v>
                </c:pt>
                <c:pt idx="31">
                  <c:v>220914</c:v>
                </c:pt>
                <c:pt idx="32">
                  <c:v>251069</c:v>
                </c:pt>
                <c:pt idx="33">
                  <c:v>287075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39-447C-95C3-9E180202C83B}"/>
            </c:ext>
          </c:extLst>
        </c:ser>
        <c:ser>
          <c:idx val="14"/>
          <c:order val="11"/>
          <c:tx>
            <c:strRef>
              <c:f>Days_Since_100!$H$15</c:f>
              <c:strCache>
                <c:ptCount val="1"/>
                <c:pt idx="0">
                  <c:v>North America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Days_Since_100!$I$15:$KU$15</c:f>
              <c:numCache>
                <c:formatCode>General</c:formatCode>
                <c:ptCount val="299"/>
                <c:pt idx="0">
                  <c:v>103</c:v>
                </c:pt>
                <c:pt idx="1">
                  <c:v>130</c:v>
                </c:pt>
                <c:pt idx="2">
                  <c:v>153</c:v>
                </c:pt>
                <c:pt idx="3">
                  <c:v>187</c:v>
                </c:pt>
                <c:pt idx="4">
                  <c:v>259</c:v>
                </c:pt>
                <c:pt idx="5">
                  <c:v>318</c:v>
                </c:pt>
                <c:pt idx="6">
                  <c:v>463</c:v>
                </c:pt>
                <c:pt idx="7">
                  <c:v>594</c:v>
                </c:pt>
                <c:pt idx="8">
                  <c:v>676</c:v>
                </c:pt>
                <c:pt idx="9">
                  <c:v>1055</c:v>
                </c:pt>
                <c:pt idx="10">
                  <c:v>1419</c:v>
                </c:pt>
                <c:pt idx="11">
                  <c:v>1830</c:v>
                </c:pt>
                <c:pt idx="12">
                  <c:v>2447</c:v>
                </c:pt>
                <c:pt idx="13">
                  <c:v>3026</c:v>
                </c:pt>
                <c:pt idx="14">
                  <c:v>3877</c:v>
                </c:pt>
                <c:pt idx="15">
                  <c:v>5205</c:v>
                </c:pt>
                <c:pt idx="16">
                  <c:v>7109</c:v>
                </c:pt>
                <c:pt idx="17">
                  <c:v>8690</c:v>
                </c:pt>
                <c:pt idx="18">
                  <c:v>14800</c:v>
                </c:pt>
                <c:pt idx="19">
                  <c:v>20466</c:v>
                </c:pt>
                <c:pt idx="20">
                  <c:v>27324</c:v>
                </c:pt>
                <c:pt idx="21">
                  <c:v>35498</c:v>
                </c:pt>
                <c:pt idx="22">
                  <c:v>46816</c:v>
                </c:pt>
                <c:pt idx="23">
                  <c:v>57491</c:v>
                </c:pt>
                <c:pt idx="24">
                  <c:v>70164</c:v>
                </c:pt>
                <c:pt idx="25">
                  <c:v>89242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939-447C-95C3-9E180202C83B}"/>
            </c:ext>
          </c:extLst>
        </c:ser>
        <c:ser>
          <c:idx val="16"/>
          <c:order val="12"/>
          <c:tx>
            <c:strRef>
              <c:f>Days_Since_100!$H$16</c:f>
              <c:strCache>
                <c:ptCount val="1"/>
                <c:pt idx="0">
                  <c:v>Middle East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Days_Since_100!$I$16:$KU$16</c:f>
              <c:numCache>
                <c:formatCode>General</c:formatCode>
                <c:ptCount val="299"/>
                <c:pt idx="0">
                  <c:v>148</c:v>
                </c:pt>
                <c:pt idx="1">
                  <c:v>225</c:v>
                </c:pt>
                <c:pt idx="2">
                  <c:v>351</c:v>
                </c:pt>
                <c:pt idx="3">
                  <c:v>506</c:v>
                </c:pt>
                <c:pt idx="4">
                  <c:v>732</c:v>
                </c:pt>
                <c:pt idx="5">
                  <c:v>1140</c:v>
                </c:pt>
                <c:pt idx="6">
                  <c:v>1687</c:v>
                </c:pt>
                <c:pt idx="7">
                  <c:v>2547</c:v>
                </c:pt>
                <c:pt idx="8">
                  <c:v>3146</c:v>
                </c:pt>
                <c:pt idx="9">
                  <c:v>3757</c:v>
                </c:pt>
                <c:pt idx="10">
                  <c:v>5024</c:v>
                </c:pt>
                <c:pt idx="11">
                  <c:v>6164</c:v>
                </c:pt>
                <c:pt idx="12">
                  <c:v>6960</c:v>
                </c:pt>
                <c:pt idx="13">
                  <c:v>7572</c:v>
                </c:pt>
                <c:pt idx="14">
                  <c:v>8550</c:v>
                </c:pt>
                <c:pt idx="15">
                  <c:v>9861</c:v>
                </c:pt>
                <c:pt idx="16">
                  <c:v>11000</c:v>
                </c:pt>
                <c:pt idx="17">
                  <c:v>12461</c:v>
                </c:pt>
                <c:pt idx="18">
                  <c:v>13957</c:v>
                </c:pt>
                <c:pt idx="19">
                  <c:v>15351</c:v>
                </c:pt>
                <c:pt idx="20">
                  <c:v>16495</c:v>
                </c:pt>
                <c:pt idx="21">
                  <c:v>17839</c:v>
                </c:pt>
                <c:pt idx="22">
                  <c:v>19209</c:v>
                </c:pt>
                <c:pt idx="23">
                  <c:v>20622</c:v>
                </c:pt>
                <c:pt idx="24">
                  <c:v>22099</c:v>
                </c:pt>
                <c:pt idx="25">
                  <c:v>23391</c:v>
                </c:pt>
                <c:pt idx="26">
                  <c:v>24889</c:v>
                </c:pt>
                <c:pt idx="27">
                  <c:v>26713</c:v>
                </c:pt>
                <c:pt idx="28">
                  <c:v>29119</c:v>
                </c:pt>
                <c:pt idx="29">
                  <c:v>32804</c:v>
                </c:pt>
                <c:pt idx="30">
                  <c:v>35824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939-447C-95C3-9E180202C83B}"/>
            </c:ext>
          </c:extLst>
        </c:ser>
        <c:ser>
          <c:idx val="19"/>
          <c:order val="13"/>
          <c:tx>
            <c:strRef>
              <c:f>Days_Since_100!$H$17</c:f>
              <c:strCache>
                <c:ptCount val="1"/>
                <c:pt idx="0">
                  <c:v>Iran</c:v>
                </c:pt>
              </c:strCache>
            </c:strRef>
          </c:tx>
          <c:spPr>
            <a:ln w="31750" cap="rnd" cmpd="sng" algn="ctr">
              <a:solidFill>
                <a:srgbClr val="FF0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Days_Since_100!$I$17:$KU$17</c:f>
              <c:numCache>
                <c:formatCode>General</c:formatCode>
                <c:ptCount val="299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  <c:pt idx="12">
                  <c:v>7161</c:v>
                </c:pt>
                <c:pt idx="13">
                  <c:v>8042</c:v>
                </c:pt>
                <c:pt idx="14">
                  <c:v>9000</c:v>
                </c:pt>
                <c:pt idx="15">
                  <c:v>10075</c:v>
                </c:pt>
                <c:pt idx="16">
                  <c:v>11364</c:v>
                </c:pt>
                <c:pt idx="17">
                  <c:v>12729</c:v>
                </c:pt>
                <c:pt idx="18">
                  <c:v>13938</c:v>
                </c:pt>
                <c:pt idx="19">
                  <c:v>14991</c:v>
                </c:pt>
                <c:pt idx="20">
                  <c:v>16169</c:v>
                </c:pt>
                <c:pt idx="21">
                  <c:v>17361</c:v>
                </c:pt>
                <c:pt idx="22">
                  <c:v>18407</c:v>
                </c:pt>
                <c:pt idx="23">
                  <c:v>19644</c:v>
                </c:pt>
                <c:pt idx="24">
                  <c:v>20610</c:v>
                </c:pt>
                <c:pt idx="25">
                  <c:v>21638</c:v>
                </c:pt>
                <c:pt idx="26">
                  <c:v>23049</c:v>
                </c:pt>
                <c:pt idx="27">
                  <c:v>24811</c:v>
                </c:pt>
                <c:pt idx="28">
                  <c:v>27017</c:v>
                </c:pt>
                <c:pt idx="29">
                  <c:v>29406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939-447C-95C3-9E180202C83B}"/>
            </c:ext>
          </c:extLst>
        </c:ser>
        <c:ser>
          <c:idx val="20"/>
          <c:order val="14"/>
          <c:tx>
            <c:strRef>
              <c:f>Days_Since_100!$H$18</c:f>
              <c:strCache>
                <c:ptCount val="1"/>
                <c:pt idx="0">
                  <c:v>Switzerland</c:v>
                </c:pt>
              </c:strCache>
            </c:strRef>
          </c:tx>
          <c:spPr>
            <a:ln w="31750" cap="rnd" cmpd="sng" algn="ctr">
              <a:solidFill>
                <a:srgbClr val="C00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Days_Since_100!$I$18:$KU$18</c:f>
              <c:numCache>
                <c:formatCode>General</c:formatCode>
                <c:ptCount val="299"/>
                <c:pt idx="0">
                  <c:v>114</c:v>
                </c:pt>
                <c:pt idx="1">
                  <c:v>214</c:v>
                </c:pt>
                <c:pt idx="2">
                  <c:v>268</c:v>
                </c:pt>
                <c:pt idx="3">
                  <c:v>337</c:v>
                </c:pt>
                <c:pt idx="4">
                  <c:v>374</c:v>
                </c:pt>
                <c:pt idx="5">
                  <c:v>491</c:v>
                </c:pt>
                <c:pt idx="6">
                  <c:v>652</c:v>
                </c:pt>
                <c:pt idx="7">
                  <c:v>652</c:v>
                </c:pt>
                <c:pt idx="8">
                  <c:v>1139</c:v>
                </c:pt>
                <c:pt idx="9">
                  <c:v>1359</c:v>
                </c:pt>
                <c:pt idx="10">
                  <c:v>2200</c:v>
                </c:pt>
                <c:pt idx="11">
                  <c:v>2200</c:v>
                </c:pt>
                <c:pt idx="12">
                  <c:v>2700</c:v>
                </c:pt>
                <c:pt idx="13">
                  <c:v>3028</c:v>
                </c:pt>
                <c:pt idx="14">
                  <c:v>4075</c:v>
                </c:pt>
                <c:pt idx="15">
                  <c:v>5294</c:v>
                </c:pt>
                <c:pt idx="16">
                  <c:v>6575</c:v>
                </c:pt>
                <c:pt idx="17">
                  <c:v>7474</c:v>
                </c:pt>
                <c:pt idx="18">
                  <c:v>8795</c:v>
                </c:pt>
                <c:pt idx="19">
                  <c:v>9877</c:v>
                </c:pt>
                <c:pt idx="20">
                  <c:v>10897</c:v>
                </c:pt>
                <c:pt idx="21">
                  <c:v>11811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939-447C-95C3-9E180202C83B}"/>
            </c:ext>
          </c:extLst>
        </c:ser>
        <c:ser>
          <c:idx val="23"/>
          <c:order val="15"/>
          <c:tx>
            <c:strRef>
              <c:f>Days_Since_100!$H$19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E7E6E6">
                  <a:lumMod val="75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Days_Since_100!$I$19:$KU$19</c:f>
              <c:numCache>
                <c:formatCode>General</c:formatCode>
                <c:ptCount val="299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  <c:pt idx="27">
                  <c:v>8413</c:v>
                </c:pt>
                <c:pt idx="28">
                  <c:v>8565</c:v>
                </c:pt>
                <c:pt idx="29">
                  <c:v>8652</c:v>
                </c:pt>
                <c:pt idx="30">
                  <c:v>8799</c:v>
                </c:pt>
                <c:pt idx="31">
                  <c:v>8961</c:v>
                </c:pt>
                <c:pt idx="32">
                  <c:v>8961</c:v>
                </c:pt>
                <c:pt idx="33">
                  <c:v>9037</c:v>
                </c:pt>
                <c:pt idx="34">
                  <c:v>9137</c:v>
                </c:pt>
                <c:pt idx="35">
                  <c:v>9241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939-447C-95C3-9E180202C83B}"/>
            </c:ext>
          </c:extLst>
        </c:ser>
        <c:ser>
          <c:idx val="26"/>
          <c:order val="16"/>
          <c:tx>
            <c:strRef>
              <c:f>Days_Since_100!$H$20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Days_Since_100!$I$20:$KU$20</c:f>
              <c:numCache>
                <c:formatCode>General</c:formatCode>
                <c:ptCount val="299"/>
                <c:pt idx="0">
                  <c:v>134</c:v>
                </c:pt>
                <c:pt idx="1">
                  <c:v>153</c:v>
                </c:pt>
                <c:pt idx="2">
                  <c:v>305</c:v>
                </c:pt>
                <c:pt idx="3">
                  <c:v>371</c:v>
                </c:pt>
                <c:pt idx="4">
                  <c:v>427</c:v>
                </c:pt>
                <c:pt idx="5">
                  <c:v>635</c:v>
                </c:pt>
                <c:pt idx="6">
                  <c:v>919</c:v>
                </c:pt>
                <c:pt idx="7">
                  <c:v>1133</c:v>
                </c:pt>
                <c:pt idx="8">
                  <c:v>1604</c:v>
                </c:pt>
                <c:pt idx="9">
                  <c:v>2266</c:v>
                </c:pt>
                <c:pt idx="10">
                  <c:v>2969</c:v>
                </c:pt>
                <c:pt idx="11">
                  <c:v>4204</c:v>
                </c:pt>
                <c:pt idx="12">
                  <c:v>5055</c:v>
                </c:pt>
                <c:pt idx="13">
                  <c:v>5926</c:v>
                </c:pt>
                <c:pt idx="14">
                  <c:v>6804</c:v>
                </c:pt>
                <c:pt idx="15">
                  <c:v>7992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939-447C-95C3-9E180202C83B}"/>
            </c:ext>
          </c:extLst>
        </c:ser>
        <c:ser>
          <c:idx val="27"/>
          <c:order val="17"/>
          <c:tx>
            <c:strRef>
              <c:f>Days_Since_100!$H$21</c:f>
              <c:strCache>
                <c:ptCount val="1"/>
                <c:pt idx="0">
                  <c:v>Netherlands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Days_Since_100!$I$21:$KU$21</c:f>
              <c:numCache>
                <c:formatCode>General</c:formatCode>
                <c:ptCount val="299"/>
                <c:pt idx="0">
                  <c:v>128</c:v>
                </c:pt>
                <c:pt idx="1">
                  <c:v>188</c:v>
                </c:pt>
                <c:pt idx="2">
                  <c:v>265</c:v>
                </c:pt>
                <c:pt idx="3">
                  <c:v>321</c:v>
                </c:pt>
                <c:pt idx="4">
                  <c:v>382</c:v>
                </c:pt>
                <c:pt idx="5">
                  <c:v>503</c:v>
                </c:pt>
                <c:pt idx="6">
                  <c:v>503</c:v>
                </c:pt>
                <c:pt idx="7">
                  <c:v>806</c:v>
                </c:pt>
                <c:pt idx="8">
                  <c:v>962</c:v>
                </c:pt>
                <c:pt idx="9">
                  <c:v>1138</c:v>
                </c:pt>
                <c:pt idx="10">
                  <c:v>1416</c:v>
                </c:pt>
                <c:pt idx="11">
                  <c:v>1711</c:v>
                </c:pt>
                <c:pt idx="12">
                  <c:v>2058</c:v>
                </c:pt>
                <c:pt idx="13">
                  <c:v>2467</c:v>
                </c:pt>
                <c:pt idx="14">
                  <c:v>3003</c:v>
                </c:pt>
                <c:pt idx="15">
                  <c:v>3640</c:v>
                </c:pt>
                <c:pt idx="16">
                  <c:v>4217</c:v>
                </c:pt>
                <c:pt idx="17">
                  <c:v>4764</c:v>
                </c:pt>
                <c:pt idx="18">
                  <c:v>5580</c:v>
                </c:pt>
                <c:pt idx="19">
                  <c:v>6438</c:v>
                </c:pt>
                <c:pt idx="20">
                  <c:v>7468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939-447C-95C3-9E180202C83B}"/>
            </c:ext>
          </c:extLst>
        </c:ser>
        <c:ser>
          <c:idx val="29"/>
          <c:order val="18"/>
          <c:tx>
            <c:strRef>
              <c:f>Days_Since_100!$H$22</c:f>
              <c:strCache>
                <c:ptCount val="1"/>
                <c:pt idx="0">
                  <c:v>Austria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Days_Since_100!$I$22:$KU$22</c:f>
              <c:numCache>
                <c:formatCode>General</c:formatCode>
                <c:ptCount val="299"/>
                <c:pt idx="0">
                  <c:v>104</c:v>
                </c:pt>
                <c:pt idx="1">
                  <c:v>131</c:v>
                </c:pt>
                <c:pt idx="2">
                  <c:v>182</c:v>
                </c:pt>
                <c:pt idx="3">
                  <c:v>246</c:v>
                </c:pt>
                <c:pt idx="4">
                  <c:v>302</c:v>
                </c:pt>
                <c:pt idx="5">
                  <c:v>504</c:v>
                </c:pt>
                <c:pt idx="6">
                  <c:v>655</c:v>
                </c:pt>
                <c:pt idx="7">
                  <c:v>860</c:v>
                </c:pt>
                <c:pt idx="8">
                  <c:v>1018</c:v>
                </c:pt>
                <c:pt idx="9">
                  <c:v>1332</c:v>
                </c:pt>
                <c:pt idx="10">
                  <c:v>1646</c:v>
                </c:pt>
                <c:pt idx="11">
                  <c:v>2013</c:v>
                </c:pt>
                <c:pt idx="12">
                  <c:v>2388</c:v>
                </c:pt>
                <c:pt idx="13">
                  <c:v>2814</c:v>
                </c:pt>
                <c:pt idx="14">
                  <c:v>3582</c:v>
                </c:pt>
                <c:pt idx="15">
                  <c:v>4474</c:v>
                </c:pt>
                <c:pt idx="16">
                  <c:v>5283</c:v>
                </c:pt>
                <c:pt idx="17">
                  <c:v>5588</c:v>
                </c:pt>
                <c:pt idx="18">
                  <c:v>6909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939-447C-95C3-9E180202C83B}"/>
            </c:ext>
          </c:extLst>
        </c:ser>
        <c:ser>
          <c:idx val="30"/>
          <c:order val="19"/>
          <c:tx>
            <c:strRef>
              <c:f>Days_Since_100!$H$23</c:f>
              <c:strCache>
                <c:ptCount val="1"/>
                <c:pt idx="0">
                  <c:v>Belgium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Days_Since_100!$I$23:$KU$23</c:f>
              <c:numCache>
                <c:formatCode>General</c:formatCode>
                <c:ptCount val="299"/>
                <c:pt idx="0">
                  <c:v>109</c:v>
                </c:pt>
                <c:pt idx="1">
                  <c:v>169</c:v>
                </c:pt>
                <c:pt idx="2">
                  <c:v>200</c:v>
                </c:pt>
                <c:pt idx="3">
                  <c:v>239</c:v>
                </c:pt>
                <c:pt idx="4">
                  <c:v>267</c:v>
                </c:pt>
                <c:pt idx="5">
                  <c:v>314</c:v>
                </c:pt>
                <c:pt idx="6">
                  <c:v>314</c:v>
                </c:pt>
                <c:pt idx="7">
                  <c:v>559</c:v>
                </c:pt>
                <c:pt idx="8">
                  <c:v>689</c:v>
                </c:pt>
                <c:pt idx="9">
                  <c:v>886</c:v>
                </c:pt>
                <c:pt idx="10">
                  <c:v>1058</c:v>
                </c:pt>
                <c:pt idx="11">
                  <c:v>1243</c:v>
                </c:pt>
                <c:pt idx="12">
                  <c:v>1486</c:v>
                </c:pt>
                <c:pt idx="13">
                  <c:v>1795</c:v>
                </c:pt>
                <c:pt idx="14">
                  <c:v>2257</c:v>
                </c:pt>
                <c:pt idx="15">
                  <c:v>2815</c:v>
                </c:pt>
                <c:pt idx="16">
                  <c:v>3401</c:v>
                </c:pt>
                <c:pt idx="17">
                  <c:v>3743</c:v>
                </c:pt>
                <c:pt idx="18">
                  <c:v>4269</c:v>
                </c:pt>
                <c:pt idx="19">
                  <c:v>4937</c:v>
                </c:pt>
                <c:pt idx="20">
                  <c:v>6235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939-447C-95C3-9E180202C83B}"/>
            </c:ext>
          </c:extLst>
        </c:ser>
        <c:ser>
          <c:idx val="31"/>
          <c:order val="20"/>
          <c:tx>
            <c:strRef>
              <c:f>Days_Since_100!$H$24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Days_Since_100!$I$24:$KU$24</c:f>
              <c:numCache>
                <c:formatCode>General</c:formatCode>
                <c:ptCount val="299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  <c:pt idx="7">
                  <c:v>657</c:v>
                </c:pt>
                <c:pt idx="8">
                  <c:v>800</c:v>
                </c:pt>
                <c:pt idx="9">
                  <c:v>943</c:v>
                </c:pt>
                <c:pt idx="10">
                  <c:v>1277</c:v>
                </c:pt>
                <c:pt idx="11">
                  <c:v>1469</c:v>
                </c:pt>
                <c:pt idx="12">
                  <c:v>2088</c:v>
                </c:pt>
                <c:pt idx="13">
                  <c:v>2790</c:v>
                </c:pt>
                <c:pt idx="14">
                  <c:v>3251</c:v>
                </c:pt>
                <c:pt idx="15">
                  <c:v>4042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939-447C-95C3-9E180202C83B}"/>
            </c:ext>
          </c:extLst>
        </c:ser>
        <c:ser>
          <c:idx val="32"/>
          <c:order val="21"/>
          <c:tx>
            <c:strRef>
              <c:f>Days_Since_100!$H$25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Days_Since_100!$I$25:$KU$25</c:f>
              <c:numCache>
                <c:formatCode>General</c:formatCode>
                <c:ptCount val="299"/>
                <c:pt idx="0">
                  <c:v>192</c:v>
                </c:pt>
                <c:pt idx="1">
                  <c:v>359</c:v>
                </c:pt>
                <c:pt idx="2">
                  <c:v>670</c:v>
                </c:pt>
                <c:pt idx="3">
                  <c:v>1236</c:v>
                </c:pt>
                <c:pt idx="4">
                  <c:v>1529</c:v>
                </c:pt>
                <c:pt idx="5">
                  <c:v>1872</c:v>
                </c:pt>
                <c:pt idx="6">
                  <c:v>2433</c:v>
                </c:pt>
                <c:pt idx="7">
                  <c:v>3629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939-447C-95C3-9E180202C83B}"/>
            </c:ext>
          </c:extLst>
        </c:ser>
        <c:ser>
          <c:idx val="0"/>
          <c:order val="22"/>
          <c:tx>
            <c:strRef>
              <c:f>Days_Since_100!$H$26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Days_Since_100!$I$26:$KU$26</c:f>
              <c:numCache>
                <c:formatCode>General</c:formatCode>
                <c:ptCount val="299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  <c:pt idx="4">
                  <c:v>448</c:v>
                </c:pt>
                <c:pt idx="5">
                  <c:v>448</c:v>
                </c:pt>
                <c:pt idx="6">
                  <c:v>785</c:v>
                </c:pt>
                <c:pt idx="7">
                  <c:v>1020</c:v>
                </c:pt>
                <c:pt idx="8">
                  <c:v>1280</c:v>
                </c:pt>
                <c:pt idx="9">
                  <c:v>1600</c:v>
                </c:pt>
                <c:pt idx="10">
                  <c:v>2060</c:v>
                </c:pt>
                <c:pt idx="11">
                  <c:v>2362</c:v>
                </c:pt>
                <c:pt idx="12">
                  <c:v>2995</c:v>
                </c:pt>
                <c:pt idx="13">
                  <c:v>3544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939-447C-95C3-9E180202C83B}"/>
            </c:ext>
          </c:extLst>
        </c:ser>
        <c:ser>
          <c:idx val="15"/>
          <c:order val="23"/>
          <c:tx>
            <c:strRef>
              <c:f>Days_Since_100!$H$27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Days_Since_100!$I$27:$KU$27</c:f>
              <c:numCache>
                <c:formatCode>General</c:formatCode>
                <c:ptCount val="299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  <c:pt idx="10">
                  <c:v>1333</c:v>
                </c:pt>
                <c:pt idx="11">
                  <c:v>1463</c:v>
                </c:pt>
                <c:pt idx="12">
                  <c:v>1550</c:v>
                </c:pt>
                <c:pt idx="13">
                  <c:v>1746</c:v>
                </c:pt>
                <c:pt idx="14">
                  <c:v>1914</c:v>
                </c:pt>
                <c:pt idx="15">
                  <c:v>2118</c:v>
                </c:pt>
                <c:pt idx="16">
                  <c:v>2385</c:v>
                </c:pt>
                <c:pt idx="17">
                  <c:v>2621</c:v>
                </c:pt>
                <c:pt idx="18">
                  <c:v>2863</c:v>
                </c:pt>
                <c:pt idx="19">
                  <c:v>3084</c:v>
                </c:pt>
                <c:pt idx="20">
                  <c:v>3369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939-447C-95C3-9E180202C83B}"/>
            </c:ext>
          </c:extLst>
        </c:ser>
        <c:ser>
          <c:idx val="33"/>
          <c:order val="24"/>
          <c:tx>
            <c:strRef>
              <c:f>Days_Since_100!$H$28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Days_Since_100!$I$28:$KU$28</c:f>
              <c:numCache>
                <c:formatCode>General</c:formatCode>
                <c:ptCount val="299"/>
                <c:pt idx="0">
                  <c:v>151</c:v>
                </c:pt>
                <c:pt idx="1">
                  <c:v>151</c:v>
                </c:pt>
                <c:pt idx="2">
                  <c:v>162</c:v>
                </c:pt>
                <c:pt idx="3">
                  <c:v>200</c:v>
                </c:pt>
                <c:pt idx="4">
                  <c:v>321</c:v>
                </c:pt>
                <c:pt idx="5">
                  <c:v>372</c:v>
                </c:pt>
                <c:pt idx="6">
                  <c:v>621</c:v>
                </c:pt>
                <c:pt idx="7">
                  <c:v>793</c:v>
                </c:pt>
                <c:pt idx="8">
                  <c:v>1021</c:v>
                </c:pt>
                <c:pt idx="9">
                  <c:v>1546</c:v>
                </c:pt>
                <c:pt idx="10">
                  <c:v>1924</c:v>
                </c:pt>
                <c:pt idx="11">
                  <c:v>2247</c:v>
                </c:pt>
                <c:pt idx="12">
                  <c:v>2554</c:v>
                </c:pt>
                <c:pt idx="13">
                  <c:v>2985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939-447C-95C3-9E180202C83B}"/>
            </c:ext>
          </c:extLst>
        </c:ser>
        <c:ser>
          <c:idx val="17"/>
          <c:order val="25"/>
          <c:tx>
            <c:strRef>
              <c:f>Days_Since_100!$H$29</c:f>
              <c:strCache>
                <c:ptCount val="1"/>
                <c:pt idx="0">
                  <c:v>Africa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Days_Since_100!$I$29:$KU$29</c:f>
              <c:numCache>
                <c:formatCode>General</c:formatCode>
                <c:ptCount val="299"/>
                <c:pt idx="0">
                  <c:v>104</c:v>
                </c:pt>
                <c:pt idx="1">
                  <c:v>118</c:v>
                </c:pt>
                <c:pt idx="2">
                  <c:v>134</c:v>
                </c:pt>
                <c:pt idx="3">
                  <c:v>177</c:v>
                </c:pt>
                <c:pt idx="4">
                  <c:v>243</c:v>
                </c:pt>
                <c:pt idx="5">
                  <c:v>296</c:v>
                </c:pt>
                <c:pt idx="6">
                  <c:v>374</c:v>
                </c:pt>
                <c:pt idx="7">
                  <c:v>453</c:v>
                </c:pt>
                <c:pt idx="8">
                  <c:v>556</c:v>
                </c:pt>
                <c:pt idx="9">
                  <c:v>720</c:v>
                </c:pt>
                <c:pt idx="10">
                  <c:v>873</c:v>
                </c:pt>
                <c:pt idx="11">
                  <c:v>1062</c:v>
                </c:pt>
                <c:pt idx="12">
                  <c:v>1294</c:v>
                </c:pt>
                <c:pt idx="13">
                  <c:v>1616</c:v>
                </c:pt>
                <c:pt idx="14">
                  <c:v>1996</c:v>
                </c:pt>
                <c:pt idx="15">
                  <c:v>2434</c:v>
                </c:pt>
                <c:pt idx="16">
                  <c:v>2878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939-447C-95C3-9E180202C83B}"/>
            </c:ext>
          </c:extLst>
        </c:ser>
        <c:ser>
          <c:idx val="18"/>
          <c:order val="26"/>
          <c:tx>
            <c:strRef>
              <c:f>Days_Since_100!$H$30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Days_Since_100!$I$30:$KU$30</c:f>
              <c:numCache>
                <c:formatCode>General</c:formatCode>
                <c:ptCount val="299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  <c:pt idx="11">
                  <c:v>1190</c:v>
                </c:pt>
                <c:pt idx="12">
                  <c:v>1279</c:v>
                </c:pt>
                <c:pt idx="13">
                  <c:v>1439</c:v>
                </c:pt>
                <c:pt idx="14">
                  <c:v>1639</c:v>
                </c:pt>
                <c:pt idx="15">
                  <c:v>1763</c:v>
                </c:pt>
                <c:pt idx="16">
                  <c:v>1934</c:v>
                </c:pt>
                <c:pt idx="17">
                  <c:v>2046</c:v>
                </c:pt>
                <c:pt idx="18">
                  <c:v>2286</c:v>
                </c:pt>
                <c:pt idx="19">
                  <c:v>2526</c:v>
                </c:pt>
                <c:pt idx="20">
                  <c:v>2840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39-447C-95C3-9E180202C83B}"/>
            </c:ext>
          </c:extLst>
        </c:ser>
        <c:ser>
          <c:idx val="34"/>
          <c:order val="27"/>
          <c:tx>
            <c:strRef>
              <c:f>Days_Since_100!$H$31</c:f>
              <c:strCache>
                <c:ptCount val="1"/>
                <c:pt idx="0">
                  <c:v>Australia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Days_Since_100!$I$31:$KU$31</c:f>
              <c:numCache>
                <c:formatCode>General</c:formatCode>
                <c:ptCount val="299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  <c:pt idx="7">
                  <c:v>452</c:v>
                </c:pt>
                <c:pt idx="8">
                  <c:v>568</c:v>
                </c:pt>
                <c:pt idx="9">
                  <c:v>681</c:v>
                </c:pt>
                <c:pt idx="10">
                  <c:v>791</c:v>
                </c:pt>
                <c:pt idx="11">
                  <c:v>1071</c:v>
                </c:pt>
                <c:pt idx="12">
                  <c:v>1549</c:v>
                </c:pt>
                <c:pt idx="13">
                  <c:v>1682</c:v>
                </c:pt>
                <c:pt idx="14">
                  <c:v>2044</c:v>
                </c:pt>
                <c:pt idx="15">
                  <c:v>2364</c:v>
                </c:pt>
                <c:pt idx="16">
                  <c:v>2810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939-447C-95C3-9E180202C83B}"/>
            </c:ext>
          </c:extLst>
        </c:ser>
        <c:ser>
          <c:idx val="35"/>
          <c:order val="28"/>
          <c:tx>
            <c:strRef>
              <c:f>Days_Since_100!$H$32</c:f>
              <c:strCache>
                <c:ptCount val="1"/>
                <c:pt idx="0">
                  <c:v>Israel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Days_Since_100!$I$32:$KU$32</c:f>
              <c:numCache>
                <c:formatCode>General</c:formatCode>
                <c:ptCount val="299"/>
                <c:pt idx="0">
                  <c:v>100</c:v>
                </c:pt>
                <c:pt idx="1">
                  <c:v>126</c:v>
                </c:pt>
                <c:pt idx="2">
                  <c:v>155</c:v>
                </c:pt>
                <c:pt idx="3">
                  <c:v>213</c:v>
                </c:pt>
                <c:pt idx="4">
                  <c:v>218</c:v>
                </c:pt>
                <c:pt idx="5">
                  <c:v>250</c:v>
                </c:pt>
                <c:pt idx="6">
                  <c:v>304</c:v>
                </c:pt>
                <c:pt idx="7">
                  <c:v>427</c:v>
                </c:pt>
                <c:pt idx="8">
                  <c:v>529</c:v>
                </c:pt>
                <c:pt idx="9">
                  <c:v>712</c:v>
                </c:pt>
                <c:pt idx="10">
                  <c:v>883</c:v>
                </c:pt>
                <c:pt idx="11">
                  <c:v>1071</c:v>
                </c:pt>
                <c:pt idx="12">
                  <c:v>1238</c:v>
                </c:pt>
                <c:pt idx="13">
                  <c:v>2369</c:v>
                </c:pt>
                <c:pt idx="14">
                  <c:v>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39-447C-95C3-9E180202C83B}"/>
            </c:ext>
          </c:extLst>
        </c:ser>
        <c:ser>
          <c:idx val="36"/>
          <c:order val="29"/>
          <c:tx>
            <c:strRef>
              <c:f>Days_Since_100!$H$33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Days_Since_100!$I$33:$KU$33</c:f>
              <c:numCache>
                <c:formatCode>General</c:formatCode>
                <c:ptCount val="299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  <c:pt idx="8">
                  <c:v>673</c:v>
                </c:pt>
                <c:pt idx="9">
                  <c:v>790</c:v>
                </c:pt>
                <c:pt idx="10">
                  <c:v>900</c:v>
                </c:pt>
                <c:pt idx="11">
                  <c:v>1030</c:v>
                </c:pt>
                <c:pt idx="12">
                  <c:v>1183</c:v>
                </c:pt>
                <c:pt idx="13">
                  <c:v>1306</c:v>
                </c:pt>
                <c:pt idx="14">
                  <c:v>1518</c:v>
                </c:pt>
                <c:pt idx="15">
                  <c:v>1624</c:v>
                </c:pt>
                <c:pt idx="16">
                  <c:v>1796</c:v>
                </c:pt>
                <c:pt idx="17">
                  <c:v>2031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939-447C-95C3-9E180202C83B}"/>
            </c:ext>
          </c:extLst>
        </c:ser>
        <c:ser>
          <c:idx val="21"/>
          <c:order val="30"/>
          <c:tx>
            <c:strRef>
              <c:f>Days_Since_100!$H$34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Days_Since_100!$I$34:$KU$34</c:f>
              <c:numCache>
                <c:formatCode>General</c:formatCode>
                <c:ptCount val="299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933</c:v>
                </c:pt>
                <c:pt idx="7">
                  <c:v>1025</c:v>
                </c:pt>
                <c:pt idx="8">
                  <c:v>1116</c:v>
                </c:pt>
                <c:pt idx="9">
                  <c:v>1225</c:v>
                </c:pt>
                <c:pt idx="10">
                  <c:v>1337</c:v>
                </c:pt>
                <c:pt idx="11">
                  <c:v>1420</c:v>
                </c:pt>
                <c:pt idx="12">
                  <c:v>1514</c:v>
                </c:pt>
                <c:pt idx="13">
                  <c:v>1572</c:v>
                </c:pt>
                <c:pt idx="14">
                  <c:v>1718</c:v>
                </c:pt>
                <c:pt idx="15">
                  <c:v>1862</c:v>
                </c:pt>
                <c:pt idx="16">
                  <c:v>2023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939-447C-95C3-9E180202C83B}"/>
            </c:ext>
          </c:extLst>
        </c:ser>
        <c:ser>
          <c:idx val="22"/>
          <c:order val="31"/>
          <c:tx>
            <c:strRef>
              <c:f>Days_Since_100!$H$35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Days_Since_100!$I$35:$KU$35</c:f>
              <c:numCache>
                <c:formatCode>General</c:formatCode>
                <c:ptCount val="299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  <c:pt idx="3">
                  <c:v>298</c:v>
                </c:pt>
                <c:pt idx="4">
                  <c:v>396</c:v>
                </c:pt>
                <c:pt idx="5">
                  <c:v>464</c:v>
                </c:pt>
                <c:pt idx="6">
                  <c:v>694</c:v>
                </c:pt>
                <c:pt idx="7">
                  <c:v>833</c:v>
                </c:pt>
                <c:pt idx="8">
                  <c:v>995</c:v>
                </c:pt>
                <c:pt idx="9">
                  <c:v>1120</c:v>
                </c:pt>
                <c:pt idx="10">
                  <c:v>1236</c:v>
                </c:pt>
                <c:pt idx="11">
                  <c:v>1394</c:v>
                </c:pt>
                <c:pt idx="12">
                  <c:v>1654</c:v>
                </c:pt>
                <c:pt idx="13">
                  <c:v>1925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39-447C-95C3-9E180202C83B}"/>
            </c:ext>
          </c:extLst>
        </c:ser>
        <c:ser>
          <c:idx val="37"/>
          <c:order val="32"/>
          <c:tx>
            <c:strRef>
              <c:f>Days_Since_100!$H$36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Days_Since_100!$I$36:$KU$36</c:f>
              <c:numCache>
                <c:formatCode>General</c:formatCode>
                <c:ptCount val="299"/>
                <c:pt idx="0">
                  <c:v>129</c:v>
                </c:pt>
                <c:pt idx="1">
                  <c:v>129</c:v>
                </c:pt>
                <c:pt idx="2">
                  <c:v>169</c:v>
                </c:pt>
                <c:pt idx="3">
                  <c:v>223</c:v>
                </c:pt>
                <c:pt idx="4">
                  <c:v>292</c:v>
                </c:pt>
                <c:pt idx="5">
                  <c:v>557</c:v>
                </c:pt>
                <c:pt idx="6">
                  <c:v>683</c:v>
                </c:pt>
                <c:pt idx="7">
                  <c:v>785</c:v>
                </c:pt>
                <c:pt idx="8">
                  <c:v>906</c:v>
                </c:pt>
                <c:pt idx="9">
                  <c:v>1125</c:v>
                </c:pt>
                <c:pt idx="10">
                  <c:v>1329</c:v>
                </c:pt>
                <c:pt idx="11">
                  <c:v>1564</c:v>
                </c:pt>
                <c:pt idx="12">
                  <c:v>1819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939-447C-95C3-9E180202C83B}"/>
            </c:ext>
          </c:extLst>
        </c:ser>
        <c:ser>
          <c:idx val="38"/>
          <c:order val="33"/>
          <c:tx>
            <c:strRef>
              <c:f>Days_Since_100!$H$37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Days_Since_100!$I$37:$KU$37</c:f>
              <c:numCache>
                <c:formatCode>General</c:formatCode>
                <c:ptCount val="299"/>
                <c:pt idx="0">
                  <c:v>140</c:v>
                </c:pt>
                <c:pt idx="1">
                  <c:v>203</c:v>
                </c:pt>
                <c:pt idx="2">
                  <c:v>335</c:v>
                </c:pt>
                <c:pt idx="3">
                  <c:v>484</c:v>
                </c:pt>
                <c:pt idx="4">
                  <c:v>670</c:v>
                </c:pt>
                <c:pt idx="5">
                  <c:v>798</c:v>
                </c:pt>
                <c:pt idx="6">
                  <c:v>875</c:v>
                </c:pt>
                <c:pt idx="7">
                  <c:v>1099</c:v>
                </c:pt>
                <c:pt idx="8">
                  <c:v>1333</c:v>
                </c:pt>
                <c:pt idx="9">
                  <c:v>1453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939-447C-95C3-9E180202C83B}"/>
            </c:ext>
          </c:extLst>
        </c:ser>
        <c:ser>
          <c:idx val="39"/>
          <c:order val="34"/>
          <c:tx>
            <c:strRef>
              <c:f>Days_Since_100!$H$38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Days_Since_100!$I$38:$KU$38</c:f>
              <c:numCache>
                <c:formatCode>General</c:formatCode>
                <c:ptCount val="299"/>
                <c:pt idx="0">
                  <c:v>111</c:v>
                </c:pt>
                <c:pt idx="1">
                  <c:v>199</c:v>
                </c:pt>
                <c:pt idx="2">
                  <c:v>367</c:v>
                </c:pt>
                <c:pt idx="3">
                  <c:v>506</c:v>
                </c:pt>
                <c:pt idx="4">
                  <c:v>789</c:v>
                </c:pt>
                <c:pt idx="5">
                  <c:v>981</c:v>
                </c:pt>
                <c:pt idx="6">
                  <c:v>1082</c:v>
                </c:pt>
                <c:pt idx="7">
                  <c:v>1173</c:v>
                </c:pt>
                <c:pt idx="8">
                  <c:v>1403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39-447C-95C3-9E180202C83B}"/>
            </c:ext>
          </c:extLst>
        </c:ser>
        <c:ser>
          <c:idx val="40"/>
          <c:order val="35"/>
          <c:tx>
            <c:strRef>
              <c:f>Days_Since_100!$H$39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Days_Since_100!$I$39:$KU$39</c:f>
              <c:numCache>
                <c:formatCode>General</c:formatCode>
                <c:ptCount val="299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839</c:v>
                </c:pt>
                <c:pt idx="25">
                  <c:v>878</c:v>
                </c:pt>
                <c:pt idx="26">
                  <c:v>889</c:v>
                </c:pt>
                <c:pt idx="27">
                  <c:v>924</c:v>
                </c:pt>
                <c:pt idx="28">
                  <c:v>963</c:v>
                </c:pt>
                <c:pt idx="29">
                  <c:v>1007</c:v>
                </c:pt>
                <c:pt idx="30">
                  <c:v>1101</c:v>
                </c:pt>
                <c:pt idx="31">
                  <c:v>1128</c:v>
                </c:pt>
                <c:pt idx="32">
                  <c:v>1193</c:v>
                </c:pt>
                <c:pt idx="33">
                  <c:v>1307</c:v>
                </c:pt>
                <c:pt idx="34">
                  <c:v>1387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39-447C-95C3-9E180202C83B}"/>
            </c:ext>
          </c:extLst>
        </c:ser>
        <c:ser>
          <c:idx val="41"/>
          <c:order val="36"/>
          <c:tx>
            <c:strRef>
              <c:f>Days_Since_100!$H$40</c:f>
              <c:strCache>
                <c:ptCount val="1"/>
                <c:pt idx="0">
                  <c:v>Chile</c:v>
                </c:pt>
              </c:strCache>
            </c:strRef>
          </c:tx>
          <c:spPr>
            <a:ln w="31750" cap="rnd" cmpd="sng" algn="ctr">
              <a:solidFill>
                <a:srgbClr val="ED7D31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Days_Since_100!$I$40:$KU$40</c:f>
              <c:numCache>
                <c:formatCode>General</c:formatCode>
                <c:ptCount val="299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  <c:pt idx="3">
                  <c:v>238</c:v>
                </c:pt>
                <c:pt idx="4">
                  <c:v>434</c:v>
                </c:pt>
                <c:pt idx="5">
                  <c:v>537</c:v>
                </c:pt>
                <c:pt idx="6">
                  <c:v>632</c:v>
                </c:pt>
                <c:pt idx="7">
                  <c:v>746</c:v>
                </c:pt>
                <c:pt idx="8">
                  <c:v>922</c:v>
                </c:pt>
                <c:pt idx="9">
                  <c:v>1142</c:v>
                </c:pt>
                <c:pt idx="10">
                  <c:v>1306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39-447C-95C3-9E180202C83B}"/>
            </c:ext>
          </c:extLst>
        </c:ser>
        <c:ser>
          <c:idx val="42"/>
          <c:order val="37"/>
          <c:tx>
            <c:strRef>
              <c:f>Days_Since_100!$H$41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Days_Since_100!$I$41:$KU$41</c:f>
              <c:numCache>
                <c:formatCode>General</c:formatCode>
                <c:ptCount val="299"/>
                <c:pt idx="0">
                  <c:v>103</c:v>
                </c:pt>
                <c:pt idx="1">
                  <c:v>119</c:v>
                </c:pt>
                <c:pt idx="2">
                  <c:v>177</c:v>
                </c:pt>
                <c:pt idx="3">
                  <c:v>238</c:v>
                </c:pt>
                <c:pt idx="4">
                  <c:v>251</c:v>
                </c:pt>
                <c:pt idx="5">
                  <c:v>355</c:v>
                </c:pt>
                <c:pt idx="6">
                  <c:v>425</c:v>
                </c:pt>
                <c:pt idx="7">
                  <c:v>536</c:v>
                </c:pt>
                <c:pt idx="8">
                  <c:v>634</c:v>
                </c:pt>
                <c:pt idx="9">
                  <c:v>749</c:v>
                </c:pt>
                <c:pt idx="10">
                  <c:v>901</c:v>
                </c:pt>
                <c:pt idx="11">
                  <c:v>1051</c:v>
                </c:pt>
                <c:pt idx="12">
                  <c:v>1221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39-447C-95C3-9E180202C83B}"/>
            </c:ext>
          </c:extLst>
        </c:ser>
        <c:ser>
          <c:idx val="43"/>
          <c:order val="38"/>
          <c:tx>
            <c:strRef>
              <c:f>Days_Since_100!$H$42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Days_Since_100!$I$42:$KU$42</c:f>
              <c:numCache>
                <c:formatCode>General</c:formatCode>
                <c:ptCount val="299"/>
                <c:pt idx="0">
                  <c:v>136</c:v>
                </c:pt>
                <c:pt idx="1">
                  <c:v>236</c:v>
                </c:pt>
                <c:pt idx="2">
                  <c:v>299</c:v>
                </c:pt>
                <c:pt idx="3">
                  <c:v>454</c:v>
                </c:pt>
                <c:pt idx="4">
                  <c:v>501</c:v>
                </c:pt>
                <c:pt idx="5">
                  <c:v>730</c:v>
                </c:pt>
                <c:pt idx="6">
                  <c:v>776</c:v>
                </c:pt>
                <c:pt idx="7">
                  <c:v>875</c:v>
                </c:pt>
                <c:pt idx="8">
                  <c:v>972</c:v>
                </c:pt>
                <c:pt idx="9">
                  <c:v>1063</c:v>
                </c:pt>
                <c:pt idx="10">
                  <c:v>1201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39"/>
          <c:tx>
            <c:strRef>
              <c:f>Days_Since_100!$H$43</c:f>
              <c:strCache>
                <c:ptCount val="1"/>
                <c:pt idx="0">
                  <c:v>Thailand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Days_Since_100!$I$43:$KU$43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177</c:v>
                </c:pt>
                <c:pt idx="3">
                  <c:v>212</c:v>
                </c:pt>
                <c:pt idx="4">
                  <c:v>272</c:v>
                </c:pt>
                <c:pt idx="5">
                  <c:v>322</c:v>
                </c:pt>
                <c:pt idx="6">
                  <c:v>411</c:v>
                </c:pt>
                <c:pt idx="7">
                  <c:v>599</c:v>
                </c:pt>
                <c:pt idx="8">
                  <c:v>721</c:v>
                </c:pt>
                <c:pt idx="9">
                  <c:v>827</c:v>
                </c:pt>
                <c:pt idx="10">
                  <c:v>934</c:v>
                </c:pt>
                <c:pt idx="11">
                  <c:v>1045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5"/>
          <c:order val="40"/>
          <c:tx>
            <c:strRef>
              <c:f>Days_Since_100!$H$44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Days_Since_100!$I$44:$KU$44</c:f>
              <c:numCache>
                <c:formatCode>General</c:formatCode>
                <c:ptCount val="299"/>
                <c:pt idx="0">
                  <c:v>123</c:v>
                </c:pt>
                <c:pt idx="1">
                  <c:v>131</c:v>
                </c:pt>
                <c:pt idx="2">
                  <c:v>158</c:v>
                </c:pt>
                <c:pt idx="3">
                  <c:v>184</c:v>
                </c:pt>
                <c:pt idx="4">
                  <c:v>260</c:v>
                </c:pt>
                <c:pt idx="5">
                  <c:v>277</c:v>
                </c:pt>
                <c:pt idx="6">
                  <c:v>308</c:v>
                </c:pt>
                <c:pt idx="7">
                  <c:v>367</c:v>
                </c:pt>
                <c:pt idx="8">
                  <c:v>433</c:v>
                </c:pt>
                <c:pt idx="9">
                  <c:v>576</c:v>
                </c:pt>
                <c:pt idx="10">
                  <c:v>794</c:v>
                </c:pt>
                <c:pt idx="11">
                  <c:v>906</c:v>
                </c:pt>
                <c:pt idx="12">
                  <c:v>1029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939-447C-95C3-9E180202C83B}"/>
            </c:ext>
          </c:extLst>
        </c:ser>
        <c:ser>
          <c:idx val="46"/>
          <c:order val="41"/>
          <c:tx>
            <c:strRef>
              <c:f>Days_Since_100!$H$45</c:f>
              <c:strCache>
                <c:ptCount val="1"/>
                <c:pt idx="0">
                  <c:v>Saudi Arabia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Days_Since_100!$I$45:$KU$45</c:f>
              <c:numCache>
                <c:formatCode>General</c:formatCode>
                <c:ptCount val="299"/>
                <c:pt idx="0">
                  <c:v>103</c:v>
                </c:pt>
                <c:pt idx="1">
                  <c:v>103</c:v>
                </c:pt>
                <c:pt idx="2">
                  <c:v>118</c:v>
                </c:pt>
                <c:pt idx="3">
                  <c:v>171</c:v>
                </c:pt>
                <c:pt idx="4">
                  <c:v>171</c:v>
                </c:pt>
                <c:pt idx="5">
                  <c:v>274</c:v>
                </c:pt>
                <c:pt idx="6">
                  <c:v>344</c:v>
                </c:pt>
                <c:pt idx="7">
                  <c:v>392</c:v>
                </c:pt>
                <c:pt idx="8">
                  <c:v>511</c:v>
                </c:pt>
                <c:pt idx="9">
                  <c:v>562</c:v>
                </c:pt>
                <c:pt idx="10">
                  <c:v>767</c:v>
                </c:pt>
                <c:pt idx="11">
                  <c:v>900</c:v>
                </c:pt>
                <c:pt idx="12">
                  <c:v>1012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939-447C-95C3-9E180202C83B}"/>
            </c:ext>
          </c:extLst>
        </c:ser>
        <c:ser>
          <c:idx val="47"/>
          <c:order val="42"/>
          <c:tx>
            <c:strRef>
              <c:f>Days_Since_100!$H$46</c:f>
              <c:strCache>
                <c:ptCount val="1"/>
                <c:pt idx="0">
                  <c:v>Finland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Days_Since_100!$I$46:$KU$46</c:f>
              <c:numCache>
                <c:formatCode>General</c:formatCode>
                <c:ptCount val="299"/>
                <c:pt idx="0">
                  <c:v>155</c:v>
                </c:pt>
                <c:pt idx="1">
                  <c:v>225</c:v>
                </c:pt>
                <c:pt idx="2">
                  <c:v>244</c:v>
                </c:pt>
                <c:pt idx="3">
                  <c:v>277</c:v>
                </c:pt>
                <c:pt idx="4">
                  <c:v>321</c:v>
                </c:pt>
                <c:pt idx="5">
                  <c:v>336</c:v>
                </c:pt>
                <c:pt idx="6">
                  <c:v>400</c:v>
                </c:pt>
                <c:pt idx="7">
                  <c:v>450</c:v>
                </c:pt>
                <c:pt idx="8">
                  <c:v>523</c:v>
                </c:pt>
                <c:pt idx="9">
                  <c:v>626</c:v>
                </c:pt>
                <c:pt idx="10">
                  <c:v>700</c:v>
                </c:pt>
                <c:pt idx="11">
                  <c:v>792</c:v>
                </c:pt>
                <c:pt idx="12">
                  <c:v>880</c:v>
                </c:pt>
                <c:pt idx="13">
                  <c:v>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939-447C-95C3-9E180202C83B}"/>
            </c:ext>
          </c:extLst>
        </c:ser>
        <c:ser>
          <c:idx val="48"/>
          <c:order val="43"/>
          <c:tx>
            <c:strRef>
              <c:f>Days_Since_100!$H$47</c:f>
              <c:strCache>
                <c:ptCount val="1"/>
                <c:pt idx="0">
                  <c:v>South Africa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Days_Since_100!$I$47:$KU$47</c:f>
              <c:numCache>
                <c:formatCode>General</c:formatCode>
                <c:ptCount val="299"/>
                <c:pt idx="0">
                  <c:v>116</c:v>
                </c:pt>
                <c:pt idx="1">
                  <c:v>150</c:v>
                </c:pt>
                <c:pt idx="2">
                  <c:v>202</c:v>
                </c:pt>
                <c:pt idx="3">
                  <c:v>240</c:v>
                </c:pt>
                <c:pt idx="4">
                  <c:v>274</c:v>
                </c:pt>
                <c:pt idx="5">
                  <c:v>402</c:v>
                </c:pt>
                <c:pt idx="6">
                  <c:v>554</c:v>
                </c:pt>
                <c:pt idx="7">
                  <c:v>709</c:v>
                </c:pt>
                <c:pt idx="8">
                  <c:v>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49"/>
          <c:order val="44"/>
          <c:tx>
            <c:strRef>
              <c:f>Days_Since_100!$H$48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Days_Since_100!$I$48:$KU$48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172</c:v>
                </c:pt>
                <c:pt idx="3">
                  <c:v>227</c:v>
                </c:pt>
                <c:pt idx="4">
                  <c:v>311</c:v>
                </c:pt>
                <c:pt idx="5">
                  <c:v>369</c:v>
                </c:pt>
                <c:pt idx="6">
                  <c:v>450</c:v>
                </c:pt>
                <c:pt idx="7">
                  <c:v>514</c:v>
                </c:pt>
                <c:pt idx="8">
                  <c:v>579</c:v>
                </c:pt>
                <c:pt idx="9">
                  <c:v>686</c:v>
                </c:pt>
                <c:pt idx="10">
                  <c:v>790</c:v>
                </c:pt>
                <c:pt idx="11">
                  <c:v>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939-447C-95C3-9E180202C83B}"/>
            </c:ext>
          </c:extLst>
        </c:ser>
        <c:ser>
          <c:idx val="50"/>
          <c:order val="45"/>
          <c:tx>
            <c:strRef>
              <c:f>Days_Since_100!$H$49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Days_Since_100!$I$49:$KU$49</c:f>
              <c:numCache>
                <c:formatCode>General</c:formatCode>
                <c:ptCount val="299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  <c:pt idx="3">
                  <c:v>331</c:v>
                </c:pt>
                <c:pt idx="4">
                  <c:v>387</c:v>
                </c:pt>
                <c:pt idx="5">
                  <c:v>418</c:v>
                </c:pt>
                <c:pt idx="6">
                  <c:v>418</c:v>
                </c:pt>
                <c:pt idx="7">
                  <c:v>495</c:v>
                </c:pt>
                <c:pt idx="8">
                  <c:v>530</c:v>
                </c:pt>
                <c:pt idx="9">
                  <c:v>624</c:v>
                </c:pt>
                <c:pt idx="10">
                  <c:v>695</c:v>
                </c:pt>
                <c:pt idx="11">
                  <c:v>743</c:v>
                </c:pt>
                <c:pt idx="12">
                  <c:v>821</c:v>
                </c:pt>
                <c:pt idx="13">
                  <c:v>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939-447C-95C3-9E180202C83B}"/>
            </c:ext>
          </c:extLst>
        </c:ser>
        <c:ser>
          <c:idx val="51"/>
          <c:order val="46"/>
          <c:tx>
            <c:strRef>
              <c:f>Days_Since_100!$H$50</c:f>
              <c:strCache>
                <c:ptCount val="1"/>
                <c:pt idx="0">
                  <c:v>Russia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Days_Since_100!$I$50:$KU$50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199</c:v>
                </c:pt>
                <c:pt idx="3">
                  <c:v>253</c:v>
                </c:pt>
                <c:pt idx="4">
                  <c:v>306</c:v>
                </c:pt>
                <c:pt idx="5">
                  <c:v>367</c:v>
                </c:pt>
                <c:pt idx="6">
                  <c:v>438</c:v>
                </c:pt>
                <c:pt idx="7">
                  <c:v>495</c:v>
                </c:pt>
                <c:pt idx="8">
                  <c:v>658</c:v>
                </c:pt>
                <c:pt idx="9">
                  <c:v>840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47"/>
          <c:tx>
            <c:strRef>
              <c:f>Days_Since_100!$H$51</c:f>
              <c:strCache>
                <c:ptCount val="1"/>
                <c:pt idx="0">
                  <c:v>Iceland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Days_Since_100!$I$51:$KU$51</c:f>
              <c:numCache>
                <c:formatCode>General</c:formatCode>
                <c:ptCount val="299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  <c:pt idx="4">
                  <c:v>180</c:v>
                </c:pt>
                <c:pt idx="5">
                  <c:v>220</c:v>
                </c:pt>
                <c:pt idx="6">
                  <c:v>250</c:v>
                </c:pt>
                <c:pt idx="7">
                  <c:v>330</c:v>
                </c:pt>
                <c:pt idx="8">
                  <c:v>409</c:v>
                </c:pt>
                <c:pt idx="9">
                  <c:v>473</c:v>
                </c:pt>
                <c:pt idx="10">
                  <c:v>568</c:v>
                </c:pt>
                <c:pt idx="11">
                  <c:v>588</c:v>
                </c:pt>
                <c:pt idx="12">
                  <c:v>648</c:v>
                </c:pt>
                <c:pt idx="13">
                  <c:v>737</c:v>
                </c:pt>
                <c:pt idx="14">
                  <c:v>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ser>
          <c:idx val="24"/>
          <c:order val="48"/>
          <c:tx>
            <c:strRef>
              <c:f>Days_Since_100!$H$52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Days_Since_100!$I$52:$KU$52</c:f>
              <c:numCache>
                <c:formatCode>General</c:formatCode>
                <c:ptCount val="299"/>
                <c:pt idx="0">
                  <c:v>102</c:v>
                </c:pt>
                <c:pt idx="1">
                  <c:v>113</c:v>
                </c:pt>
                <c:pt idx="2">
                  <c:v>119</c:v>
                </c:pt>
                <c:pt idx="3">
                  <c:v>142</c:v>
                </c:pt>
                <c:pt idx="4">
                  <c:v>156</c:v>
                </c:pt>
                <c:pt idx="5">
                  <c:v>194</c:v>
                </c:pt>
                <c:pt idx="6">
                  <c:v>244</c:v>
                </c:pt>
                <c:pt idx="7">
                  <c:v>330</c:v>
                </c:pt>
                <c:pt idx="8">
                  <c:v>396</c:v>
                </c:pt>
                <c:pt idx="9">
                  <c:v>499</c:v>
                </c:pt>
                <c:pt idx="10">
                  <c:v>536</c:v>
                </c:pt>
                <c:pt idx="11">
                  <c:v>657</c:v>
                </c:pt>
                <c:pt idx="12">
                  <c:v>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3-40E0-88DB-2AA2E7BEADD9}"/>
            </c:ext>
          </c:extLst>
        </c:ser>
        <c:ser>
          <c:idx val="25"/>
          <c:order val="49"/>
          <c:tx>
            <c:strRef>
              <c:f>Days_Since_100!$H$53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Days_Since_100!$I$53:$KU$53</c:f>
              <c:numCache>
                <c:formatCode>General</c:formatCode>
                <c:ptCount val="299"/>
                <c:pt idx="0">
                  <c:v>111</c:v>
                </c:pt>
                <c:pt idx="1">
                  <c:v>140</c:v>
                </c:pt>
                <c:pt idx="2">
                  <c:v>142</c:v>
                </c:pt>
                <c:pt idx="3">
                  <c:v>187</c:v>
                </c:pt>
                <c:pt idx="4">
                  <c:v>202</c:v>
                </c:pt>
                <c:pt idx="5">
                  <c:v>217</c:v>
                </c:pt>
                <c:pt idx="6">
                  <c:v>230</c:v>
                </c:pt>
                <c:pt idx="7">
                  <c:v>307</c:v>
                </c:pt>
                <c:pt idx="8">
                  <c:v>380</c:v>
                </c:pt>
                <c:pt idx="9">
                  <c:v>462</c:v>
                </c:pt>
                <c:pt idx="10">
                  <c:v>552</c:v>
                </c:pt>
                <c:pt idx="11">
                  <c:v>636</c:v>
                </c:pt>
                <c:pt idx="12">
                  <c:v>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3-40E0-88DB-2AA2E7BEADD9}"/>
            </c:ext>
          </c:extLst>
        </c:ser>
        <c:ser>
          <c:idx val="28"/>
          <c:order val="50"/>
          <c:tx>
            <c:strRef>
              <c:f>Days_Since_100!$H$54</c:f>
              <c:strCache>
                <c:ptCount val="1"/>
                <c:pt idx="0">
                  <c:v>Singapore</c:v>
                </c:pt>
              </c:strCache>
            </c:strRef>
          </c:tx>
          <c:spPr>
            <a:ln w="31750" cap="rnd" cmpd="sng" algn="ctr">
              <a:solidFill>
                <a:srgbClr val="A5A5A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Days_Since_100!$I$54:$KU$54</c:f>
              <c:numCache>
                <c:formatCode>General</c:formatCode>
                <c:ptCount val="299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  <c:pt idx="16">
                  <c:v>243</c:v>
                </c:pt>
                <c:pt idx="17">
                  <c:v>266</c:v>
                </c:pt>
                <c:pt idx="18">
                  <c:v>313</c:v>
                </c:pt>
                <c:pt idx="19">
                  <c:v>345</c:v>
                </c:pt>
                <c:pt idx="20">
                  <c:v>385</c:v>
                </c:pt>
                <c:pt idx="21">
                  <c:v>432</c:v>
                </c:pt>
                <c:pt idx="22">
                  <c:v>455</c:v>
                </c:pt>
                <c:pt idx="23">
                  <c:v>509</c:v>
                </c:pt>
                <c:pt idx="24">
                  <c:v>558</c:v>
                </c:pt>
                <c:pt idx="25">
                  <c:v>631</c:v>
                </c:pt>
                <c:pt idx="26">
                  <c:v>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3-40E0-88DB-2AA2E7BEADD9}"/>
            </c:ext>
          </c:extLst>
        </c:ser>
        <c:ser>
          <c:idx val="53"/>
          <c:order val="51"/>
          <c:tx>
            <c:strRef>
              <c:f>Days_Since_100!$H$55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Days_Since_100!$I$55:$KU$55</c:f>
              <c:numCache>
                <c:formatCode>General</c:formatCode>
                <c:ptCount val="299"/>
                <c:pt idx="0">
                  <c:v>117</c:v>
                </c:pt>
                <c:pt idx="1">
                  <c:v>145</c:v>
                </c:pt>
                <c:pt idx="2">
                  <c:v>234</c:v>
                </c:pt>
                <c:pt idx="3">
                  <c:v>234</c:v>
                </c:pt>
                <c:pt idx="4">
                  <c:v>318</c:v>
                </c:pt>
                <c:pt idx="5">
                  <c:v>363</c:v>
                </c:pt>
                <c:pt idx="6">
                  <c:v>395</c:v>
                </c:pt>
                <c:pt idx="7">
                  <c:v>416</c:v>
                </c:pt>
                <c:pt idx="8">
                  <c:v>480</c:v>
                </c:pt>
                <c:pt idx="9">
                  <c:v>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3-40E0-88DB-2AA2E7BEADD9}"/>
            </c:ext>
          </c:extLst>
        </c:ser>
        <c:ser>
          <c:idx val="54"/>
          <c:order val="52"/>
          <c:tx>
            <c:strRef>
              <c:f>Days_Since_100!$H$56</c:f>
              <c:strCache>
                <c:ptCount val="1"/>
                <c:pt idx="0">
                  <c:v>Slovenia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Days_Since_100!$I$56:$KU$56</c:f>
              <c:numCache>
                <c:formatCode>General</c:formatCode>
                <c:ptCount val="299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  <c:pt idx="3">
                  <c:v>253</c:v>
                </c:pt>
                <c:pt idx="4">
                  <c:v>275</c:v>
                </c:pt>
                <c:pt idx="5">
                  <c:v>275</c:v>
                </c:pt>
                <c:pt idx="6">
                  <c:v>286</c:v>
                </c:pt>
                <c:pt idx="7">
                  <c:v>341</c:v>
                </c:pt>
                <c:pt idx="8">
                  <c:v>383</c:v>
                </c:pt>
                <c:pt idx="9">
                  <c:v>414</c:v>
                </c:pt>
                <c:pt idx="10">
                  <c:v>442</c:v>
                </c:pt>
                <c:pt idx="11">
                  <c:v>480</c:v>
                </c:pt>
                <c:pt idx="12">
                  <c:v>528</c:v>
                </c:pt>
                <c:pt idx="13">
                  <c:v>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3-40E0-88DB-2AA2E7BEADD9}"/>
            </c:ext>
          </c:extLst>
        </c:ser>
        <c:ser>
          <c:idx val="55"/>
          <c:order val="53"/>
          <c:tx>
            <c:strRef>
              <c:f>Days_Since_100!$H$57</c:f>
              <c:strCache>
                <c:ptCount val="1"/>
                <c:pt idx="0">
                  <c:v>Panama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Days_Since_100!$I$57:$KU$57</c:f>
              <c:numCache>
                <c:formatCode>General</c:formatCode>
                <c:ptCount val="299"/>
                <c:pt idx="0">
                  <c:v>109</c:v>
                </c:pt>
                <c:pt idx="1">
                  <c:v>137</c:v>
                </c:pt>
                <c:pt idx="2">
                  <c:v>200</c:v>
                </c:pt>
                <c:pt idx="3">
                  <c:v>313</c:v>
                </c:pt>
                <c:pt idx="4">
                  <c:v>345</c:v>
                </c:pt>
                <c:pt idx="5">
                  <c:v>345</c:v>
                </c:pt>
                <c:pt idx="6">
                  <c:v>443</c:v>
                </c:pt>
                <c:pt idx="7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F3-40E0-88DB-2AA2E7BEADD9}"/>
            </c:ext>
          </c:extLst>
        </c:ser>
        <c:ser>
          <c:idx val="56"/>
          <c:order val="54"/>
          <c:tx>
            <c:strRef>
              <c:f>Days_Since_100!$H$58</c:f>
              <c:strCache>
                <c:ptCount val="1"/>
                <c:pt idx="0">
                  <c:v>Qatar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Days_Since_100!$I$58:$KU$58</c:f>
              <c:numCache>
                <c:formatCode>General</c:formatCode>
                <c:ptCount val="299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  <c:pt idx="5">
                  <c:v>439</c:v>
                </c:pt>
                <c:pt idx="6">
                  <c:v>439</c:v>
                </c:pt>
                <c:pt idx="7">
                  <c:v>452</c:v>
                </c:pt>
                <c:pt idx="8">
                  <c:v>460</c:v>
                </c:pt>
                <c:pt idx="9">
                  <c:v>470</c:v>
                </c:pt>
                <c:pt idx="10">
                  <c:v>481</c:v>
                </c:pt>
                <c:pt idx="11">
                  <c:v>494</c:v>
                </c:pt>
                <c:pt idx="12">
                  <c:v>501</c:v>
                </c:pt>
                <c:pt idx="13">
                  <c:v>526</c:v>
                </c:pt>
                <c:pt idx="14">
                  <c:v>537</c:v>
                </c:pt>
                <c:pt idx="15">
                  <c:v>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DF3-40E0-88DB-2AA2E7BEADD9}"/>
            </c:ext>
          </c:extLst>
        </c:ser>
        <c:ser>
          <c:idx val="57"/>
          <c:order val="55"/>
          <c:tx>
            <c:strRef>
              <c:f>Days_Since_100!$H$59</c:f>
              <c:strCache>
                <c:ptCount val="1"/>
                <c:pt idx="0">
                  <c:v>Estonia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Days_Since_100!$I$59:$KU$59</c:f>
              <c:numCache>
                <c:formatCode>General</c:formatCode>
                <c:ptCount val="299"/>
                <c:pt idx="0">
                  <c:v>115</c:v>
                </c:pt>
                <c:pt idx="1">
                  <c:v>171</c:v>
                </c:pt>
                <c:pt idx="2">
                  <c:v>205</c:v>
                </c:pt>
                <c:pt idx="3">
                  <c:v>225</c:v>
                </c:pt>
                <c:pt idx="4">
                  <c:v>258</c:v>
                </c:pt>
                <c:pt idx="5">
                  <c:v>267</c:v>
                </c:pt>
                <c:pt idx="6">
                  <c:v>283</c:v>
                </c:pt>
                <c:pt idx="7">
                  <c:v>306</c:v>
                </c:pt>
                <c:pt idx="8">
                  <c:v>326</c:v>
                </c:pt>
                <c:pt idx="9">
                  <c:v>352</c:v>
                </c:pt>
                <c:pt idx="10">
                  <c:v>369</c:v>
                </c:pt>
                <c:pt idx="11">
                  <c:v>404</c:v>
                </c:pt>
                <c:pt idx="12">
                  <c:v>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F3-40E0-88DB-2AA2E7BEADD9}"/>
            </c:ext>
          </c:extLst>
        </c:ser>
        <c:ser>
          <c:idx val="58"/>
          <c:order val="56"/>
          <c:tx>
            <c:strRef>
              <c:f>Days_Since_100!$H$60</c:f>
              <c:strCache>
                <c:ptCount val="1"/>
                <c:pt idx="0">
                  <c:v>Argentina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Days_Since_100!$I$60:$KU$60</c:f>
              <c:numCache>
                <c:formatCode>General</c:formatCode>
                <c:ptCount val="299"/>
                <c:pt idx="0">
                  <c:v>128</c:v>
                </c:pt>
                <c:pt idx="1">
                  <c:v>158</c:v>
                </c:pt>
                <c:pt idx="2">
                  <c:v>266</c:v>
                </c:pt>
                <c:pt idx="3">
                  <c:v>301</c:v>
                </c:pt>
                <c:pt idx="4">
                  <c:v>387</c:v>
                </c:pt>
                <c:pt idx="5">
                  <c:v>387</c:v>
                </c:pt>
                <c:pt idx="6">
                  <c:v>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DF3-40E0-88DB-2AA2E7BEADD9}"/>
            </c:ext>
          </c:extLst>
        </c:ser>
        <c:ser>
          <c:idx val="59"/>
          <c:order val="57"/>
          <c:tx>
            <c:strRef>
              <c:f>Days_Since_100!$H$61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4472C4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Days_Since_100!$I$61:$KU$61</c:f>
              <c:numCache>
                <c:formatCode>General</c:formatCode>
                <c:ptCount val="299"/>
                <c:pt idx="0">
                  <c:v>109</c:v>
                </c:pt>
                <c:pt idx="1">
                  <c:v>110</c:v>
                </c:pt>
                <c:pt idx="2">
                  <c:v>150</c:v>
                </c:pt>
                <c:pt idx="3">
                  <c:v>196</c:v>
                </c:pt>
                <c:pt idx="4">
                  <c:v>196</c:v>
                </c:pt>
                <c:pt idx="5">
                  <c:v>256</c:v>
                </c:pt>
                <c:pt idx="6">
                  <c:v>285</c:v>
                </c:pt>
                <c:pt idx="7">
                  <c:v>294</c:v>
                </c:pt>
                <c:pt idx="8">
                  <c:v>327</c:v>
                </c:pt>
                <c:pt idx="9">
                  <c:v>366</c:v>
                </c:pt>
                <c:pt idx="10">
                  <c:v>402</c:v>
                </c:pt>
                <c:pt idx="11">
                  <c:v>456</c:v>
                </c:pt>
                <c:pt idx="12">
                  <c:v>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F3-40E0-88DB-2AA2E7BEADD9}"/>
            </c:ext>
          </c:extLst>
        </c:ser>
        <c:ser>
          <c:idx val="60"/>
          <c:order val="58"/>
          <c:tx>
            <c:strRef>
              <c:f>Days_Since_100!$H$62</c:f>
              <c:strCache>
                <c:ptCount val="1"/>
                <c:pt idx="0">
                  <c:v>Croatia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Days_Since_100!$I$62:$KU$62</c:f>
              <c:numCache>
                <c:formatCode>General</c:formatCode>
                <c:ptCount val="299"/>
                <c:pt idx="0">
                  <c:v>105</c:v>
                </c:pt>
                <c:pt idx="1">
                  <c:v>128</c:v>
                </c:pt>
                <c:pt idx="2">
                  <c:v>206</c:v>
                </c:pt>
                <c:pt idx="3">
                  <c:v>254</c:v>
                </c:pt>
                <c:pt idx="4">
                  <c:v>315</c:v>
                </c:pt>
                <c:pt idx="5">
                  <c:v>382</c:v>
                </c:pt>
                <c:pt idx="6">
                  <c:v>442</c:v>
                </c:pt>
                <c:pt idx="7">
                  <c:v>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DF3-40E0-88DB-2AA2E7BEADD9}"/>
            </c:ext>
          </c:extLst>
        </c:ser>
        <c:ser>
          <c:idx val="61"/>
          <c:order val="59"/>
          <c:tx>
            <c:strRef>
              <c:f>Days_Since_100!$H$63</c:f>
              <c:strCache>
                <c:ptCount val="1"/>
                <c:pt idx="0">
                  <c:v>Colombia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Days_Since_100!$I$63:$KU$63</c:f>
              <c:numCache>
                <c:formatCode>General</c:formatCode>
                <c:ptCount val="299"/>
                <c:pt idx="0">
                  <c:v>102</c:v>
                </c:pt>
                <c:pt idx="1">
                  <c:v>128</c:v>
                </c:pt>
                <c:pt idx="2">
                  <c:v>196</c:v>
                </c:pt>
                <c:pt idx="3">
                  <c:v>231</c:v>
                </c:pt>
                <c:pt idx="4">
                  <c:v>277</c:v>
                </c:pt>
                <c:pt idx="5">
                  <c:v>378</c:v>
                </c:pt>
                <c:pt idx="6">
                  <c:v>470</c:v>
                </c:pt>
                <c:pt idx="7">
                  <c:v>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2-4EB5-B872-D6B0C983AD14}"/>
            </c:ext>
          </c:extLst>
        </c:ser>
        <c:ser>
          <c:idx val="62"/>
          <c:order val="60"/>
          <c:tx>
            <c:strRef>
              <c:f>Days_Since_100!$H$64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Days_Since_100!$I$64:$KU$64</c:f>
              <c:numCache>
                <c:formatCode>General</c:formatCode>
                <c:ptCount val="299"/>
                <c:pt idx="0">
                  <c:v>112</c:v>
                </c:pt>
                <c:pt idx="1">
                  <c:v>202</c:v>
                </c:pt>
                <c:pt idx="2">
                  <c:v>245</c:v>
                </c:pt>
                <c:pt idx="3">
                  <c:v>312</c:v>
                </c:pt>
                <c:pt idx="4">
                  <c:v>392</c:v>
                </c:pt>
                <c:pt idx="5">
                  <c:v>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2-4EB5-B872-D6B0C983AD14}"/>
            </c:ext>
          </c:extLst>
        </c:ser>
        <c:ser>
          <c:idx val="63"/>
          <c:order val="61"/>
          <c:tx>
            <c:strRef>
              <c:f>Days_Since_100!$H$65</c:f>
              <c:strCache>
                <c:ptCount val="1"/>
                <c:pt idx="0">
                  <c:v>Mexico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Days_Since_100!$I$65:$KU$65</c:f>
              <c:numCache>
                <c:formatCode>General</c:formatCode>
                <c:ptCount val="299"/>
                <c:pt idx="0">
                  <c:v>118</c:v>
                </c:pt>
                <c:pt idx="1">
                  <c:v>164</c:v>
                </c:pt>
                <c:pt idx="2">
                  <c:v>203</c:v>
                </c:pt>
                <c:pt idx="3">
                  <c:v>251</c:v>
                </c:pt>
                <c:pt idx="4">
                  <c:v>316</c:v>
                </c:pt>
                <c:pt idx="5">
                  <c:v>367</c:v>
                </c:pt>
                <c:pt idx="6">
                  <c:v>405</c:v>
                </c:pt>
                <c:pt idx="7">
                  <c:v>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12-4EB5-B872-D6B0C983AD14}"/>
            </c:ext>
          </c:extLst>
        </c:ser>
        <c:ser>
          <c:idx val="64"/>
          <c:order val="62"/>
          <c:tx>
            <c:strRef>
              <c:f>Days_Since_100!$H$66</c:f>
              <c:strCache>
                <c:ptCount val="1"/>
                <c:pt idx="0">
                  <c:v>Bahrain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Days_Since_100!$I$66:$KU$66</c:f>
              <c:numCache>
                <c:formatCode>General</c:formatCode>
                <c:ptCount val="299"/>
                <c:pt idx="0">
                  <c:v>110</c:v>
                </c:pt>
                <c:pt idx="1">
                  <c:v>195</c:v>
                </c:pt>
                <c:pt idx="2">
                  <c:v>195</c:v>
                </c:pt>
                <c:pt idx="3">
                  <c:v>195</c:v>
                </c:pt>
                <c:pt idx="4">
                  <c:v>210</c:v>
                </c:pt>
                <c:pt idx="5">
                  <c:v>214</c:v>
                </c:pt>
                <c:pt idx="6">
                  <c:v>214</c:v>
                </c:pt>
                <c:pt idx="7">
                  <c:v>228</c:v>
                </c:pt>
                <c:pt idx="8">
                  <c:v>256</c:v>
                </c:pt>
                <c:pt idx="9">
                  <c:v>278</c:v>
                </c:pt>
                <c:pt idx="10">
                  <c:v>285</c:v>
                </c:pt>
                <c:pt idx="11">
                  <c:v>305</c:v>
                </c:pt>
                <c:pt idx="12">
                  <c:v>334</c:v>
                </c:pt>
                <c:pt idx="13">
                  <c:v>377</c:v>
                </c:pt>
                <c:pt idx="14">
                  <c:v>392</c:v>
                </c:pt>
                <c:pt idx="15">
                  <c:v>419</c:v>
                </c:pt>
                <c:pt idx="16">
                  <c:v>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2-4EB5-B872-D6B0C983AD14}"/>
            </c:ext>
          </c:extLst>
        </c:ser>
        <c:ser>
          <c:idx val="65"/>
          <c:order val="63"/>
          <c:tx>
            <c:strRef>
              <c:f>Days_Since_100!$H$67</c:f>
              <c:strCache>
                <c:ptCount val="1"/>
                <c:pt idx="0">
                  <c:v>Serbia</c:v>
                </c:pt>
              </c:strCache>
            </c:strRef>
          </c:tx>
          <c:spPr>
            <a:ln w="31750" cap="rnd" cmpd="sng" algn="ctr">
              <a:solidFill>
                <a:srgbClr val="ED7D31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Days_Since_100!$I$67:$KU$67</c:f>
              <c:numCache>
                <c:formatCode>General</c:formatCode>
                <c:ptCount val="299"/>
                <c:pt idx="0">
                  <c:v>103</c:v>
                </c:pt>
                <c:pt idx="1">
                  <c:v>135</c:v>
                </c:pt>
                <c:pt idx="2">
                  <c:v>171</c:v>
                </c:pt>
                <c:pt idx="3">
                  <c:v>222</c:v>
                </c:pt>
                <c:pt idx="4">
                  <c:v>249</c:v>
                </c:pt>
                <c:pt idx="5">
                  <c:v>303</c:v>
                </c:pt>
                <c:pt idx="6">
                  <c:v>384</c:v>
                </c:pt>
                <c:pt idx="7">
                  <c:v>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12-4EB5-B872-D6B0C983AD14}"/>
            </c:ext>
          </c:extLst>
        </c:ser>
        <c:ser>
          <c:idx val="66"/>
          <c:order val="64"/>
          <c:tx>
            <c:strRef>
              <c:f>Days_Since_100!$H$68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Days_Since_100!$I$68:$KU$68</c:f>
              <c:numCache>
                <c:formatCode>General</c:formatCode>
                <c:ptCount val="299"/>
                <c:pt idx="0">
                  <c:v>101</c:v>
                </c:pt>
                <c:pt idx="1">
                  <c:v>110</c:v>
                </c:pt>
                <c:pt idx="2">
                  <c:v>116</c:v>
                </c:pt>
                <c:pt idx="3">
                  <c:v>124</c:v>
                </c:pt>
                <c:pt idx="4">
                  <c:v>154</c:v>
                </c:pt>
                <c:pt idx="5">
                  <c:v>164</c:v>
                </c:pt>
                <c:pt idx="6">
                  <c:v>192</c:v>
                </c:pt>
                <c:pt idx="7">
                  <c:v>208</c:v>
                </c:pt>
                <c:pt idx="8">
                  <c:v>214</c:v>
                </c:pt>
                <c:pt idx="9">
                  <c:v>233</c:v>
                </c:pt>
                <c:pt idx="10">
                  <c:v>266</c:v>
                </c:pt>
                <c:pt idx="11">
                  <c:v>316</c:v>
                </c:pt>
                <c:pt idx="12">
                  <c:v>346</c:v>
                </c:pt>
                <c:pt idx="13">
                  <c:v>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C-4BAF-8CC8-7B18947C5EC7}"/>
            </c:ext>
          </c:extLst>
        </c:ser>
        <c:ser>
          <c:idx val="67"/>
          <c:order val="65"/>
          <c:tx>
            <c:strRef>
              <c:f>Days_Since_100!$H$69</c:f>
              <c:strCache>
                <c:ptCount val="1"/>
                <c:pt idx="0">
                  <c:v>Lebanon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Days_Since_100!$I$69:$KU$69</c:f>
              <c:numCache>
                <c:formatCode>General</c:formatCode>
                <c:ptCount val="299"/>
                <c:pt idx="0">
                  <c:v>110</c:v>
                </c:pt>
                <c:pt idx="1">
                  <c:v>110</c:v>
                </c:pt>
                <c:pt idx="2">
                  <c:v>120</c:v>
                </c:pt>
                <c:pt idx="3">
                  <c:v>133</c:v>
                </c:pt>
                <c:pt idx="4">
                  <c:v>157</c:v>
                </c:pt>
                <c:pt idx="5">
                  <c:v>163</c:v>
                </c:pt>
                <c:pt idx="6">
                  <c:v>187</c:v>
                </c:pt>
                <c:pt idx="7">
                  <c:v>248</c:v>
                </c:pt>
                <c:pt idx="8">
                  <c:v>267</c:v>
                </c:pt>
                <c:pt idx="9">
                  <c:v>318</c:v>
                </c:pt>
                <c:pt idx="10">
                  <c:v>333</c:v>
                </c:pt>
                <c:pt idx="11">
                  <c:v>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C-4BAF-8CC8-7B18947C5EC7}"/>
            </c:ext>
          </c:extLst>
        </c:ser>
        <c:ser>
          <c:idx val="68"/>
          <c:order val="66"/>
          <c:tx>
            <c:strRef>
              <c:f>Days_Since_100!$H$70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Days_Since_100!$I$70:$KU$70</c:f>
              <c:numCache>
                <c:formatCode>General</c:formatCode>
                <c:ptCount val="299"/>
                <c:pt idx="0">
                  <c:v>139</c:v>
                </c:pt>
                <c:pt idx="1">
                  <c:v>201</c:v>
                </c:pt>
                <c:pt idx="2">
                  <c:v>230</c:v>
                </c:pt>
                <c:pt idx="3">
                  <c:v>264</c:v>
                </c:pt>
                <c:pt idx="4">
                  <c:v>302</c:v>
                </c:pt>
                <c:pt idx="5">
                  <c:v>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7C-4BAF-8CC8-7B18947C5EC7}"/>
            </c:ext>
          </c:extLst>
        </c:ser>
        <c:ser>
          <c:idx val="69"/>
          <c:order val="67"/>
          <c:tx>
            <c:strRef>
              <c:f>Days_Since_100!$H$71</c:f>
              <c:strCache>
                <c:ptCount val="1"/>
                <c:pt idx="0">
                  <c:v>United Arab Emirates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Days_Since_100!$I$71:$KU$71</c:f>
              <c:numCache>
                <c:formatCode>General</c:formatCode>
                <c:ptCount val="299"/>
                <c:pt idx="0">
                  <c:v>113</c:v>
                </c:pt>
                <c:pt idx="1">
                  <c:v>140</c:v>
                </c:pt>
                <c:pt idx="2">
                  <c:v>140</c:v>
                </c:pt>
                <c:pt idx="3">
                  <c:v>153</c:v>
                </c:pt>
                <c:pt idx="4">
                  <c:v>153</c:v>
                </c:pt>
                <c:pt idx="5">
                  <c:v>198</c:v>
                </c:pt>
                <c:pt idx="6">
                  <c:v>248</c:v>
                </c:pt>
                <c:pt idx="7">
                  <c:v>333</c:v>
                </c:pt>
                <c:pt idx="8">
                  <c:v>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8B-45D3-932C-4D581A3C1FCE}"/>
            </c:ext>
          </c:extLst>
        </c:ser>
        <c:ser>
          <c:idx val="70"/>
          <c:order val="68"/>
          <c:tx>
            <c:strRef>
              <c:f>Days_Since_100!$H$72</c:f>
              <c:strCache>
                <c:ptCount val="1"/>
                <c:pt idx="0">
                  <c:v>Lithuania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Days_Since_100!$I$72:$KU$72</c:f>
              <c:numCache>
                <c:formatCode>General</c:formatCode>
                <c:ptCount val="299"/>
                <c:pt idx="0">
                  <c:v>143</c:v>
                </c:pt>
                <c:pt idx="1">
                  <c:v>179</c:v>
                </c:pt>
                <c:pt idx="2">
                  <c:v>209</c:v>
                </c:pt>
                <c:pt idx="3">
                  <c:v>274</c:v>
                </c:pt>
                <c:pt idx="4">
                  <c:v>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8B-45D3-932C-4D581A3C1FCE}"/>
            </c:ext>
          </c:extLst>
        </c:ser>
        <c:ser>
          <c:idx val="71"/>
          <c:order val="69"/>
          <c:tx>
            <c:strRef>
              <c:f>Days_Since_100!$H$73</c:f>
              <c:strCache>
                <c:ptCount val="1"/>
                <c:pt idx="0">
                  <c:v>Armenia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Days_Since_100!$I$73:$KU$73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160</c:v>
                </c:pt>
                <c:pt idx="3">
                  <c:v>194</c:v>
                </c:pt>
                <c:pt idx="4">
                  <c:v>235</c:v>
                </c:pt>
                <c:pt idx="5">
                  <c:v>249</c:v>
                </c:pt>
                <c:pt idx="6">
                  <c:v>265</c:v>
                </c:pt>
                <c:pt idx="7">
                  <c:v>290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8B-45D3-932C-4D581A3C1FCE}"/>
            </c:ext>
          </c:extLst>
        </c:ser>
        <c:ser>
          <c:idx val="72"/>
          <c:order val="70"/>
          <c:tx>
            <c:strRef>
              <c:f>Days_Since_100!$H$74</c:f>
              <c:strCache>
                <c:ptCount val="1"/>
                <c:pt idx="0">
                  <c:v>New Zealand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Days_Since_100!$I$74:$KU$74</c:f>
              <c:numCache>
                <c:formatCode>General</c:formatCode>
                <c:ptCount val="299"/>
                <c:pt idx="0">
                  <c:v>102</c:v>
                </c:pt>
                <c:pt idx="1">
                  <c:v>102</c:v>
                </c:pt>
                <c:pt idx="2">
                  <c:v>155</c:v>
                </c:pt>
                <c:pt idx="3">
                  <c:v>205</c:v>
                </c:pt>
                <c:pt idx="4">
                  <c:v>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8B-45D3-932C-4D581A3C1FCE}"/>
            </c:ext>
          </c:extLst>
        </c:ser>
        <c:ser>
          <c:idx val="73"/>
          <c:order val="71"/>
          <c:tx>
            <c:strRef>
              <c:f>Days_Since_100!$H$75</c:f>
              <c:strCache>
                <c:ptCount val="1"/>
                <c:pt idx="0">
                  <c:v>Morocco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Days_Since_100!$I$75:$KU$75</c:f>
              <c:numCache>
                <c:formatCode>General</c:formatCode>
                <c:ptCount val="299"/>
                <c:pt idx="0">
                  <c:v>115</c:v>
                </c:pt>
                <c:pt idx="1">
                  <c:v>143</c:v>
                </c:pt>
                <c:pt idx="2">
                  <c:v>170</c:v>
                </c:pt>
                <c:pt idx="3">
                  <c:v>225</c:v>
                </c:pt>
                <c:pt idx="4">
                  <c:v>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8B-45D3-932C-4D581A3C1FCE}"/>
            </c:ext>
          </c:extLst>
        </c:ser>
        <c:ser>
          <c:idx val="74"/>
          <c:order val="72"/>
          <c:tx>
            <c:strRef>
              <c:f>Days_Since_100!$H$76</c:f>
              <c:strCache>
                <c:ptCount val="1"/>
                <c:pt idx="0">
                  <c:v>Bulgaria</c:v>
                </c:pt>
              </c:strCache>
            </c:strRef>
          </c:tx>
          <c:spPr>
            <a:ln w="31750" cap="rnd" cmpd="sng" algn="ctr">
              <a:solidFill>
                <a:srgbClr val="70AD47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Days_Since_100!$I$76:$KU$76</c:f>
              <c:numCache>
                <c:formatCode>General</c:formatCode>
                <c:ptCount val="299"/>
                <c:pt idx="0">
                  <c:v>127</c:v>
                </c:pt>
                <c:pt idx="1">
                  <c:v>163</c:v>
                </c:pt>
                <c:pt idx="2">
                  <c:v>187</c:v>
                </c:pt>
                <c:pt idx="3">
                  <c:v>201</c:v>
                </c:pt>
                <c:pt idx="4">
                  <c:v>218</c:v>
                </c:pt>
                <c:pt idx="5">
                  <c:v>242</c:v>
                </c:pt>
                <c:pt idx="6">
                  <c:v>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8B-45D3-932C-4D581A3C1FCE}"/>
            </c:ext>
          </c:extLst>
        </c:ser>
        <c:ser>
          <c:idx val="75"/>
          <c:order val="73"/>
          <c:tx>
            <c:strRef>
              <c:f>Days_Since_100!$H$77</c:f>
              <c:strCache>
                <c:ptCount val="1"/>
                <c:pt idx="0">
                  <c:v>Hungary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Days_Since_100!$I$77:$KU$77</c:f>
              <c:numCache>
                <c:formatCode>General</c:formatCode>
                <c:ptCount val="299"/>
                <c:pt idx="0">
                  <c:v>103</c:v>
                </c:pt>
                <c:pt idx="1">
                  <c:v>131</c:v>
                </c:pt>
                <c:pt idx="2">
                  <c:v>167</c:v>
                </c:pt>
                <c:pt idx="3">
                  <c:v>187</c:v>
                </c:pt>
                <c:pt idx="4">
                  <c:v>226</c:v>
                </c:pt>
                <c:pt idx="5">
                  <c:v>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18B-45D3-932C-4D581A3C1FCE}"/>
            </c:ext>
          </c:extLst>
        </c:ser>
        <c:ser>
          <c:idx val="76"/>
          <c:order val="74"/>
          <c:tx>
            <c:strRef>
              <c:f>Days_Since_100!$H$78</c:f>
              <c:strCache>
                <c:ptCount val="1"/>
                <c:pt idx="0">
                  <c:v>Taiwan*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Days_Since_100!$I$78:$KU$78</c:f>
              <c:numCache>
                <c:formatCode>General</c:formatCode>
                <c:ptCount val="299"/>
                <c:pt idx="0">
                  <c:v>100</c:v>
                </c:pt>
                <c:pt idx="1">
                  <c:v>108</c:v>
                </c:pt>
                <c:pt idx="2">
                  <c:v>135</c:v>
                </c:pt>
                <c:pt idx="3">
                  <c:v>153</c:v>
                </c:pt>
                <c:pt idx="4">
                  <c:v>169</c:v>
                </c:pt>
                <c:pt idx="5">
                  <c:v>195</c:v>
                </c:pt>
                <c:pt idx="6">
                  <c:v>215</c:v>
                </c:pt>
                <c:pt idx="7">
                  <c:v>235</c:v>
                </c:pt>
                <c:pt idx="8">
                  <c:v>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18B-45D3-932C-4D581A3C1FCE}"/>
            </c:ext>
          </c:extLst>
        </c:ser>
        <c:ser>
          <c:idx val="77"/>
          <c:order val="75"/>
          <c:tx>
            <c:strRef>
              <c:f>Days_Since_100!$H$79</c:f>
              <c:strCache>
                <c:ptCount val="1"/>
                <c:pt idx="0">
                  <c:v>Latvia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Days_Since_100!$I$79:$KU$79</c:f>
              <c:numCache>
                <c:formatCode>General</c:formatCode>
                <c:ptCount val="299"/>
                <c:pt idx="0">
                  <c:v>111</c:v>
                </c:pt>
                <c:pt idx="1">
                  <c:v>124</c:v>
                </c:pt>
                <c:pt idx="2">
                  <c:v>139</c:v>
                </c:pt>
                <c:pt idx="3">
                  <c:v>180</c:v>
                </c:pt>
                <c:pt idx="4">
                  <c:v>197</c:v>
                </c:pt>
                <c:pt idx="5">
                  <c:v>221</c:v>
                </c:pt>
                <c:pt idx="6">
                  <c:v>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18B-45D3-932C-4D581A3C1FCE}"/>
            </c:ext>
          </c:extLst>
        </c:ser>
        <c:ser>
          <c:idx val="78"/>
          <c:order val="76"/>
          <c:tx>
            <c:strRef>
              <c:f>Days_Since_100!$H$80</c:f>
              <c:strCache>
                <c:ptCount val="1"/>
                <c:pt idx="0">
                  <c:v>Costa Rica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Days_Since_100!$I$80:$KU$80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158</c:v>
                </c:pt>
                <c:pt idx="3">
                  <c:v>177</c:v>
                </c:pt>
                <c:pt idx="4">
                  <c:v>201</c:v>
                </c:pt>
                <c:pt idx="5">
                  <c:v>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18B-45D3-932C-4D581A3C1FCE}"/>
            </c:ext>
          </c:extLst>
        </c:ser>
        <c:ser>
          <c:idx val="79"/>
          <c:order val="77"/>
          <c:tx>
            <c:strRef>
              <c:f>Days_Since_100!$H$81</c:f>
              <c:strCache>
                <c:ptCount val="1"/>
                <c:pt idx="0">
                  <c:v>Slovakia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Days_Since_100!$I$81:$KU$81</c:f>
              <c:numCache>
                <c:formatCode>General</c:formatCode>
                <c:ptCount val="299"/>
                <c:pt idx="0">
                  <c:v>105</c:v>
                </c:pt>
                <c:pt idx="1">
                  <c:v>123</c:v>
                </c:pt>
                <c:pt idx="2">
                  <c:v>137</c:v>
                </c:pt>
                <c:pt idx="3">
                  <c:v>178</c:v>
                </c:pt>
                <c:pt idx="4">
                  <c:v>185</c:v>
                </c:pt>
                <c:pt idx="5">
                  <c:v>186</c:v>
                </c:pt>
                <c:pt idx="6">
                  <c:v>204</c:v>
                </c:pt>
                <c:pt idx="7">
                  <c:v>216</c:v>
                </c:pt>
                <c:pt idx="8">
                  <c:v>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18B-45D3-932C-4D581A3C1FCE}"/>
            </c:ext>
          </c:extLst>
        </c:ser>
        <c:ser>
          <c:idx val="80"/>
          <c:order val="78"/>
          <c:tx>
            <c:strRef>
              <c:f>Days_Since_100!$H$82</c:f>
              <c:strCache>
                <c:ptCount val="1"/>
                <c:pt idx="0">
                  <c:v>Andorra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Days_Since_100!$I$82:$KU$82</c:f>
              <c:numCache>
                <c:formatCode>General</c:formatCode>
                <c:ptCount val="299"/>
                <c:pt idx="0">
                  <c:v>113</c:v>
                </c:pt>
                <c:pt idx="1">
                  <c:v>133</c:v>
                </c:pt>
                <c:pt idx="2">
                  <c:v>164</c:v>
                </c:pt>
                <c:pt idx="3">
                  <c:v>188</c:v>
                </c:pt>
                <c:pt idx="4">
                  <c:v>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18B-45D3-932C-4D581A3C1FCE}"/>
            </c:ext>
          </c:extLst>
        </c:ser>
        <c:ser>
          <c:idx val="81"/>
          <c:order val="79"/>
          <c:tx>
            <c:strRef>
              <c:f>Days_Since_100!$H$83</c:f>
              <c:strCache>
                <c:ptCount val="1"/>
                <c:pt idx="0">
                  <c:v>Jordan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Days_Since_100!$I$83:$KU$83</c:f>
              <c:numCache>
                <c:formatCode>General</c:formatCode>
                <c:ptCount val="299"/>
                <c:pt idx="0">
                  <c:v>112</c:v>
                </c:pt>
                <c:pt idx="1">
                  <c:v>127</c:v>
                </c:pt>
                <c:pt idx="2">
                  <c:v>154</c:v>
                </c:pt>
                <c:pt idx="3">
                  <c:v>172</c:v>
                </c:pt>
                <c:pt idx="4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18B-45D3-932C-4D581A3C1FCE}"/>
            </c:ext>
          </c:extLst>
        </c:ser>
        <c:ser>
          <c:idx val="82"/>
          <c:order val="80"/>
          <c:tx>
            <c:strRef>
              <c:f>Days_Since_100!$H$84</c:f>
              <c:strCache>
                <c:ptCount val="1"/>
                <c:pt idx="0">
                  <c:v>Kuwait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Days_Since_100!$I$84:$KU$84</c:f>
              <c:numCache>
                <c:formatCode>General</c:formatCode>
                <c:ptCount val="299"/>
                <c:pt idx="0">
                  <c:v>104</c:v>
                </c:pt>
                <c:pt idx="1">
                  <c:v>112</c:v>
                </c:pt>
                <c:pt idx="2">
                  <c:v>123</c:v>
                </c:pt>
                <c:pt idx="3">
                  <c:v>130</c:v>
                </c:pt>
                <c:pt idx="4">
                  <c:v>142</c:v>
                </c:pt>
                <c:pt idx="5">
                  <c:v>148</c:v>
                </c:pt>
                <c:pt idx="6">
                  <c:v>159</c:v>
                </c:pt>
                <c:pt idx="7">
                  <c:v>176</c:v>
                </c:pt>
                <c:pt idx="8">
                  <c:v>188</c:v>
                </c:pt>
                <c:pt idx="9">
                  <c:v>189</c:v>
                </c:pt>
                <c:pt idx="10">
                  <c:v>191</c:v>
                </c:pt>
                <c:pt idx="11">
                  <c:v>195</c:v>
                </c:pt>
                <c:pt idx="12">
                  <c:v>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18B-45D3-932C-4D581A3C1FCE}"/>
            </c:ext>
          </c:extLst>
        </c:ser>
        <c:ser>
          <c:idx val="83"/>
          <c:order val="81"/>
          <c:tx>
            <c:strRef>
              <c:f>Days_Since_100!$H$85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Days_Since_100!$I$85:$KU$85</c:f>
              <c:numCache>
                <c:formatCode>General</c:formatCode>
                <c:ptCount val="299"/>
                <c:pt idx="0">
                  <c:v>101</c:v>
                </c:pt>
                <c:pt idx="1">
                  <c:v>109</c:v>
                </c:pt>
                <c:pt idx="2">
                  <c:v>109</c:v>
                </c:pt>
                <c:pt idx="3">
                  <c:v>119</c:v>
                </c:pt>
                <c:pt idx="4">
                  <c:v>119</c:v>
                </c:pt>
                <c:pt idx="5">
                  <c:v>144</c:v>
                </c:pt>
                <c:pt idx="6">
                  <c:v>144</c:v>
                </c:pt>
                <c:pt idx="7">
                  <c:v>175</c:v>
                </c:pt>
                <c:pt idx="8">
                  <c:v>187</c:v>
                </c:pt>
                <c:pt idx="9">
                  <c:v>187</c:v>
                </c:pt>
                <c:pt idx="10">
                  <c:v>208</c:v>
                </c:pt>
                <c:pt idx="11">
                  <c:v>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18B-45D3-932C-4D581A3C1FCE}"/>
            </c:ext>
          </c:extLst>
        </c:ser>
        <c:ser>
          <c:idx val="84"/>
          <c:order val="82"/>
          <c:tx>
            <c:strRef>
              <c:f>Days_Since_100!$H$86</c:f>
              <c:strCache>
                <c:ptCount val="1"/>
                <c:pt idx="0">
                  <c:v>North Macedonia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Days_Since_100!$I$86:$KU$86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148</c:v>
                </c:pt>
                <c:pt idx="3">
                  <c:v>177</c:v>
                </c:pt>
                <c:pt idx="4">
                  <c:v>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18B-45D3-932C-4D581A3C1FCE}"/>
            </c:ext>
          </c:extLst>
        </c:ser>
        <c:ser>
          <c:idx val="85"/>
          <c:order val="83"/>
          <c:tx>
            <c:strRef>
              <c:f>Days_Since_100!$H$87</c:f>
              <c:strCache>
                <c:ptCount val="1"/>
                <c:pt idx="0">
                  <c:v>Tunisia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Days_Since_100!$I$87:$KU$87</c:f>
              <c:numCache>
                <c:formatCode>General</c:formatCode>
                <c:ptCount val="299"/>
                <c:pt idx="0">
                  <c:v>114</c:v>
                </c:pt>
                <c:pt idx="1">
                  <c:v>173</c:v>
                </c:pt>
                <c:pt idx="2">
                  <c:v>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18B-45D3-932C-4D581A3C1FCE}"/>
            </c:ext>
          </c:extLst>
        </c:ser>
        <c:ser>
          <c:idx val="86"/>
          <c:order val="84"/>
          <c:tx>
            <c:strRef>
              <c:f>Days_Since_100!$H$88</c:f>
              <c:strCache>
                <c:ptCount val="1"/>
                <c:pt idx="0">
                  <c:v>Ukraine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Days_Since_100!$I$88:$KU$88</c:f>
              <c:numCache>
                <c:formatCode>General</c:formatCode>
                <c:ptCount val="299"/>
                <c:pt idx="0">
                  <c:v>145</c:v>
                </c:pt>
                <c:pt idx="1">
                  <c:v>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18B-45D3-932C-4D581A3C1FCE}"/>
            </c:ext>
          </c:extLst>
        </c:ser>
        <c:ser>
          <c:idx val="87"/>
          <c:order val="85"/>
          <c:tx>
            <c:strRef>
              <c:f>Days_Since_100!$H$89</c:f>
              <c:strCache>
                <c:ptCount val="1"/>
                <c:pt idx="0">
                  <c:v>Bosnia and Herzegovina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Days_Since_100!$I$89:$KU$89</c:f>
              <c:numCache>
                <c:formatCode>General</c:formatCode>
                <c:ptCount val="299"/>
                <c:pt idx="0">
                  <c:v>126</c:v>
                </c:pt>
                <c:pt idx="1">
                  <c:v>136</c:v>
                </c:pt>
                <c:pt idx="2">
                  <c:v>166</c:v>
                </c:pt>
                <c:pt idx="3">
                  <c:v>176</c:v>
                </c:pt>
                <c:pt idx="4">
                  <c:v>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18B-45D3-932C-4D581A3C1FCE}"/>
            </c:ext>
          </c:extLst>
        </c:ser>
        <c:ser>
          <c:idx val="88"/>
          <c:order val="86"/>
          <c:tx>
            <c:strRef>
              <c:f>Days_Since_100!$H$90</c:f>
              <c:strCache>
                <c:ptCount val="1"/>
                <c:pt idx="0">
                  <c:v>Moldova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Days_Since_100!$I$90:$KU$90</c:f>
              <c:numCache>
                <c:formatCode>General</c:formatCode>
                <c:ptCount val="299"/>
                <c:pt idx="0">
                  <c:v>109</c:v>
                </c:pt>
                <c:pt idx="1">
                  <c:v>125</c:v>
                </c:pt>
                <c:pt idx="2">
                  <c:v>149</c:v>
                </c:pt>
                <c:pt idx="3">
                  <c:v>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3C-47EA-B81B-0882F100EFAE}"/>
            </c:ext>
          </c:extLst>
        </c:ser>
        <c:ser>
          <c:idx val="89"/>
          <c:order val="87"/>
          <c:tx>
            <c:strRef>
              <c:f>Days_Since_100!$H$91</c:f>
              <c:strCache>
                <c:ptCount val="1"/>
                <c:pt idx="0">
                  <c:v>Albania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Days_Since_100!$I$91:$KU$91</c:f>
              <c:numCache>
                <c:formatCode>General</c:formatCode>
                <c:ptCount val="299"/>
                <c:pt idx="0">
                  <c:v>104</c:v>
                </c:pt>
                <c:pt idx="1">
                  <c:v>123</c:v>
                </c:pt>
                <c:pt idx="2">
                  <c:v>146</c:v>
                </c:pt>
                <c:pt idx="3">
                  <c:v>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33-4FF3-A082-A52D1F741C41}"/>
            </c:ext>
          </c:extLst>
        </c:ser>
        <c:ser>
          <c:idx val="90"/>
          <c:order val="88"/>
          <c:tx>
            <c:strRef>
              <c:f>Days_Since_100!$H$92</c:f>
              <c:strCache>
                <c:ptCount val="1"/>
                <c:pt idx="0">
                  <c:v>Vietnam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Days_Since_100!$I$92:$KU$92</c:f>
              <c:numCache>
                <c:formatCode>General</c:formatCode>
                <c:ptCount val="299"/>
                <c:pt idx="0">
                  <c:v>113</c:v>
                </c:pt>
                <c:pt idx="1">
                  <c:v>123</c:v>
                </c:pt>
                <c:pt idx="2">
                  <c:v>134</c:v>
                </c:pt>
                <c:pt idx="3">
                  <c:v>141</c:v>
                </c:pt>
                <c:pt idx="4">
                  <c:v>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33-4FF3-A082-A52D1F741C41}"/>
            </c:ext>
          </c:extLst>
        </c:ser>
        <c:ser>
          <c:idx val="91"/>
          <c:order val="89"/>
          <c:tx>
            <c:strRef>
              <c:f>Days_Since_100!$H$93</c:f>
              <c:strCache>
                <c:ptCount val="1"/>
                <c:pt idx="0">
                  <c:v>Burkina Faso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Days_Since_100!$I$93:$KU$93</c:f>
              <c:numCache>
                <c:formatCode>General</c:formatCode>
                <c:ptCount val="299"/>
                <c:pt idx="0">
                  <c:v>114</c:v>
                </c:pt>
                <c:pt idx="1">
                  <c:v>146</c:v>
                </c:pt>
                <c:pt idx="2">
                  <c:v>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33-4FF3-A082-A52D1F741C41}"/>
            </c:ext>
          </c:extLst>
        </c:ser>
        <c:ser>
          <c:idx val="92"/>
          <c:order val="90"/>
          <c:tx>
            <c:strRef>
              <c:f>Days_Since_100!$H$94</c:f>
              <c:strCache>
                <c:ptCount val="1"/>
                <c:pt idx="0">
                  <c:v>Cyprus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Days_Since_100!$I$94:$KU$94</c:f>
              <c:numCache>
                <c:formatCode>General</c:formatCode>
                <c:ptCount val="299"/>
                <c:pt idx="0">
                  <c:v>116</c:v>
                </c:pt>
                <c:pt idx="1">
                  <c:v>124</c:v>
                </c:pt>
                <c:pt idx="2">
                  <c:v>132</c:v>
                </c:pt>
                <c:pt idx="3">
                  <c:v>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33-4FF3-A082-A52D1F741C41}"/>
            </c:ext>
          </c:extLst>
        </c:ser>
        <c:ser>
          <c:idx val="93"/>
          <c:order val="91"/>
          <c:tx>
            <c:strRef>
              <c:f>Days_Since_100!$H$95</c:f>
              <c:strCache>
                <c:ptCount val="1"/>
                <c:pt idx="0">
                  <c:v>Malta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Days_Since_100!$I$95:$KU$95</c:f>
              <c:numCache>
                <c:formatCode>General</c:formatCode>
                <c:ptCount val="299"/>
                <c:pt idx="0">
                  <c:v>107</c:v>
                </c:pt>
                <c:pt idx="1">
                  <c:v>110</c:v>
                </c:pt>
                <c:pt idx="2">
                  <c:v>129</c:v>
                </c:pt>
                <c:pt idx="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333-4FF3-A082-A52D1F741C41}"/>
            </c:ext>
          </c:extLst>
        </c:ser>
        <c:ser>
          <c:idx val="94"/>
          <c:order val="92"/>
          <c:tx>
            <c:strRef>
              <c:f>Days_Since_100!$H$96</c:f>
              <c:strCache>
                <c:ptCount val="1"/>
                <c:pt idx="0">
                  <c:v>Azerbaijan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Days_Since_100!$I$96:$KU$96</c:f>
              <c:numCache>
                <c:formatCode>General</c:formatCode>
                <c:ptCount val="299"/>
                <c:pt idx="0">
                  <c:v>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333-4FF3-A082-A52D1F741C41}"/>
            </c:ext>
          </c:extLst>
        </c:ser>
        <c:ser>
          <c:idx val="95"/>
          <c:order val="93"/>
          <c:tx>
            <c:strRef>
              <c:f>Days_Since_100!$H$97</c:f>
              <c:strCache>
                <c:ptCount val="1"/>
                <c:pt idx="0">
                  <c:v>Brunei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Days_Since_100!$I$97:$KU$97</c:f>
              <c:numCache>
                <c:formatCode>General</c:formatCode>
                <c:ptCount val="299"/>
                <c:pt idx="0">
                  <c:v>104</c:v>
                </c:pt>
                <c:pt idx="1">
                  <c:v>109</c:v>
                </c:pt>
                <c:pt idx="2">
                  <c:v>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333-4FF3-A082-A52D1F741C41}"/>
            </c:ext>
          </c:extLst>
        </c:ser>
        <c:ser>
          <c:idx val="96"/>
          <c:order val="94"/>
          <c:tx>
            <c:strRef>
              <c:f>Days_Since_100!$H$98</c:f>
              <c:strCache>
                <c:ptCount val="1"/>
                <c:pt idx="0">
                  <c:v>Kazakhstan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Days_Since_100!$I$98:$KU$98</c:f>
              <c:numCache>
                <c:formatCode>General</c:formatCode>
                <c:ptCount val="299"/>
                <c:pt idx="0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333-4FF3-A082-A52D1F741C41}"/>
            </c:ext>
          </c:extLst>
        </c:ser>
        <c:ser>
          <c:idx val="97"/>
          <c:order val="95"/>
          <c:tx>
            <c:strRef>
              <c:f>Days_Since_100!$H$99</c:f>
              <c:strCache>
                <c:ptCount val="1"/>
                <c:pt idx="0">
                  <c:v>Oman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Days_Since_100!$I$99:$KU$99</c:f>
              <c:numCache>
                <c:formatCode>General</c:formatCode>
                <c:ptCount val="299"/>
                <c:pt idx="0">
                  <c:v>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333-4FF3-A082-A52D1F741C41}"/>
            </c:ext>
          </c:extLst>
        </c:ser>
        <c:ser>
          <c:idx val="98"/>
          <c:order val="96"/>
          <c:tx>
            <c:strRef>
              <c:f>Days_Since_100!$H$100</c:f>
              <c:strCache>
                <c:ptCount val="1"/>
                <c:pt idx="0">
                  <c:v>Sri Lanka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Days_Since_100!$I$100:$KU$100</c:f>
              <c:numCache>
                <c:formatCode>General</c:formatCode>
                <c:ptCount val="299"/>
                <c:pt idx="0">
                  <c:v>102</c:v>
                </c:pt>
                <c:pt idx="1">
                  <c:v>102</c:v>
                </c:pt>
                <c:pt idx="2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333-4FF3-A082-A52D1F741C41}"/>
            </c:ext>
          </c:extLst>
        </c:ser>
        <c:ser>
          <c:idx val="99"/>
          <c:order val="97"/>
          <c:tx>
            <c:strRef>
              <c:f>Days_Since_100!$H$101</c:f>
              <c:strCache>
                <c:ptCount val="1"/>
                <c:pt idx="0">
                  <c:v>Senegal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Days_Since_100!$I$101:$KU$101</c:f>
              <c:numCache>
                <c:formatCode>General</c:formatCode>
                <c:ptCount val="299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333-4FF3-A082-A52D1F741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3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1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352132024111191"/>
          <c:y val="7.8034561373258995E-2"/>
          <c:w val="0.1764786797588882"/>
          <c:h val="0.810187305422091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 of deaths: Country by day since 10th death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75514259891099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Deaths_since_10!$I$2:$KU$2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15</c:v>
                </c:pt>
                <c:pt idx="2">
                  <c:v>22.5</c:v>
                </c:pt>
                <c:pt idx="3">
                  <c:v>33.75</c:v>
                </c:pt>
                <c:pt idx="4">
                  <c:v>50.625</c:v>
                </c:pt>
                <c:pt idx="5">
                  <c:v>75.9375</c:v>
                </c:pt>
                <c:pt idx="6">
                  <c:v>113.90625</c:v>
                </c:pt>
                <c:pt idx="7">
                  <c:v>170.859375</c:v>
                </c:pt>
                <c:pt idx="8">
                  <c:v>256.2890625</c:v>
                </c:pt>
                <c:pt idx="9">
                  <c:v>384.43359375</c:v>
                </c:pt>
                <c:pt idx="10">
                  <c:v>576.650390625</c:v>
                </c:pt>
                <c:pt idx="11">
                  <c:v>864.9755859375</c:v>
                </c:pt>
                <c:pt idx="12">
                  <c:v>1297.46337890625</c:v>
                </c:pt>
                <c:pt idx="13">
                  <c:v>1946.195068359375</c:v>
                </c:pt>
                <c:pt idx="14">
                  <c:v>2919.2926025390625</c:v>
                </c:pt>
                <c:pt idx="15">
                  <c:v>4378.9389038085938</c:v>
                </c:pt>
                <c:pt idx="16">
                  <c:v>6568.4083557128906</c:v>
                </c:pt>
                <c:pt idx="17">
                  <c:v>9852.6125335693359</c:v>
                </c:pt>
                <c:pt idx="18">
                  <c:v>14778.918800354004</c:v>
                </c:pt>
                <c:pt idx="19">
                  <c:v>22168.378200531006</c:v>
                </c:pt>
                <c:pt idx="20">
                  <c:v>33252.567300796509</c:v>
                </c:pt>
                <c:pt idx="21">
                  <c:v>49878.850951194763</c:v>
                </c:pt>
                <c:pt idx="22">
                  <c:v>74818.276426792145</c:v>
                </c:pt>
                <c:pt idx="23">
                  <c:v>112227.41464018822</c:v>
                </c:pt>
                <c:pt idx="24">
                  <c:v>168341.12196028233</c:v>
                </c:pt>
                <c:pt idx="25">
                  <c:v>252511.68294042349</c:v>
                </c:pt>
                <c:pt idx="26">
                  <c:v>378767.52441063523</c:v>
                </c:pt>
                <c:pt idx="27">
                  <c:v>568151.28661595285</c:v>
                </c:pt>
                <c:pt idx="28">
                  <c:v>852226.92992392927</c:v>
                </c:pt>
                <c:pt idx="29">
                  <c:v>1278340.3948858939</c:v>
                </c:pt>
                <c:pt idx="30">
                  <c:v>1917510.5923288409</c:v>
                </c:pt>
                <c:pt idx="31">
                  <c:v>2876265.8884932613</c:v>
                </c:pt>
                <c:pt idx="32">
                  <c:v>4314398.8327398915</c:v>
                </c:pt>
                <c:pt idx="33">
                  <c:v>6471598.2491098372</c:v>
                </c:pt>
                <c:pt idx="34">
                  <c:v>9707397.3736647554</c:v>
                </c:pt>
                <c:pt idx="35">
                  <c:v>14561096.060497133</c:v>
                </c:pt>
                <c:pt idx="36">
                  <c:v>21841644.090745699</c:v>
                </c:pt>
                <c:pt idx="37">
                  <c:v>32762466.136118546</c:v>
                </c:pt>
                <c:pt idx="38">
                  <c:v>49143699.204177819</c:v>
                </c:pt>
                <c:pt idx="39">
                  <c:v>73715548.806266725</c:v>
                </c:pt>
                <c:pt idx="40">
                  <c:v>110573323.20940009</c:v>
                </c:pt>
                <c:pt idx="41">
                  <c:v>165859984.81410015</c:v>
                </c:pt>
                <c:pt idx="42">
                  <c:v>248789977.22115022</c:v>
                </c:pt>
                <c:pt idx="43">
                  <c:v>373184965.83172536</c:v>
                </c:pt>
                <c:pt idx="44">
                  <c:v>559777448.74758804</c:v>
                </c:pt>
                <c:pt idx="45">
                  <c:v>839666173.121382</c:v>
                </c:pt>
                <c:pt idx="46">
                  <c:v>1259499259.6820731</c:v>
                </c:pt>
                <c:pt idx="47">
                  <c:v>1889248889.5231097</c:v>
                </c:pt>
                <c:pt idx="48">
                  <c:v>2833873334.2846646</c:v>
                </c:pt>
                <c:pt idx="49">
                  <c:v>4250810001.4269972</c:v>
                </c:pt>
                <c:pt idx="50">
                  <c:v>6376215002.1404953</c:v>
                </c:pt>
                <c:pt idx="51">
                  <c:v>9564322503.210743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Deaths_since_10!$I$3:$KU$3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14</c:v>
                </c:pt>
                <c:pt idx="2">
                  <c:v>19.599999999999998</c:v>
                </c:pt>
                <c:pt idx="3">
                  <c:v>27.439999999999994</c:v>
                </c:pt>
                <c:pt idx="4">
                  <c:v>38.41599999999999</c:v>
                </c:pt>
                <c:pt idx="5">
                  <c:v>53.782399999999981</c:v>
                </c:pt>
                <c:pt idx="6">
                  <c:v>75.295359999999974</c:v>
                </c:pt>
                <c:pt idx="7">
                  <c:v>105.41350399999996</c:v>
                </c:pt>
                <c:pt idx="8">
                  <c:v>147.57890559999993</c:v>
                </c:pt>
                <c:pt idx="9">
                  <c:v>206.6104678399999</c:v>
                </c:pt>
                <c:pt idx="10">
                  <c:v>289.25465497599981</c:v>
                </c:pt>
                <c:pt idx="11">
                  <c:v>404.9565169663997</c:v>
                </c:pt>
                <c:pt idx="12">
                  <c:v>566.93912375295952</c:v>
                </c:pt>
                <c:pt idx="13">
                  <c:v>793.71477325414332</c:v>
                </c:pt>
                <c:pt idx="14">
                  <c:v>1111.2006825558005</c:v>
                </c:pt>
                <c:pt idx="15">
                  <c:v>1555.6809555781206</c:v>
                </c:pt>
                <c:pt idx="16">
                  <c:v>2177.9533378093688</c:v>
                </c:pt>
                <c:pt idx="17">
                  <c:v>3049.1346729331162</c:v>
                </c:pt>
                <c:pt idx="18">
                  <c:v>4268.7885421063629</c:v>
                </c:pt>
                <c:pt idx="19">
                  <c:v>5976.3039589489081</c:v>
                </c:pt>
                <c:pt idx="20">
                  <c:v>8366.8255425284715</c:v>
                </c:pt>
                <c:pt idx="21">
                  <c:v>11713.555759539859</c:v>
                </c:pt>
                <c:pt idx="22">
                  <c:v>16398.9780633558</c:v>
                </c:pt>
                <c:pt idx="23">
                  <c:v>22958.56928869812</c:v>
                </c:pt>
                <c:pt idx="24">
                  <c:v>32141.997004177367</c:v>
                </c:pt>
                <c:pt idx="25">
                  <c:v>44998.795805848313</c:v>
                </c:pt>
                <c:pt idx="26">
                  <c:v>62998.314128187631</c:v>
                </c:pt>
                <c:pt idx="27">
                  <c:v>88197.639779462683</c:v>
                </c:pt>
                <c:pt idx="28">
                  <c:v>123476.69569124775</c:v>
                </c:pt>
                <c:pt idx="29">
                  <c:v>172867.37396774683</c:v>
                </c:pt>
                <c:pt idx="30">
                  <c:v>242014.32355484553</c:v>
                </c:pt>
                <c:pt idx="31">
                  <c:v>338820.05297678371</c:v>
                </c:pt>
                <c:pt idx="32">
                  <c:v>474348.07416749717</c:v>
                </c:pt>
                <c:pt idx="33">
                  <c:v>664087.30383449595</c:v>
                </c:pt>
                <c:pt idx="34">
                  <c:v>929722.22536829428</c:v>
                </c:pt>
                <c:pt idx="35">
                  <c:v>1301611.1155156118</c:v>
                </c:pt>
                <c:pt idx="36">
                  <c:v>1822255.5617218565</c:v>
                </c:pt>
                <c:pt idx="37">
                  <c:v>2551157.786410599</c:v>
                </c:pt>
                <c:pt idx="38">
                  <c:v>3571620.9009748385</c:v>
                </c:pt>
                <c:pt idx="39">
                  <c:v>5000269.2613647738</c:v>
                </c:pt>
                <c:pt idx="40">
                  <c:v>7000376.9659106834</c:v>
                </c:pt>
                <c:pt idx="41">
                  <c:v>9800527.7522749566</c:v>
                </c:pt>
                <c:pt idx="42">
                  <c:v>13720738.853184938</c:v>
                </c:pt>
                <c:pt idx="43">
                  <c:v>19209034.394458912</c:v>
                </c:pt>
                <c:pt idx="44">
                  <c:v>26892648.152242474</c:v>
                </c:pt>
                <c:pt idx="45">
                  <c:v>37649707.413139462</c:v>
                </c:pt>
                <c:pt idx="46">
                  <c:v>52709590.378395244</c:v>
                </c:pt>
                <c:pt idx="47">
                  <c:v>73793426.529753342</c:v>
                </c:pt>
                <c:pt idx="48">
                  <c:v>103310797.14165467</c:v>
                </c:pt>
                <c:pt idx="49">
                  <c:v>144635115.99831653</c:v>
                </c:pt>
                <c:pt idx="50">
                  <c:v>202489162.39764312</c:v>
                </c:pt>
                <c:pt idx="51">
                  <c:v>283484827.35670036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Deaths_since_10!$I$4:$KU$4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13</c:v>
                </c:pt>
                <c:pt idx="2">
                  <c:v>16.900000000000002</c:v>
                </c:pt>
                <c:pt idx="3">
                  <c:v>21.970000000000002</c:v>
                </c:pt>
                <c:pt idx="4">
                  <c:v>28.561000000000003</c:v>
                </c:pt>
                <c:pt idx="5">
                  <c:v>37.129300000000008</c:v>
                </c:pt>
                <c:pt idx="6">
                  <c:v>48.268090000000015</c:v>
                </c:pt>
                <c:pt idx="7">
                  <c:v>62.748517000000021</c:v>
                </c:pt>
                <c:pt idx="8">
                  <c:v>81.573072100000033</c:v>
                </c:pt>
                <c:pt idx="9">
                  <c:v>106.04499373000004</c:v>
                </c:pt>
                <c:pt idx="10">
                  <c:v>137.85849184900007</c:v>
                </c:pt>
                <c:pt idx="11">
                  <c:v>179.21603940370011</c:v>
                </c:pt>
                <c:pt idx="12">
                  <c:v>232.98085122481015</c:v>
                </c:pt>
                <c:pt idx="13">
                  <c:v>302.87510659225319</c:v>
                </c:pt>
                <c:pt idx="14">
                  <c:v>393.73763856992917</c:v>
                </c:pt>
                <c:pt idx="15">
                  <c:v>511.85893014090794</c:v>
                </c:pt>
                <c:pt idx="16">
                  <c:v>665.4166091831803</c:v>
                </c:pt>
                <c:pt idx="17">
                  <c:v>865.04159193813439</c:v>
                </c:pt>
                <c:pt idx="18">
                  <c:v>1124.5540695195748</c:v>
                </c:pt>
                <c:pt idx="19">
                  <c:v>1461.9202903754474</c:v>
                </c:pt>
                <c:pt idx="20">
                  <c:v>1900.4963774880816</c:v>
                </c:pt>
                <c:pt idx="21">
                  <c:v>2470.645290734506</c:v>
                </c:pt>
                <c:pt idx="22">
                  <c:v>3211.8388779548582</c:v>
                </c:pt>
                <c:pt idx="23">
                  <c:v>4175.3905413413158</c:v>
                </c:pt>
                <c:pt idx="24">
                  <c:v>5428.0077037437104</c:v>
                </c:pt>
                <c:pt idx="25">
                  <c:v>7056.410014866824</c:v>
                </c:pt>
                <c:pt idx="26">
                  <c:v>9173.3330193268721</c:v>
                </c:pt>
                <c:pt idx="27">
                  <c:v>11925.332925124934</c:v>
                </c:pt>
                <c:pt idx="28">
                  <c:v>15502.932802662415</c:v>
                </c:pt>
                <c:pt idx="29">
                  <c:v>20153.81264346114</c:v>
                </c:pt>
                <c:pt idx="30">
                  <c:v>26199.956436499484</c:v>
                </c:pt>
                <c:pt idx="31">
                  <c:v>34059.943367449334</c:v>
                </c:pt>
                <c:pt idx="32">
                  <c:v>44277.926377684133</c:v>
                </c:pt>
                <c:pt idx="33">
                  <c:v>57561.304290989377</c:v>
                </c:pt>
                <c:pt idx="34">
                  <c:v>74829.695578286191</c:v>
                </c:pt>
                <c:pt idx="35">
                  <c:v>97278.604251772049</c:v>
                </c:pt>
                <c:pt idx="36">
                  <c:v>126462.18552730366</c:v>
                </c:pt>
                <c:pt idx="37">
                  <c:v>164400.84118549476</c:v>
                </c:pt>
                <c:pt idx="38">
                  <c:v>213721.0935411432</c:v>
                </c:pt>
                <c:pt idx="39">
                  <c:v>277837.42160348617</c:v>
                </c:pt>
                <c:pt idx="40">
                  <c:v>361188.64808453206</c:v>
                </c:pt>
                <c:pt idx="41">
                  <c:v>469545.24250989169</c:v>
                </c:pt>
                <c:pt idx="42">
                  <c:v>610408.81526285922</c:v>
                </c:pt>
                <c:pt idx="43">
                  <c:v>793531.45984171703</c:v>
                </c:pt>
                <c:pt idx="44">
                  <c:v>1031590.8977942322</c:v>
                </c:pt>
                <c:pt idx="45">
                  <c:v>1341068.167132502</c:v>
                </c:pt>
                <c:pt idx="46">
                  <c:v>1743388.6172722527</c:v>
                </c:pt>
                <c:pt idx="47">
                  <c:v>2266405.2024539285</c:v>
                </c:pt>
                <c:pt idx="48">
                  <c:v>2946326.7631901074</c:v>
                </c:pt>
                <c:pt idx="49">
                  <c:v>3830224.7921471396</c:v>
                </c:pt>
                <c:pt idx="50">
                  <c:v>4979292.2297912817</c:v>
                </c:pt>
                <c:pt idx="51">
                  <c:v>6473079.8987286668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Deaths_since_10!$H$5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Deaths_since_10!$I$5:$KU$5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Deaths_since_10!$H$6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Deaths_since_10!$I$6:$KU$6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Deaths_since_10!$H$7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Deaths_since_10!$I$7:$KU$7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Deaths_since_10!$H$8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Deaths_since_10!$I$8:$KU$8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ser>
          <c:idx val="7"/>
          <c:order val="7"/>
          <c:tx>
            <c:strRef>
              <c:f>Deaths_since_10!$H$9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Deaths_since_10!$I$9:$KU$9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4A4-4F6C-8D83-87B5EFF491BA}"/>
            </c:ext>
          </c:extLst>
        </c:ser>
        <c:ser>
          <c:idx val="8"/>
          <c:order val="8"/>
          <c:tx>
            <c:strRef>
              <c:f>Deaths_since_10!$H$10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Deaths_since_10!$I$10:$KU$10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4A4-4F6C-8D83-87B5EFF491BA}"/>
            </c:ext>
          </c:extLst>
        </c:ser>
        <c:ser>
          <c:idx val="9"/>
          <c:order val="9"/>
          <c:tx>
            <c:strRef>
              <c:f>Deaths_since_10!$H$11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Deaths_since_10!$I$11:$KU$11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4A4-4F6C-8D83-87B5EFF491BA}"/>
            </c:ext>
          </c:extLst>
        </c:ser>
        <c:ser>
          <c:idx val="10"/>
          <c:order val="10"/>
          <c:tx>
            <c:strRef>
              <c:f>Deaths_since_10!$H$12</c:f>
              <c:strCache>
                <c:ptCount val="1"/>
                <c:pt idx="0">
                  <c:v>Europe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Deaths_since_10!$I$12:$KU$12</c:f>
              <c:numCache>
                <c:formatCode>General</c:formatCode>
                <c:ptCount val="299"/>
                <c:pt idx="0">
                  <c:v>8</c:v>
                </c:pt>
                <c:pt idx="1">
                  <c:v>11</c:v>
                </c:pt>
                <c:pt idx="2">
                  <c:v>14</c:v>
                </c:pt>
                <c:pt idx="3">
                  <c:v>19</c:v>
                </c:pt>
                <c:pt idx="4">
                  <c:v>23</c:v>
                </c:pt>
                <c:pt idx="5">
                  <c:v>31</c:v>
                </c:pt>
                <c:pt idx="6">
                  <c:v>36</c:v>
                </c:pt>
                <c:pt idx="7">
                  <c:v>55</c:v>
                </c:pt>
                <c:pt idx="8">
                  <c:v>85</c:v>
                </c:pt>
                <c:pt idx="9">
                  <c:v>114</c:v>
                </c:pt>
                <c:pt idx="10">
                  <c:v>160</c:v>
                </c:pt>
                <c:pt idx="11">
                  <c:v>216</c:v>
                </c:pt>
                <c:pt idx="12">
                  <c:v>259</c:v>
                </c:pt>
                <c:pt idx="13">
                  <c:v>411</c:v>
                </c:pt>
                <c:pt idx="14">
                  <c:v>522</c:v>
                </c:pt>
                <c:pt idx="15">
                  <c:v>716</c:v>
                </c:pt>
                <c:pt idx="16">
                  <c:v>959</c:v>
                </c:pt>
                <c:pt idx="17">
                  <c:v>1198</c:v>
                </c:pt>
                <c:pt idx="18">
                  <c:v>1534</c:v>
                </c:pt>
                <c:pt idx="19">
                  <c:v>1812</c:v>
                </c:pt>
                <c:pt idx="20">
                  <c:v>2344</c:v>
                </c:pt>
                <c:pt idx="21">
                  <c:v>2804</c:v>
                </c:pt>
                <c:pt idx="22">
                  <c:v>3433</c:v>
                </c:pt>
                <c:pt idx="23">
                  <c:v>4160</c:v>
                </c:pt>
                <c:pt idx="24">
                  <c:v>5006</c:v>
                </c:pt>
                <c:pt idx="25">
                  <c:v>6065</c:v>
                </c:pt>
                <c:pt idx="26">
                  <c:v>7499</c:v>
                </c:pt>
                <c:pt idx="27">
                  <c:v>8839</c:v>
                </c:pt>
                <c:pt idx="28">
                  <c:v>10371</c:v>
                </c:pt>
                <c:pt idx="29">
                  <c:v>12139</c:v>
                </c:pt>
                <c:pt idx="30">
                  <c:v>14236</c:v>
                </c:pt>
                <c:pt idx="31">
                  <c:v>16470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4A4-4F6C-8D83-87B5EFF491BA}"/>
            </c:ext>
          </c:extLst>
        </c:ser>
        <c:ser>
          <c:idx val="11"/>
          <c:order val="11"/>
          <c:tx>
            <c:strRef>
              <c:f>Deaths_since_10!$H$13</c:f>
              <c:strCache>
                <c:ptCount val="1"/>
                <c:pt idx="0">
                  <c:v>World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Deaths_since_10!$I$13:$KU$13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362</c:v>
                </c:pt>
                <c:pt idx="12">
                  <c:v>426</c:v>
                </c:pt>
                <c:pt idx="13">
                  <c:v>492</c:v>
                </c:pt>
                <c:pt idx="14">
                  <c:v>564</c:v>
                </c:pt>
                <c:pt idx="15">
                  <c:v>634</c:v>
                </c:pt>
                <c:pt idx="16">
                  <c:v>719</c:v>
                </c:pt>
                <c:pt idx="17">
                  <c:v>806</c:v>
                </c:pt>
                <c:pt idx="18">
                  <c:v>906</c:v>
                </c:pt>
                <c:pt idx="19">
                  <c:v>1013</c:v>
                </c:pt>
                <c:pt idx="20">
                  <c:v>1113</c:v>
                </c:pt>
                <c:pt idx="21">
                  <c:v>1118</c:v>
                </c:pt>
                <c:pt idx="22">
                  <c:v>1371</c:v>
                </c:pt>
                <c:pt idx="23">
                  <c:v>1523</c:v>
                </c:pt>
                <c:pt idx="24">
                  <c:v>1666</c:v>
                </c:pt>
                <c:pt idx="25">
                  <c:v>1770</c:v>
                </c:pt>
                <c:pt idx="26">
                  <c:v>1868</c:v>
                </c:pt>
                <c:pt idx="27">
                  <c:v>2007</c:v>
                </c:pt>
                <c:pt idx="28">
                  <c:v>2122</c:v>
                </c:pt>
                <c:pt idx="29">
                  <c:v>2245</c:v>
                </c:pt>
                <c:pt idx="30">
                  <c:v>2249</c:v>
                </c:pt>
                <c:pt idx="31">
                  <c:v>2456</c:v>
                </c:pt>
                <c:pt idx="32">
                  <c:v>2466</c:v>
                </c:pt>
                <c:pt idx="33">
                  <c:v>2626</c:v>
                </c:pt>
                <c:pt idx="34">
                  <c:v>2705</c:v>
                </c:pt>
                <c:pt idx="35">
                  <c:v>2766</c:v>
                </c:pt>
                <c:pt idx="36">
                  <c:v>2810</c:v>
                </c:pt>
                <c:pt idx="37">
                  <c:v>2866</c:v>
                </c:pt>
                <c:pt idx="38">
                  <c:v>2935</c:v>
                </c:pt>
                <c:pt idx="39">
                  <c:v>2990</c:v>
                </c:pt>
                <c:pt idx="40">
                  <c:v>3079</c:v>
                </c:pt>
                <c:pt idx="41">
                  <c:v>3154</c:v>
                </c:pt>
                <c:pt idx="42">
                  <c:v>3248</c:v>
                </c:pt>
                <c:pt idx="43">
                  <c:v>3342</c:v>
                </c:pt>
                <c:pt idx="44">
                  <c:v>3454</c:v>
                </c:pt>
                <c:pt idx="45">
                  <c:v>3552</c:v>
                </c:pt>
                <c:pt idx="46">
                  <c:v>3796</c:v>
                </c:pt>
                <c:pt idx="47">
                  <c:v>3982</c:v>
                </c:pt>
                <c:pt idx="48">
                  <c:v>4256</c:v>
                </c:pt>
                <c:pt idx="49">
                  <c:v>4608</c:v>
                </c:pt>
                <c:pt idx="50">
                  <c:v>4948</c:v>
                </c:pt>
                <c:pt idx="51">
                  <c:v>5400</c:v>
                </c:pt>
                <c:pt idx="52">
                  <c:v>5812</c:v>
                </c:pt>
                <c:pt idx="53">
                  <c:v>6483</c:v>
                </c:pt>
                <c:pt idx="54">
                  <c:v>7118</c:v>
                </c:pt>
                <c:pt idx="55">
                  <c:v>7938</c:v>
                </c:pt>
                <c:pt idx="56">
                  <c:v>8872</c:v>
                </c:pt>
                <c:pt idx="57">
                  <c:v>9987</c:v>
                </c:pt>
                <c:pt idx="58">
                  <c:v>11290</c:v>
                </c:pt>
                <c:pt idx="59">
                  <c:v>12961</c:v>
                </c:pt>
                <c:pt idx="60">
                  <c:v>14638</c:v>
                </c:pt>
                <c:pt idx="61">
                  <c:v>16488</c:v>
                </c:pt>
                <c:pt idx="62">
                  <c:v>18605</c:v>
                </c:pt>
                <c:pt idx="63">
                  <c:v>21157</c:v>
                </c:pt>
                <c:pt idx="64">
                  <c:v>23944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4A4-4F6C-8D83-87B5EFF491BA}"/>
            </c:ext>
          </c:extLst>
        </c:ser>
        <c:ser>
          <c:idx val="12"/>
          <c:order val="12"/>
          <c:tx>
            <c:strRef>
              <c:f>Deaths_since_10!$H$14</c:f>
              <c:strCache>
                <c:ptCount val="1"/>
                <c:pt idx="0">
                  <c:v>Asia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Deaths_since_10!$I$14:$KU$14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362</c:v>
                </c:pt>
                <c:pt idx="12">
                  <c:v>426</c:v>
                </c:pt>
                <c:pt idx="13">
                  <c:v>492</c:v>
                </c:pt>
                <c:pt idx="14">
                  <c:v>564</c:v>
                </c:pt>
                <c:pt idx="15">
                  <c:v>634</c:v>
                </c:pt>
                <c:pt idx="16">
                  <c:v>719</c:v>
                </c:pt>
                <c:pt idx="17">
                  <c:v>806</c:v>
                </c:pt>
                <c:pt idx="18">
                  <c:v>906</c:v>
                </c:pt>
                <c:pt idx="19">
                  <c:v>1013</c:v>
                </c:pt>
                <c:pt idx="20">
                  <c:v>1113</c:v>
                </c:pt>
                <c:pt idx="21">
                  <c:v>1118</c:v>
                </c:pt>
                <c:pt idx="22">
                  <c:v>1371</c:v>
                </c:pt>
                <c:pt idx="23">
                  <c:v>1523</c:v>
                </c:pt>
                <c:pt idx="24">
                  <c:v>1665</c:v>
                </c:pt>
                <c:pt idx="25">
                  <c:v>1769</c:v>
                </c:pt>
                <c:pt idx="26">
                  <c:v>1867</c:v>
                </c:pt>
                <c:pt idx="27">
                  <c:v>2006</c:v>
                </c:pt>
                <c:pt idx="28">
                  <c:v>2119</c:v>
                </c:pt>
                <c:pt idx="29">
                  <c:v>2242</c:v>
                </c:pt>
                <c:pt idx="30">
                  <c:v>2243</c:v>
                </c:pt>
                <c:pt idx="31">
                  <c:v>2448</c:v>
                </c:pt>
                <c:pt idx="32">
                  <c:v>2454</c:v>
                </c:pt>
                <c:pt idx="33">
                  <c:v>2606</c:v>
                </c:pt>
                <c:pt idx="34">
                  <c:v>2678</c:v>
                </c:pt>
                <c:pt idx="35">
                  <c:v>2733</c:v>
                </c:pt>
                <c:pt idx="36">
                  <c:v>2765</c:v>
                </c:pt>
                <c:pt idx="37">
                  <c:v>2809</c:v>
                </c:pt>
                <c:pt idx="38">
                  <c:v>2860</c:v>
                </c:pt>
                <c:pt idx="39">
                  <c:v>2898</c:v>
                </c:pt>
                <c:pt idx="40">
                  <c:v>2951</c:v>
                </c:pt>
                <c:pt idx="41">
                  <c:v>2984</c:v>
                </c:pt>
                <c:pt idx="42">
                  <c:v>3027</c:v>
                </c:pt>
                <c:pt idx="43">
                  <c:v>3059</c:v>
                </c:pt>
                <c:pt idx="44">
                  <c:v>3095</c:v>
                </c:pt>
                <c:pt idx="45">
                  <c:v>3125</c:v>
                </c:pt>
                <c:pt idx="46">
                  <c:v>3159</c:v>
                </c:pt>
                <c:pt idx="47">
                  <c:v>3189</c:v>
                </c:pt>
                <c:pt idx="48">
                  <c:v>3206</c:v>
                </c:pt>
                <c:pt idx="49">
                  <c:v>3241</c:v>
                </c:pt>
                <c:pt idx="50">
                  <c:v>3260</c:v>
                </c:pt>
                <c:pt idx="51">
                  <c:v>3279</c:v>
                </c:pt>
                <c:pt idx="52">
                  <c:v>3305</c:v>
                </c:pt>
                <c:pt idx="53">
                  <c:v>3321</c:v>
                </c:pt>
                <c:pt idx="54">
                  <c:v>3341</c:v>
                </c:pt>
                <c:pt idx="55">
                  <c:v>3365</c:v>
                </c:pt>
                <c:pt idx="56">
                  <c:v>3401</c:v>
                </c:pt>
                <c:pt idx="57">
                  <c:v>3424</c:v>
                </c:pt>
                <c:pt idx="58">
                  <c:v>3450</c:v>
                </c:pt>
                <c:pt idx="59">
                  <c:v>3473</c:v>
                </c:pt>
                <c:pt idx="60">
                  <c:v>3530</c:v>
                </c:pt>
                <c:pt idx="61">
                  <c:v>3549</c:v>
                </c:pt>
                <c:pt idx="62">
                  <c:v>3581</c:v>
                </c:pt>
                <c:pt idx="63">
                  <c:v>3610</c:v>
                </c:pt>
                <c:pt idx="64">
                  <c:v>3664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4A4-4F6C-8D83-87B5EFF491BA}"/>
            </c:ext>
          </c:extLst>
        </c:ser>
        <c:ser>
          <c:idx val="13"/>
          <c:order val="13"/>
          <c:tx>
            <c:strRef>
              <c:f>Deaths_since_10!$H$15</c:f>
              <c:strCache>
                <c:ptCount val="1"/>
                <c:pt idx="0">
                  <c:v>Middle East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Deaths_since_10!$I$15:$KU$15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26</c:v>
                </c:pt>
                <c:pt idx="5">
                  <c:v>34</c:v>
                </c:pt>
                <c:pt idx="6">
                  <c:v>43</c:v>
                </c:pt>
                <c:pt idx="7">
                  <c:v>54</c:v>
                </c:pt>
                <c:pt idx="8">
                  <c:v>66</c:v>
                </c:pt>
                <c:pt idx="9">
                  <c:v>77</c:v>
                </c:pt>
                <c:pt idx="10">
                  <c:v>94</c:v>
                </c:pt>
                <c:pt idx="11">
                  <c:v>109</c:v>
                </c:pt>
                <c:pt idx="12">
                  <c:v>127</c:v>
                </c:pt>
                <c:pt idx="13">
                  <c:v>149</c:v>
                </c:pt>
                <c:pt idx="14">
                  <c:v>200</c:v>
                </c:pt>
                <c:pt idx="15">
                  <c:v>243</c:v>
                </c:pt>
                <c:pt idx="16">
                  <c:v>299</c:v>
                </c:pt>
                <c:pt idx="17">
                  <c:v>364</c:v>
                </c:pt>
                <c:pt idx="18">
                  <c:v>440</c:v>
                </c:pt>
                <c:pt idx="19">
                  <c:v>526</c:v>
                </c:pt>
                <c:pt idx="20">
                  <c:v>624</c:v>
                </c:pt>
                <c:pt idx="21">
                  <c:v>737</c:v>
                </c:pt>
                <c:pt idx="22">
                  <c:v>867</c:v>
                </c:pt>
                <c:pt idx="23">
                  <c:v>1003</c:v>
                </c:pt>
                <c:pt idx="24">
                  <c:v>1151</c:v>
                </c:pt>
                <c:pt idx="25">
                  <c:v>1302</c:v>
                </c:pt>
                <c:pt idx="26">
                  <c:v>1457</c:v>
                </c:pt>
                <c:pt idx="27">
                  <c:v>1581</c:v>
                </c:pt>
                <c:pt idx="28">
                  <c:v>1715</c:v>
                </c:pt>
                <c:pt idx="29">
                  <c:v>1845</c:v>
                </c:pt>
                <c:pt idx="30">
                  <c:v>1975</c:v>
                </c:pt>
                <c:pt idx="31">
                  <c:v>2127</c:v>
                </c:pt>
                <c:pt idx="32">
                  <c:v>2297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4A4-4F6C-8D83-87B5EFF491BA}"/>
            </c:ext>
          </c:extLst>
        </c:ser>
        <c:ser>
          <c:idx val="14"/>
          <c:order val="14"/>
          <c:tx>
            <c:strRef>
              <c:f>Deaths_since_10!$H$16</c:f>
              <c:strCache>
                <c:ptCount val="1"/>
                <c:pt idx="0">
                  <c:v>Iran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Deaths_since_10!$I$16:$KU$16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26</c:v>
                </c:pt>
                <c:pt idx="5">
                  <c:v>34</c:v>
                </c:pt>
                <c:pt idx="6">
                  <c:v>43</c:v>
                </c:pt>
                <c:pt idx="7">
                  <c:v>54</c:v>
                </c:pt>
                <c:pt idx="8">
                  <c:v>66</c:v>
                </c:pt>
                <c:pt idx="9">
                  <c:v>77</c:v>
                </c:pt>
                <c:pt idx="10">
                  <c:v>92</c:v>
                </c:pt>
                <c:pt idx="11">
                  <c:v>107</c:v>
                </c:pt>
                <c:pt idx="12">
                  <c:v>124</c:v>
                </c:pt>
                <c:pt idx="13">
                  <c:v>145</c:v>
                </c:pt>
                <c:pt idx="14">
                  <c:v>194</c:v>
                </c:pt>
                <c:pt idx="15">
                  <c:v>237</c:v>
                </c:pt>
                <c:pt idx="16">
                  <c:v>291</c:v>
                </c:pt>
                <c:pt idx="17">
                  <c:v>354</c:v>
                </c:pt>
                <c:pt idx="18">
                  <c:v>429</c:v>
                </c:pt>
                <c:pt idx="19">
                  <c:v>514</c:v>
                </c:pt>
                <c:pt idx="20">
                  <c:v>611</c:v>
                </c:pt>
                <c:pt idx="21">
                  <c:v>724</c:v>
                </c:pt>
                <c:pt idx="22">
                  <c:v>853</c:v>
                </c:pt>
                <c:pt idx="23">
                  <c:v>988</c:v>
                </c:pt>
                <c:pt idx="24">
                  <c:v>1135</c:v>
                </c:pt>
                <c:pt idx="25">
                  <c:v>1284</c:v>
                </c:pt>
                <c:pt idx="26">
                  <c:v>1433</c:v>
                </c:pt>
                <c:pt idx="27">
                  <c:v>1556</c:v>
                </c:pt>
                <c:pt idx="28">
                  <c:v>1685</c:v>
                </c:pt>
                <c:pt idx="29">
                  <c:v>1812</c:v>
                </c:pt>
                <c:pt idx="30">
                  <c:v>1934</c:v>
                </c:pt>
                <c:pt idx="31">
                  <c:v>2077</c:v>
                </c:pt>
                <c:pt idx="32">
                  <c:v>2234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4A4-4F6C-8D83-87B5EFF491BA}"/>
            </c:ext>
          </c:extLst>
        </c:ser>
        <c:ser>
          <c:idx val="15"/>
          <c:order val="15"/>
          <c:tx>
            <c:strRef>
              <c:f>Deaths_since_10!$H$17</c:f>
              <c:strCache>
                <c:ptCount val="1"/>
                <c:pt idx="0">
                  <c:v>North America</c:v>
                </c:pt>
              </c:strCache>
            </c:strRef>
          </c:tx>
          <c:spPr>
            <a:ln w="31750" cap="rnd" cmpd="sng" algn="ctr">
              <a:solidFill>
                <a:srgbClr val="00206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Deaths_since_10!$I$17:$KU$17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23</c:v>
                </c:pt>
                <c:pt idx="6">
                  <c:v>29</c:v>
                </c:pt>
                <c:pt idx="7">
                  <c:v>38</c:v>
                </c:pt>
                <c:pt idx="8">
                  <c:v>42</c:v>
                </c:pt>
                <c:pt idx="9">
                  <c:v>49</c:v>
                </c:pt>
                <c:pt idx="10">
                  <c:v>56</c:v>
                </c:pt>
                <c:pt idx="11">
                  <c:v>65</c:v>
                </c:pt>
                <c:pt idx="12">
                  <c:v>90</c:v>
                </c:pt>
                <c:pt idx="13">
                  <c:v>114</c:v>
                </c:pt>
                <c:pt idx="14">
                  <c:v>128</c:v>
                </c:pt>
                <c:pt idx="15">
                  <c:v>214</c:v>
                </c:pt>
                <c:pt idx="16">
                  <c:v>261</c:v>
                </c:pt>
                <c:pt idx="17">
                  <c:v>333</c:v>
                </c:pt>
                <c:pt idx="18">
                  <c:v>447</c:v>
                </c:pt>
                <c:pt idx="19">
                  <c:v>595</c:v>
                </c:pt>
                <c:pt idx="20">
                  <c:v>746</c:v>
                </c:pt>
                <c:pt idx="21">
                  <c:v>989</c:v>
                </c:pt>
                <c:pt idx="22">
                  <c:v>1266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4A4-4F6C-8D83-87B5EFF491BA}"/>
            </c:ext>
          </c:extLst>
        </c:ser>
        <c:ser>
          <c:idx val="16"/>
          <c:order val="16"/>
          <c:tx>
            <c:strRef>
              <c:f>Deaths_since_10!$H$18</c:f>
              <c:strCache>
                <c:ptCount val="1"/>
                <c:pt idx="0">
                  <c:v>Netherlands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Deaths_since_10!$I$18:$KU$18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20</c:v>
                </c:pt>
                <c:pt idx="3">
                  <c:v>24</c:v>
                </c:pt>
                <c:pt idx="4">
                  <c:v>43</c:v>
                </c:pt>
                <c:pt idx="5">
                  <c:v>58</c:v>
                </c:pt>
                <c:pt idx="6">
                  <c:v>77</c:v>
                </c:pt>
                <c:pt idx="7">
                  <c:v>107</c:v>
                </c:pt>
                <c:pt idx="8">
                  <c:v>137</c:v>
                </c:pt>
                <c:pt idx="9">
                  <c:v>180</c:v>
                </c:pt>
                <c:pt idx="10">
                  <c:v>214</c:v>
                </c:pt>
                <c:pt idx="11">
                  <c:v>277</c:v>
                </c:pt>
                <c:pt idx="12">
                  <c:v>357</c:v>
                </c:pt>
                <c:pt idx="13">
                  <c:v>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4A4-4F6C-8D83-87B5EFF491BA}"/>
            </c:ext>
          </c:extLst>
        </c:ser>
        <c:ser>
          <c:idx val="17"/>
          <c:order val="17"/>
          <c:tx>
            <c:strRef>
              <c:f>Deaths_since_10!$H$19</c:f>
              <c:strCache>
                <c:ptCount val="1"/>
                <c:pt idx="0">
                  <c:v>Belgium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Deaths_since_10!$I$19:$KU$19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21</c:v>
                </c:pt>
                <c:pt idx="3">
                  <c:v>37</c:v>
                </c:pt>
                <c:pt idx="4">
                  <c:v>67</c:v>
                </c:pt>
                <c:pt idx="5">
                  <c:v>75</c:v>
                </c:pt>
                <c:pt idx="6">
                  <c:v>88</c:v>
                </c:pt>
                <c:pt idx="7">
                  <c:v>122</c:v>
                </c:pt>
                <c:pt idx="8">
                  <c:v>178</c:v>
                </c:pt>
                <c:pt idx="9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4A4-4F6C-8D83-87B5EFF491BA}"/>
            </c:ext>
          </c:extLst>
        </c:ser>
        <c:ser>
          <c:idx val="18"/>
          <c:order val="18"/>
          <c:tx>
            <c:strRef>
              <c:f>Deaths_since_10!$H$20</c:f>
              <c:strCache>
                <c:ptCount val="1"/>
                <c:pt idx="0">
                  <c:v>Switzerland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Deaths_since_10!$I$20:$KU$20</c:f>
              <c:numCache>
                <c:formatCode>General</c:formatCode>
                <c:ptCount val="299"/>
                <c:pt idx="0">
                  <c:v>11</c:v>
                </c:pt>
                <c:pt idx="1">
                  <c:v>13</c:v>
                </c:pt>
                <c:pt idx="2">
                  <c:v>14</c:v>
                </c:pt>
                <c:pt idx="3">
                  <c:v>14</c:v>
                </c:pt>
                <c:pt idx="4">
                  <c:v>27</c:v>
                </c:pt>
                <c:pt idx="5">
                  <c:v>28</c:v>
                </c:pt>
                <c:pt idx="6">
                  <c:v>41</c:v>
                </c:pt>
                <c:pt idx="7">
                  <c:v>54</c:v>
                </c:pt>
                <c:pt idx="8">
                  <c:v>75</c:v>
                </c:pt>
                <c:pt idx="9">
                  <c:v>98</c:v>
                </c:pt>
                <c:pt idx="10">
                  <c:v>120</c:v>
                </c:pt>
                <c:pt idx="11">
                  <c:v>122</c:v>
                </c:pt>
                <c:pt idx="12">
                  <c:v>153</c:v>
                </c:pt>
                <c:pt idx="13">
                  <c:v>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4A4-4F6C-8D83-87B5EFF491BA}"/>
            </c:ext>
          </c:extLst>
        </c:ser>
        <c:ser>
          <c:idx val="19"/>
          <c:order val="19"/>
          <c:tx>
            <c:strRef>
              <c:f>Deaths_since_10!$H$21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Deaths_since_10!$I$21:$KU$21</c:f>
              <c:numCache>
                <c:formatCode>General</c:formatCode>
                <c:ptCount val="299"/>
                <c:pt idx="0">
                  <c:v>9</c:v>
                </c:pt>
                <c:pt idx="1">
                  <c:v>15</c:v>
                </c:pt>
                <c:pt idx="2">
                  <c:v>25</c:v>
                </c:pt>
                <c:pt idx="3">
                  <c:v>35</c:v>
                </c:pt>
                <c:pt idx="4">
                  <c:v>56</c:v>
                </c:pt>
                <c:pt idx="5">
                  <c:v>71</c:v>
                </c:pt>
                <c:pt idx="6">
                  <c:v>100</c:v>
                </c:pt>
                <c:pt idx="7">
                  <c:v>125</c:v>
                </c:pt>
                <c:pt idx="8">
                  <c:v>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4A4-4F6C-8D83-87B5EFF491BA}"/>
            </c:ext>
          </c:extLst>
        </c:ser>
        <c:ser>
          <c:idx val="20"/>
          <c:order val="20"/>
          <c:tx>
            <c:strRef>
              <c:f>Deaths_since_10!$H$22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00B0F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Deaths_since_10!$I$22:$KU$22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12</c:v>
                </c:pt>
                <c:pt idx="3">
                  <c:v>13</c:v>
                </c:pt>
                <c:pt idx="4">
                  <c:v>13</c:v>
                </c:pt>
                <c:pt idx="5">
                  <c:v>16</c:v>
                </c:pt>
                <c:pt idx="6">
                  <c:v>17</c:v>
                </c:pt>
                <c:pt idx="7">
                  <c:v>28</c:v>
                </c:pt>
                <c:pt idx="8">
                  <c:v>28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44</c:v>
                </c:pt>
                <c:pt idx="13">
                  <c:v>50</c:v>
                </c:pt>
                <c:pt idx="14">
                  <c:v>53</c:v>
                </c:pt>
                <c:pt idx="15">
                  <c:v>54</c:v>
                </c:pt>
                <c:pt idx="16">
                  <c:v>60</c:v>
                </c:pt>
                <c:pt idx="17">
                  <c:v>66</c:v>
                </c:pt>
                <c:pt idx="18">
                  <c:v>66</c:v>
                </c:pt>
                <c:pt idx="19">
                  <c:v>72</c:v>
                </c:pt>
                <c:pt idx="20">
                  <c:v>75</c:v>
                </c:pt>
                <c:pt idx="21">
                  <c:v>75</c:v>
                </c:pt>
                <c:pt idx="22">
                  <c:v>81</c:v>
                </c:pt>
                <c:pt idx="23">
                  <c:v>84</c:v>
                </c:pt>
                <c:pt idx="24">
                  <c:v>91</c:v>
                </c:pt>
                <c:pt idx="25">
                  <c:v>94</c:v>
                </c:pt>
                <c:pt idx="26">
                  <c:v>102</c:v>
                </c:pt>
                <c:pt idx="27">
                  <c:v>111</c:v>
                </c:pt>
                <c:pt idx="28">
                  <c:v>111</c:v>
                </c:pt>
                <c:pt idx="29">
                  <c:v>120</c:v>
                </c:pt>
                <c:pt idx="30">
                  <c:v>126</c:v>
                </c:pt>
                <c:pt idx="31">
                  <c:v>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4A4-4F6C-8D83-87B5EFF491BA}"/>
            </c:ext>
          </c:extLst>
        </c:ser>
        <c:ser>
          <c:idx val="21"/>
          <c:order val="21"/>
          <c:tx>
            <c:strRef>
              <c:f>Deaths_since_10!$H$23</c:f>
              <c:strCache>
                <c:ptCount val="1"/>
                <c:pt idx="0">
                  <c:v>Africa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Deaths_since_10!$I$23:$KU$23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11</c:v>
                </c:pt>
                <c:pt idx="3">
                  <c:v>17</c:v>
                </c:pt>
                <c:pt idx="4">
                  <c:v>20</c:v>
                </c:pt>
                <c:pt idx="5">
                  <c:v>25</c:v>
                </c:pt>
                <c:pt idx="6">
                  <c:v>33</c:v>
                </c:pt>
                <c:pt idx="7">
                  <c:v>44</c:v>
                </c:pt>
                <c:pt idx="8">
                  <c:v>50</c:v>
                </c:pt>
                <c:pt idx="9">
                  <c:v>56</c:v>
                </c:pt>
                <c:pt idx="10">
                  <c:v>62</c:v>
                </c:pt>
                <c:pt idx="11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4A4-4F6C-8D83-87B5EFF491BA}"/>
            </c:ext>
          </c:extLst>
        </c:ser>
        <c:ser>
          <c:idx val="22"/>
          <c:order val="22"/>
          <c:tx>
            <c:strRef>
              <c:f>Deaths_since_10!$H$24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Deaths_since_10!$I$24:$KU$24</c:f>
              <c:numCache>
                <c:formatCode>General</c:formatCode>
                <c:ptCount val="299"/>
                <c:pt idx="0">
                  <c:v>19</c:v>
                </c:pt>
                <c:pt idx="1">
                  <c:v>25</c:v>
                </c:pt>
                <c:pt idx="2">
                  <c:v>32</c:v>
                </c:pt>
                <c:pt idx="3">
                  <c:v>38</c:v>
                </c:pt>
                <c:pt idx="4">
                  <c:v>48</c:v>
                </c:pt>
                <c:pt idx="5">
                  <c:v>49</c:v>
                </c:pt>
                <c:pt idx="6">
                  <c:v>55</c:v>
                </c:pt>
                <c:pt idx="7">
                  <c:v>58</c:v>
                </c:pt>
                <c:pt idx="8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4A4-4F6C-8D83-87B5EFF491BA}"/>
            </c:ext>
          </c:extLst>
        </c:ser>
        <c:ser>
          <c:idx val="23"/>
          <c:order val="23"/>
          <c:tx>
            <c:strRef>
              <c:f>Deaths_since_10!$H$25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Deaths_since_10!$I$25:$KU$25</c:f>
              <c:numCache>
                <c:formatCode>General</c:formatCode>
                <c:ptCount val="299"/>
                <c:pt idx="0">
                  <c:v>10</c:v>
                </c:pt>
                <c:pt idx="1">
                  <c:v>11</c:v>
                </c:pt>
                <c:pt idx="2">
                  <c:v>16</c:v>
                </c:pt>
                <c:pt idx="3">
                  <c:v>20</c:v>
                </c:pt>
                <c:pt idx="4">
                  <c:v>21</c:v>
                </c:pt>
                <c:pt idx="5">
                  <c:v>25</c:v>
                </c:pt>
                <c:pt idx="6">
                  <c:v>36</c:v>
                </c:pt>
                <c:pt idx="7">
                  <c:v>62</c:v>
                </c:pt>
                <c:pt idx="8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4A4-4F6C-8D83-87B5EFF491BA}"/>
            </c:ext>
          </c:extLst>
        </c:ser>
        <c:ser>
          <c:idx val="24"/>
          <c:order val="24"/>
          <c:tx>
            <c:strRef>
              <c:f>Deaths_since_10!$H$26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Deaths_since_10!$I$26:$KU$26</c:f>
              <c:numCache>
                <c:formatCode>General</c:formatCode>
                <c:ptCount val="299"/>
                <c:pt idx="0">
                  <c:v>11</c:v>
                </c:pt>
                <c:pt idx="1">
                  <c:v>15</c:v>
                </c:pt>
                <c:pt idx="2">
                  <c:v>25</c:v>
                </c:pt>
                <c:pt idx="3">
                  <c:v>34</c:v>
                </c:pt>
                <c:pt idx="4">
                  <c:v>46</c:v>
                </c:pt>
                <c:pt idx="5">
                  <c:v>59</c:v>
                </c:pt>
                <c:pt idx="6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4A4-4F6C-8D83-87B5EFF491BA}"/>
            </c:ext>
          </c:extLst>
        </c:ser>
        <c:ser>
          <c:idx val="25"/>
          <c:order val="25"/>
          <c:tx>
            <c:strRef>
              <c:f>Deaths_since_10!$H$27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Deaths_since_10!$I$27:$KU$27</c:f>
              <c:numCache>
                <c:formatCode>General</c:formatCode>
                <c:ptCount val="299"/>
                <c:pt idx="0">
                  <c:v>9</c:v>
                </c:pt>
                <c:pt idx="1">
                  <c:v>30</c:v>
                </c:pt>
                <c:pt idx="2">
                  <c:v>37</c:v>
                </c:pt>
                <c:pt idx="3">
                  <c:v>44</c:v>
                </c:pt>
                <c:pt idx="4">
                  <c:v>59</c:v>
                </c:pt>
                <c:pt idx="5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4A4-4F6C-8D83-87B5EFF491BA}"/>
            </c:ext>
          </c:extLst>
        </c:ser>
        <c:ser>
          <c:idx val="26"/>
          <c:order val="26"/>
          <c:tx>
            <c:strRef>
              <c:f>Deaths_since_10!$H$28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Deaths_since_10!$I$28:$KU$28</c:f>
              <c:numCache>
                <c:formatCode>General</c:formatCode>
                <c:ptCount val="299"/>
                <c:pt idx="0">
                  <c:v>12</c:v>
                </c:pt>
                <c:pt idx="1">
                  <c:v>14</c:v>
                </c:pt>
                <c:pt idx="2">
                  <c:v>23</c:v>
                </c:pt>
                <c:pt idx="3">
                  <c:v>33</c:v>
                </c:pt>
                <c:pt idx="4">
                  <c:v>43</c:v>
                </c:pt>
                <c:pt idx="5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4A4-4F6C-8D83-87B5EFF491BA}"/>
            </c:ext>
          </c:extLst>
        </c:ser>
        <c:ser>
          <c:idx val="27"/>
          <c:order val="27"/>
          <c:tx>
            <c:strRef>
              <c:f>Deaths_since_10!$H$29</c:f>
              <c:strCache>
                <c:ptCount val="1"/>
                <c:pt idx="0">
                  <c:v>Austria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Deaths_since_10!$I$29:$KU$29</c:f>
              <c:numCache>
                <c:formatCode>General</c:formatCode>
                <c:ptCount val="299"/>
                <c:pt idx="0">
                  <c:v>8</c:v>
                </c:pt>
                <c:pt idx="1">
                  <c:v>16</c:v>
                </c:pt>
                <c:pt idx="2">
                  <c:v>21</c:v>
                </c:pt>
                <c:pt idx="3">
                  <c:v>28</c:v>
                </c:pt>
                <c:pt idx="4">
                  <c:v>30</c:v>
                </c:pt>
                <c:pt idx="5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4A4-4F6C-8D83-87B5EFF491BA}"/>
            </c:ext>
          </c:extLst>
        </c:ser>
        <c:ser>
          <c:idx val="28"/>
          <c:order val="28"/>
          <c:tx>
            <c:strRef>
              <c:f>Deaths_since_10!$H$30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Deaths_since_10!$I$30:$KU$30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15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22</c:v>
                </c:pt>
                <c:pt idx="7">
                  <c:v>27</c:v>
                </c:pt>
                <c:pt idx="8">
                  <c:v>29</c:v>
                </c:pt>
                <c:pt idx="9">
                  <c:v>29</c:v>
                </c:pt>
                <c:pt idx="10">
                  <c:v>29</c:v>
                </c:pt>
                <c:pt idx="11">
                  <c:v>33</c:v>
                </c:pt>
                <c:pt idx="12">
                  <c:v>35</c:v>
                </c:pt>
                <c:pt idx="13">
                  <c:v>41</c:v>
                </c:pt>
                <c:pt idx="14">
                  <c:v>42</c:v>
                </c:pt>
                <c:pt idx="15">
                  <c:v>43</c:v>
                </c:pt>
                <c:pt idx="16">
                  <c:v>45</c:v>
                </c:pt>
                <c:pt idx="17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4A4-4F6C-8D83-87B5EFF491BA}"/>
            </c:ext>
          </c:extLst>
        </c:ser>
        <c:ser>
          <c:idx val="29"/>
          <c:order val="29"/>
          <c:tx>
            <c:strRef>
              <c:f>Deaths_since_10!$H$31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Deaths_since_10!$I$31:$KU$31</c:f>
              <c:numCache>
                <c:formatCode>General</c:formatCode>
                <c:ptCount val="299"/>
                <c:pt idx="0">
                  <c:v>8</c:v>
                </c:pt>
                <c:pt idx="1">
                  <c:v>11</c:v>
                </c:pt>
                <c:pt idx="2">
                  <c:v>12</c:v>
                </c:pt>
                <c:pt idx="3">
                  <c:v>12</c:v>
                </c:pt>
                <c:pt idx="4">
                  <c:v>19</c:v>
                </c:pt>
                <c:pt idx="5">
                  <c:v>17</c:v>
                </c:pt>
                <c:pt idx="6">
                  <c:v>18</c:v>
                </c:pt>
                <c:pt idx="7">
                  <c:v>19</c:v>
                </c:pt>
                <c:pt idx="8">
                  <c:v>25</c:v>
                </c:pt>
                <c:pt idx="9">
                  <c:v>33</c:v>
                </c:pt>
                <c:pt idx="10">
                  <c:v>35</c:v>
                </c:pt>
                <c:pt idx="11">
                  <c:v>38</c:v>
                </c:pt>
                <c:pt idx="12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4A4-4F6C-8D83-87B5EFF491BA}"/>
            </c:ext>
          </c:extLst>
        </c:ser>
        <c:ser>
          <c:idx val="30"/>
          <c:order val="30"/>
          <c:tx>
            <c:strRef>
              <c:f>Deaths_since_10!$H$32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E7E6E6">
                  <a:lumMod val="75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Deaths_since_10!$I$32:$KU$32</c:f>
              <c:numCache>
                <c:formatCode>General</c:formatCode>
                <c:ptCount val="299"/>
                <c:pt idx="0">
                  <c:v>9</c:v>
                </c:pt>
                <c:pt idx="1">
                  <c:v>13</c:v>
                </c:pt>
                <c:pt idx="2">
                  <c:v>13</c:v>
                </c:pt>
                <c:pt idx="3">
                  <c:v>24</c:v>
                </c:pt>
                <c:pt idx="4">
                  <c:v>32</c:v>
                </c:pt>
                <c:pt idx="5">
                  <c:v>34</c:v>
                </c:pt>
                <c:pt idx="6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4A4-4F6C-8D83-87B5EFF491BA}"/>
            </c:ext>
          </c:extLst>
        </c:ser>
        <c:ser>
          <c:idx val="31"/>
          <c:order val="31"/>
          <c:tx>
            <c:strRef>
              <c:f>Deaths_since_10!$H$33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Deaths_since_10!$I$33:$KU$33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12</c:v>
                </c:pt>
                <c:pt idx="3">
                  <c:v>19</c:v>
                </c:pt>
                <c:pt idx="4">
                  <c:v>21</c:v>
                </c:pt>
                <c:pt idx="5">
                  <c:v>25</c:v>
                </c:pt>
                <c:pt idx="6">
                  <c:v>26</c:v>
                </c:pt>
                <c:pt idx="7">
                  <c:v>30</c:v>
                </c:pt>
                <c:pt idx="8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4A4-4F6C-8D83-87B5EFF491BA}"/>
            </c:ext>
          </c:extLst>
        </c:ser>
        <c:ser>
          <c:idx val="32"/>
          <c:order val="32"/>
          <c:tx>
            <c:strRef>
              <c:f>Deaths_since_10!$H$34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Deaths_since_10!$I$34:$KU$34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17</c:v>
                </c:pt>
                <c:pt idx="9">
                  <c:v>17</c:v>
                </c:pt>
                <c:pt idx="10">
                  <c:v>20</c:v>
                </c:pt>
                <c:pt idx="11">
                  <c:v>23</c:v>
                </c:pt>
                <c:pt idx="12">
                  <c:v>27</c:v>
                </c:pt>
                <c:pt idx="13">
                  <c:v>29</c:v>
                </c:pt>
                <c:pt idx="14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2-4174-AD52-3F7DF2399C3A}"/>
            </c:ext>
          </c:extLst>
        </c:ser>
        <c:ser>
          <c:idx val="33"/>
          <c:order val="33"/>
          <c:tx>
            <c:strRef>
              <c:f>Deaths_since_10!$H$35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Deaths_since_10!$I$35:$KU$35</c:f>
              <c:numCache>
                <c:formatCode>General</c:formatCode>
                <c:ptCount val="299"/>
                <c:pt idx="0">
                  <c:v>14</c:v>
                </c:pt>
                <c:pt idx="1">
                  <c:v>18</c:v>
                </c:pt>
                <c:pt idx="2">
                  <c:v>27</c:v>
                </c:pt>
                <c:pt idx="3">
                  <c:v>28</c:v>
                </c:pt>
                <c:pt idx="4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22-4174-AD52-3F7DF2399C3A}"/>
            </c:ext>
          </c:extLst>
        </c:ser>
        <c:ser>
          <c:idx val="34"/>
          <c:order val="34"/>
          <c:tx>
            <c:strRef>
              <c:f>Deaths_since_10!$H$36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Deaths_since_10!$I$36:$KU$36</c:f>
              <c:numCache>
                <c:formatCode>General</c:formatCode>
                <c:ptCount val="299"/>
                <c:pt idx="0">
                  <c:v>13</c:v>
                </c:pt>
                <c:pt idx="1">
                  <c:v>15</c:v>
                </c:pt>
                <c:pt idx="2">
                  <c:v>17</c:v>
                </c:pt>
                <c:pt idx="3">
                  <c:v>20</c:v>
                </c:pt>
                <c:pt idx="4">
                  <c:v>22</c:v>
                </c:pt>
                <c:pt idx="5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22-4174-AD52-3F7DF2399C3A}"/>
            </c:ext>
          </c:extLst>
        </c:ser>
        <c:ser>
          <c:idx val="35"/>
          <c:order val="35"/>
          <c:tx>
            <c:strRef>
              <c:f>Deaths_since_10!$H$37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Deaths_since_10!$I$37:$KU$37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15</c:v>
                </c:pt>
                <c:pt idx="3">
                  <c:v>17</c:v>
                </c:pt>
                <c:pt idx="4">
                  <c:v>17</c:v>
                </c:pt>
                <c:pt idx="5">
                  <c:v>19</c:v>
                </c:pt>
                <c:pt idx="6">
                  <c:v>21</c:v>
                </c:pt>
                <c:pt idx="7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22-4174-AD52-3F7DF2399C3A}"/>
            </c:ext>
          </c:extLst>
        </c:ser>
        <c:ser>
          <c:idx val="36"/>
          <c:order val="36"/>
          <c:tx>
            <c:strRef>
              <c:f>Deaths_since_10!$H$38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Deaths_since_10!$I$38:$KU$38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22-4174-AD52-3F7DF2399C3A}"/>
            </c:ext>
          </c:extLst>
        </c:ser>
        <c:ser>
          <c:idx val="37"/>
          <c:order val="37"/>
          <c:tx>
            <c:strRef>
              <c:f>Deaths_since_10!$H$39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Deaths_since_10!$I$39:$KU$39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16</c:v>
                </c:pt>
                <c:pt idx="3">
                  <c:v>20</c:v>
                </c:pt>
                <c:pt idx="4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22-4174-AD52-3F7DF2399C3A}"/>
            </c:ext>
          </c:extLst>
        </c:ser>
        <c:ser>
          <c:idx val="38"/>
          <c:order val="38"/>
          <c:tx>
            <c:strRef>
              <c:f>Deaths_since_10!$H$40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Deaths_since_10!$I$40:$KU$40</c:f>
              <c:numCache>
                <c:formatCode>General</c:formatCode>
                <c:ptCount val="299"/>
                <c:pt idx="0">
                  <c:v>11</c:v>
                </c:pt>
                <c:pt idx="1">
                  <c:v>17</c:v>
                </c:pt>
                <c:pt idx="2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22-4174-AD52-3F7DF2399C3A}"/>
            </c:ext>
          </c:extLst>
        </c:ser>
        <c:ser>
          <c:idx val="39"/>
          <c:order val="39"/>
          <c:tx>
            <c:strRef>
              <c:f>Deaths_since_10!$H$41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Deaths_since_10!$I$41:$KU$41</c:f>
              <c:numCache>
                <c:formatCode>General</c:formatCode>
                <c:ptCount val="299"/>
                <c:pt idx="0">
                  <c:v>11</c:v>
                </c:pt>
                <c:pt idx="1">
                  <c:v>11</c:v>
                </c:pt>
                <c:pt idx="2">
                  <c:v>14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8A-4A6B-AEFC-45FA8BEDA010}"/>
            </c:ext>
          </c:extLst>
        </c:ser>
        <c:ser>
          <c:idx val="40"/>
          <c:order val="40"/>
          <c:tx>
            <c:strRef>
              <c:f>Deaths_since_10!$H$42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Deaths_since_10!$I$42:$KU$42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8A-4A6B-AEFC-45FA8BEDA010}"/>
            </c:ext>
          </c:extLst>
        </c:ser>
        <c:ser>
          <c:idx val="41"/>
          <c:order val="41"/>
          <c:tx>
            <c:strRef>
              <c:f>Deaths_since_10!$H$43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Deaths_since_10!$I$43:$KU$43</c:f>
              <c:numCache>
                <c:formatCode>General</c:formatCode>
                <c:ptCount val="299"/>
                <c:pt idx="0">
                  <c:v>9</c:v>
                </c:pt>
                <c:pt idx="1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8A-4A6B-AEFC-45FA8BEDA010}"/>
            </c:ext>
          </c:extLst>
        </c:ser>
        <c:ser>
          <c:idx val="42"/>
          <c:order val="42"/>
          <c:tx>
            <c:strRef>
              <c:f>Deaths_since_10!$H$44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Deaths_since_10!$I$44:$KU$44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8A-4A6B-AEFC-45FA8BEDA010}"/>
            </c:ext>
          </c:extLst>
        </c:ser>
        <c:ser>
          <c:idx val="43"/>
          <c:order val="43"/>
          <c:tx>
            <c:strRef>
              <c:f>Deaths_since_10!$H$45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Deaths_since_10!$I$45:$KU$45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8A-4A6B-AEFC-45FA8BEDA010}"/>
            </c:ext>
          </c:extLst>
        </c:ser>
        <c:ser>
          <c:idx val="44"/>
          <c:order val="44"/>
          <c:tx>
            <c:strRef>
              <c:f>Deaths_since_10!$H$46</c:f>
              <c:strCache>
                <c:ptCount val="1"/>
                <c:pt idx="0">
                  <c:v>Australia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Deaths_since_10!$I$46:$KU$46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8A-4A6B-AEFC-45FA8BEDA010}"/>
            </c:ext>
          </c:extLst>
        </c:ser>
        <c:ser>
          <c:idx val="45"/>
          <c:order val="45"/>
          <c:tx>
            <c:strRef>
              <c:f>Deaths_since_10!$H$47</c:f>
              <c:strCache>
                <c:ptCount val="1"/>
                <c:pt idx="0">
                  <c:v>Morocco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Deaths_since_10!$I$47:$KU$47</c:f>
              <c:numCache>
                <c:formatCode>General</c:formatCode>
                <c:ptCount val="299"/>
                <c:pt idx="0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8A-4A6B-AEFC-45FA8BEDA010}"/>
            </c:ext>
          </c:extLst>
        </c:ser>
        <c:ser>
          <c:idx val="46"/>
          <c:order val="46"/>
          <c:tx>
            <c:strRef>
              <c:f>Deaths_since_10!$H$48</c:f>
              <c:strCache>
                <c:ptCount val="1"/>
                <c:pt idx="0">
                  <c:v>Hungary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Deaths_since_10!$I$48:$KU$48</c:f>
              <c:numCache>
                <c:formatCode>General</c:formatCode>
                <c:ptCount val="299"/>
                <c:pt idx="0">
                  <c:v>9</c:v>
                </c:pt>
                <c:pt idx="1">
                  <c:v>10</c:v>
                </c:pt>
                <c:pt idx="2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A8A-4A6B-AEFC-45FA8BEDA010}"/>
            </c:ext>
          </c:extLst>
        </c:ser>
        <c:ser>
          <c:idx val="47"/>
          <c:order val="47"/>
          <c:tx>
            <c:strRef>
              <c:f>Deaths_since_10!$H$49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Deaths_since_10!$I$49:$KU$49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A8A-4A6B-AEFC-45FA8BEDA010}"/>
            </c:ext>
          </c:extLst>
        </c:ser>
        <c:ser>
          <c:idx val="48"/>
          <c:order val="48"/>
          <c:tx>
            <c:strRef>
              <c:f>Deaths_since_10!$H$50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Deaths_since_10!$I$50:$KU$50</c:f>
              <c:numCache>
                <c:formatCode>General</c:formatCode>
                <c:ptCount val="299"/>
                <c:pt idx="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A8A-4A6B-AEFC-45FA8BEDA010}"/>
            </c:ext>
          </c:extLst>
        </c:ser>
        <c:ser>
          <c:idx val="49"/>
          <c:order val="49"/>
          <c:tx>
            <c:strRef>
              <c:f>Deaths_since_10!$H$51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Deaths_since_10!$I$51:$KU$51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A8A-4A6B-AEFC-45FA8BEDA010}"/>
            </c:ext>
          </c:extLst>
        </c:ser>
        <c:ser>
          <c:idx val="50"/>
          <c:order val="50"/>
          <c:tx>
            <c:strRef>
              <c:f>Deaths_since_10!$H$52</c:f>
              <c:strCache>
                <c:ptCount val="1"/>
                <c:pt idx="0">
                  <c:v>Argentina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Deaths_since_10!$I$52:$KU$52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A8A-4A6B-AEFC-45FA8BEDA010}"/>
            </c:ext>
          </c:extLst>
        </c:ser>
        <c:ser>
          <c:idx val="51"/>
          <c:order val="51"/>
          <c:tx>
            <c:strRef>
              <c:f>Deaths_since_10!$H$53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Deaths_since_10!$I$53:$KU$53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A8A-4A6B-AEFC-45FA8BEDA010}"/>
            </c:ext>
          </c:extLst>
        </c:ser>
        <c:ser>
          <c:idx val="52"/>
          <c:order val="52"/>
          <c:tx>
            <c:strRef>
              <c:f>Deaths_since_10!$H$54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Deaths_since_10!$I$54:$KU$54</c:f>
              <c:numCache>
                <c:formatCode>General</c:formatCode>
                <c:ptCount val="299"/>
                <c:pt idx="0">
                  <c:v>9</c:v>
                </c:pt>
                <c:pt idx="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A8A-4A6B-AEFC-45FA8BEDA010}"/>
            </c:ext>
          </c:extLst>
        </c:ser>
        <c:ser>
          <c:idx val="53"/>
          <c:order val="53"/>
          <c:tx>
            <c:strRef>
              <c:f>Deaths_since_10!$H$55</c:f>
              <c:strCache>
                <c:ptCount val="1"/>
                <c:pt idx="0">
                  <c:v>Israel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Deaths_since_10!$I$55:$KU$55</c:f>
              <c:numCache>
                <c:formatCode>General</c:formatCode>
                <c:ptCount val="299"/>
                <c:pt idx="0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A8A-4A6B-AEFC-45FA8BEDA010}"/>
            </c:ext>
          </c:extLst>
        </c:ser>
        <c:ser>
          <c:idx val="54"/>
          <c:order val="54"/>
          <c:tx>
            <c:strRef>
              <c:f>Deaths_since_10!$H$56</c:f>
              <c:strCache>
                <c:ptCount val="1"/>
                <c:pt idx="0">
                  <c:v>Panama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Deaths_since_10!$I$56:$KU$56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A8A-4A6B-AEFC-45FA8BEDA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3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</c:dateAx>
      <c:valAx>
        <c:axId val="955972655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3197765338162144"/>
          <c:y val="0.10493380998229521"/>
          <c:w val="0.16802234661837859"/>
          <c:h val="0.809130007778782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 by continent</a:t>
            </a:r>
            <a:endParaRPr lang="en-GB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65407376407576"/>
          <c:y val="0.11593664709392842"/>
          <c:w val="0.73680298543050571"/>
          <c:h val="0.81595754084749972"/>
        </c:manualLayout>
      </c:layout>
      <c:lineChart>
        <c:grouping val="standard"/>
        <c:varyColors val="0"/>
        <c:ser>
          <c:idx val="7"/>
          <c:order val="0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CumulativeConfirmed!$C$128:$BO$128</c:f>
              <c:numCache>
                <c:formatCode>General</c:formatCode>
                <c:ptCount val="65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537-457A-B9F5-6C785DCF197D}"/>
            </c:ext>
          </c:extLst>
        </c:ser>
        <c:ser>
          <c:idx val="8"/>
          <c:order val="1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CumulativeConfirmed!$C$129:$BO$129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109054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537-457A-B9F5-6C785DCF197D}"/>
            </c:ext>
          </c:extLst>
        </c:ser>
        <c:ser>
          <c:idx val="9"/>
          <c:order val="2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ln w="381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CumulativeConfirmed!$C$130:$BO$130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537-457A-B9F5-6C785DCF197D}"/>
            </c:ext>
          </c:extLst>
        </c:ser>
        <c:ser>
          <c:idx val="10"/>
          <c:order val="3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810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CumulativeConfirmed!$C$131:$BO$131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537-457A-B9F5-6C785DCF197D}"/>
            </c:ext>
          </c:extLst>
        </c:ser>
        <c:ser>
          <c:idx val="11"/>
          <c:order val="4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CumulativeConfirmed!$C$132:$BO$132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537-457A-B9F5-6C785DCF197D}"/>
            </c:ext>
          </c:extLst>
        </c:ser>
        <c:ser>
          <c:idx val="12"/>
          <c:order val="5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ln w="3810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CumulativeConfirmed!$C$133:$BO$133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537-457A-B9F5-6C785DCF197D}"/>
            </c:ext>
          </c:extLst>
        </c:ser>
        <c:ser>
          <c:idx val="13"/>
          <c:order val="6"/>
          <c:tx>
            <c:strRef>
              <c:f>CumulativeConfirmed!$B$127</c:f>
              <c:strCache>
                <c:ptCount val="1"/>
                <c:pt idx="0">
                  <c:v>World</c:v>
                </c:pt>
              </c:strCache>
            </c:strRef>
          </c:tx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CumulativeConfirmed!$C$127:$BO$127</c:f>
              <c:numCache>
                <c:formatCode>General</c:formatCode>
                <c:ptCount val="65"/>
                <c:pt idx="0">
                  <c:v>555</c:v>
                </c:pt>
                <c:pt idx="1">
                  <c:v>654</c:v>
                </c:pt>
                <c:pt idx="2">
                  <c:v>941</c:v>
                </c:pt>
                <c:pt idx="3">
                  <c:v>1434</c:v>
                </c:pt>
                <c:pt idx="4">
                  <c:v>2118</c:v>
                </c:pt>
                <c:pt idx="5">
                  <c:v>2927</c:v>
                </c:pt>
                <c:pt idx="6">
                  <c:v>5578</c:v>
                </c:pt>
                <c:pt idx="7">
                  <c:v>6166</c:v>
                </c:pt>
                <c:pt idx="8">
                  <c:v>8234</c:v>
                </c:pt>
                <c:pt idx="9">
                  <c:v>9927</c:v>
                </c:pt>
                <c:pt idx="10">
                  <c:v>12038</c:v>
                </c:pt>
                <c:pt idx="11">
                  <c:v>16787</c:v>
                </c:pt>
                <c:pt idx="12">
                  <c:v>19881</c:v>
                </c:pt>
                <c:pt idx="13">
                  <c:v>23892</c:v>
                </c:pt>
                <c:pt idx="14">
                  <c:v>27635</c:v>
                </c:pt>
                <c:pt idx="15">
                  <c:v>30794</c:v>
                </c:pt>
                <c:pt idx="16">
                  <c:v>34330</c:v>
                </c:pt>
                <c:pt idx="17">
                  <c:v>37059</c:v>
                </c:pt>
                <c:pt idx="18">
                  <c:v>40086</c:v>
                </c:pt>
                <c:pt idx="19">
                  <c:v>42627</c:v>
                </c:pt>
                <c:pt idx="20">
                  <c:v>44667</c:v>
                </c:pt>
                <c:pt idx="21">
                  <c:v>50287</c:v>
                </c:pt>
                <c:pt idx="22">
                  <c:v>60193</c:v>
                </c:pt>
                <c:pt idx="23">
                  <c:v>66667</c:v>
                </c:pt>
                <c:pt idx="24">
                  <c:v>68745</c:v>
                </c:pt>
                <c:pt idx="25">
                  <c:v>70869</c:v>
                </c:pt>
                <c:pt idx="26">
                  <c:v>72804</c:v>
                </c:pt>
                <c:pt idx="27">
                  <c:v>74594</c:v>
                </c:pt>
                <c:pt idx="28">
                  <c:v>75018</c:v>
                </c:pt>
                <c:pt idx="29">
                  <c:v>75563</c:v>
                </c:pt>
                <c:pt idx="30">
                  <c:v>76185</c:v>
                </c:pt>
                <c:pt idx="31">
                  <c:v>77938</c:v>
                </c:pt>
                <c:pt idx="32">
                  <c:v>78267</c:v>
                </c:pt>
                <c:pt idx="33">
                  <c:v>78870</c:v>
                </c:pt>
                <c:pt idx="34">
                  <c:v>79715</c:v>
                </c:pt>
                <c:pt idx="35">
                  <c:v>80683</c:v>
                </c:pt>
                <c:pt idx="36">
                  <c:v>82041</c:v>
                </c:pt>
                <c:pt idx="37">
                  <c:v>83407</c:v>
                </c:pt>
                <c:pt idx="38">
                  <c:v>85306</c:v>
                </c:pt>
                <c:pt idx="39">
                  <c:v>87664</c:v>
                </c:pt>
                <c:pt idx="40">
                  <c:v>89601</c:v>
                </c:pt>
                <c:pt idx="41">
                  <c:v>92134</c:v>
                </c:pt>
                <c:pt idx="42">
                  <c:v>94414</c:v>
                </c:pt>
                <c:pt idx="43">
                  <c:v>97176</c:v>
                </c:pt>
                <c:pt idx="44">
                  <c:v>101088</c:v>
                </c:pt>
                <c:pt idx="45">
                  <c:v>105125</c:v>
                </c:pt>
                <c:pt idx="46">
                  <c:v>109099</c:v>
                </c:pt>
                <c:pt idx="47">
                  <c:v>112865</c:v>
                </c:pt>
                <c:pt idx="48">
                  <c:v>117888</c:v>
                </c:pt>
                <c:pt idx="49">
                  <c:v>125139</c:v>
                </c:pt>
                <c:pt idx="50">
                  <c:v>132517</c:v>
                </c:pt>
                <c:pt idx="51">
                  <c:v>144468</c:v>
                </c:pt>
                <c:pt idx="52">
                  <c:v>155337</c:v>
                </c:pt>
                <c:pt idx="53">
                  <c:v>167781</c:v>
                </c:pt>
                <c:pt idx="54">
                  <c:v>180762</c:v>
                </c:pt>
                <c:pt idx="55">
                  <c:v>196234</c:v>
                </c:pt>
                <c:pt idx="56">
                  <c:v>213897</c:v>
                </c:pt>
                <c:pt idx="57">
                  <c:v>241500</c:v>
                </c:pt>
                <c:pt idx="58">
                  <c:v>270949</c:v>
                </c:pt>
                <c:pt idx="59">
                  <c:v>303183</c:v>
                </c:pt>
                <c:pt idx="60">
                  <c:v>335631</c:v>
                </c:pt>
                <c:pt idx="61">
                  <c:v>376812</c:v>
                </c:pt>
                <c:pt idx="62">
                  <c:v>416496</c:v>
                </c:pt>
                <c:pt idx="63">
                  <c:v>465942</c:v>
                </c:pt>
                <c:pt idx="64">
                  <c:v>527572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537-457A-B9F5-6C785DCF197D}"/>
            </c:ext>
          </c:extLst>
        </c:ser>
        <c:ser>
          <c:idx val="1"/>
          <c:order val="7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CumulativeConfirmed!$C$128:$BO$128</c:f>
              <c:numCache>
                <c:formatCode>General</c:formatCode>
                <c:ptCount val="65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537-457A-B9F5-6C785DCF197D}"/>
            </c:ext>
          </c:extLst>
        </c:ser>
        <c:ser>
          <c:idx val="2"/>
          <c:order val="8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CumulativeConfirmed!$C$129:$BO$129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109054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537-457A-B9F5-6C785DCF197D}"/>
            </c:ext>
          </c:extLst>
        </c:ser>
        <c:ser>
          <c:idx val="3"/>
          <c:order val="9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CumulativeConfirmed!$C$130:$BO$130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537-457A-B9F5-6C785DCF197D}"/>
            </c:ext>
          </c:extLst>
        </c:ser>
        <c:ser>
          <c:idx val="4"/>
          <c:order val="10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81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CumulativeConfirmed!$C$131:$BO$131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537-457A-B9F5-6C785DCF197D}"/>
            </c:ext>
          </c:extLst>
        </c:ser>
        <c:ser>
          <c:idx val="5"/>
          <c:order val="11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CumulativeConfirmed!$C$132:$BO$132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537-457A-B9F5-6C785DCF197D}"/>
            </c:ext>
          </c:extLst>
        </c:ser>
        <c:ser>
          <c:idx val="6"/>
          <c:order val="12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ln w="3810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CumulativeConfirmed!$C$133:$BO$133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537-457A-B9F5-6C785DCF197D}"/>
            </c:ext>
          </c:extLst>
        </c:ser>
        <c:ser>
          <c:idx val="0"/>
          <c:order val="13"/>
          <c:tx>
            <c:strRef>
              <c:f>CumulativeConfirmed!$B$127</c:f>
              <c:strCache>
                <c:ptCount val="1"/>
                <c:pt idx="0">
                  <c:v>World</c:v>
                </c:pt>
              </c:strCache>
            </c:strRef>
          </c:tx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CumulativeConfirmed!$C$127:$BO$127</c:f>
              <c:numCache>
                <c:formatCode>General</c:formatCode>
                <c:ptCount val="65"/>
                <c:pt idx="0">
                  <c:v>555</c:v>
                </c:pt>
                <c:pt idx="1">
                  <c:v>654</c:v>
                </c:pt>
                <c:pt idx="2">
                  <c:v>941</c:v>
                </c:pt>
                <c:pt idx="3">
                  <c:v>1434</c:v>
                </c:pt>
                <c:pt idx="4">
                  <c:v>2118</c:v>
                </c:pt>
                <c:pt idx="5">
                  <c:v>2927</c:v>
                </c:pt>
                <c:pt idx="6">
                  <c:v>5578</c:v>
                </c:pt>
                <c:pt idx="7">
                  <c:v>6166</c:v>
                </c:pt>
                <c:pt idx="8">
                  <c:v>8234</c:v>
                </c:pt>
                <c:pt idx="9">
                  <c:v>9927</c:v>
                </c:pt>
                <c:pt idx="10">
                  <c:v>12038</c:v>
                </c:pt>
                <c:pt idx="11">
                  <c:v>16787</c:v>
                </c:pt>
                <c:pt idx="12">
                  <c:v>19881</c:v>
                </c:pt>
                <c:pt idx="13">
                  <c:v>23892</c:v>
                </c:pt>
                <c:pt idx="14">
                  <c:v>27635</c:v>
                </c:pt>
                <c:pt idx="15">
                  <c:v>30794</c:v>
                </c:pt>
                <c:pt idx="16">
                  <c:v>34330</c:v>
                </c:pt>
                <c:pt idx="17">
                  <c:v>37059</c:v>
                </c:pt>
                <c:pt idx="18">
                  <c:v>40086</c:v>
                </c:pt>
                <c:pt idx="19">
                  <c:v>42627</c:v>
                </c:pt>
                <c:pt idx="20">
                  <c:v>44667</c:v>
                </c:pt>
                <c:pt idx="21">
                  <c:v>50287</c:v>
                </c:pt>
                <c:pt idx="22">
                  <c:v>60193</c:v>
                </c:pt>
                <c:pt idx="23">
                  <c:v>66667</c:v>
                </c:pt>
                <c:pt idx="24">
                  <c:v>68745</c:v>
                </c:pt>
                <c:pt idx="25">
                  <c:v>70869</c:v>
                </c:pt>
                <c:pt idx="26">
                  <c:v>72804</c:v>
                </c:pt>
                <c:pt idx="27">
                  <c:v>74594</c:v>
                </c:pt>
                <c:pt idx="28">
                  <c:v>75018</c:v>
                </c:pt>
                <c:pt idx="29">
                  <c:v>75563</c:v>
                </c:pt>
                <c:pt idx="30">
                  <c:v>76185</c:v>
                </c:pt>
                <c:pt idx="31">
                  <c:v>77938</c:v>
                </c:pt>
                <c:pt idx="32">
                  <c:v>78267</c:v>
                </c:pt>
                <c:pt idx="33">
                  <c:v>78870</c:v>
                </c:pt>
                <c:pt idx="34">
                  <c:v>79715</c:v>
                </c:pt>
                <c:pt idx="35">
                  <c:v>80683</c:v>
                </c:pt>
                <c:pt idx="36">
                  <c:v>82041</c:v>
                </c:pt>
                <c:pt idx="37">
                  <c:v>83407</c:v>
                </c:pt>
                <c:pt idx="38">
                  <c:v>85306</c:v>
                </c:pt>
                <c:pt idx="39">
                  <c:v>87664</c:v>
                </c:pt>
                <c:pt idx="40">
                  <c:v>89601</c:v>
                </c:pt>
                <c:pt idx="41">
                  <c:v>92134</c:v>
                </c:pt>
                <c:pt idx="42">
                  <c:v>94414</c:v>
                </c:pt>
                <c:pt idx="43">
                  <c:v>97176</c:v>
                </c:pt>
                <c:pt idx="44">
                  <c:v>101088</c:v>
                </c:pt>
                <c:pt idx="45">
                  <c:v>105125</c:v>
                </c:pt>
                <c:pt idx="46">
                  <c:v>109099</c:v>
                </c:pt>
                <c:pt idx="47">
                  <c:v>112865</c:v>
                </c:pt>
                <c:pt idx="48">
                  <c:v>117888</c:v>
                </c:pt>
                <c:pt idx="49">
                  <c:v>125139</c:v>
                </c:pt>
                <c:pt idx="50">
                  <c:v>132517</c:v>
                </c:pt>
                <c:pt idx="51">
                  <c:v>144468</c:v>
                </c:pt>
                <c:pt idx="52">
                  <c:v>155337</c:v>
                </c:pt>
                <c:pt idx="53">
                  <c:v>167781</c:v>
                </c:pt>
                <c:pt idx="54">
                  <c:v>180762</c:v>
                </c:pt>
                <c:pt idx="55">
                  <c:v>196234</c:v>
                </c:pt>
                <c:pt idx="56">
                  <c:v>213897</c:v>
                </c:pt>
                <c:pt idx="57">
                  <c:v>241500</c:v>
                </c:pt>
                <c:pt idx="58">
                  <c:v>270949</c:v>
                </c:pt>
                <c:pt idx="59">
                  <c:v>303183</c:v>
                </c:pt>
                <c:pt idx="60">
                  <c:v>335631</c:v>
                </c:pt>
                <c:pt idx="61">
                  <c:v>376812</c:v>
                </c:pt>
                <c:pt idx="62">
                  <c:v>416496</c:v>
                </c:pt>
                <c:pt idx="63">
                  <c:v>465942</c:v>
                </c:pt>
                <c:pt idx="64">
                  <c:v>527572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537-457A-B9F5-6C785DCF1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248288"/>
        <c:axId val="173379392"/>
      </c:lineChart>
      <c:dateAx>
        <c:axId val="5624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73379392"/>
        <c:crosses val="autoZero"/>
        <c:auto val="1"/>
        <c:lblOffset val="100"/>
        <c:baseTimeUnit val="days"/>
      </c:dateAx>
      <c:valAx>
        <c:axId val="17337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624828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167685684258022"/>
          <c:y val="0.25052392990357153"/>
          <c:w val="0.13667918362782"/>
          <c:h val="0.538902350462686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2"/>
          <c:order val="0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/>
          </c:spP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CumulativeConfirmed!$C$128:$BO$128</c:f>
              <c:numCache>
                <c:formatCode>General</c:formatCode>
                <c:ptCount val="65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6D-47B5-ADE8-BE9B8864125A}"/>
            </c:ext>
          </c:extLst>
        </c:ser>
        <c:ser>
          <c:idx val="3"/>
          <c:order val="1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CumulativeConfirmed!$C$129:$BO$129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109054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6D-47B5-ADE8-BE9B8864125A}"/>
            </c:ext>
          </c:extLst>
        </c:ser>
        <c:ser>
          <c:idx val="4"/>
          <c:order val="2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CumulativeConfirmed!$C$130:$BO$130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6D-47B5-ADE8-BE9B8864125A}"/>
            </c:ext>
          </c:extLst>
        </c:ser>
        <c:ser>
          <c:idx val="5"/>
          <c:order val="3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CumulativeConfirmed!$C$131:$BO$131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6D-47B5-ADE8-BE9B8864125A}"/>
            </c:ext>
          </c:extLst>
        </c:ser>
        <c:ser>
          <c:idx val="6"/>
          <c:order val="4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CumulativeConfirmed!$C$132:$BO$132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5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CumulativeConfirmed!$C$133:$BO$133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dateAx>
        <c:axId val="314354592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1"/>
        <c:lblOffset val="100"/>
        <c:baseTimeUnit val="days"/>
      </c:date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596333168160732"/>
          <c:h val="0.582889497787241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313396</xdr:colOff>
      <xdr:row>16</xdr:row>
      <xdr:rowOff>45860</xdr:rowOff>
    </xdr:from>
    <xdr:ext cx="1447801" cy="478971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2234700" y="2944773"/>
          <a:ext cx="1447801" cy="478971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313396</xdr:colOff>
      <xdr:row>18</xdr:row>
      <xdr:rowOff>178097</xdr:rowOff>
    </xdr:from>
    <xdr:ext cx="1447802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2234700" y="3463532"/>
          <a:ext cx="1447802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  <xdr:twoCellAnchor>
    <xdr:from>
      <xdr:col>3</xdr:col>
      <xdr:colOff>130659</xdr:colOff>
      <xdr:row>1</xdr:row>
      <xdr:rowOff>2510</xdr:rowOff>
    </xdr:from>
    <xdr:to>
      <xdr:col>20</xdr:col>
      <xdr:colOff>343646</xdr:colOff>
      <xdr:row>27</xdr:row>
      <xdr:rowOff>165651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202D732A-948E-42DF-B7CC-266CE69541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130661</xdr:colOff>
      <xdr:row>27</xdr:row>
      <xdr:rowOff>151848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0.39791</cdr:x>
      <cdr:y>0.6948</cdr:y>
    </cdr:from>
    <cdr:to>
      <cdr:x>0.50925</cdr:x>
      <cdr:y>0.75481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4193457" y="3676177"/>
          <a:ext cx="1173372" cy="3175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0.10853</cdr:x>
      <cdr:y>0.30807</cdr:y>
    </cdr:from>
    <cdr:to>
      <cdr:x>0.3063</cdr:x>
      <cdr:y>0.3759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143364" y="1641920"/>
          <a:ext cx="2083474" cy="3615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0.56686</cdr:x>
      <cdr:y>0.35973</cdr:y>
    </cdr:from>
    <cdr:to>
      <cdr:x>0.76577</cdr:x>
      <cdr:y>0.42756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5971762" y="1917261"/>
          <a:ext cx="2095483" cy="3615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29</xdr:row>
      <xdr:rowOff>10886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100584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0</xdr:col>
      <xdr:colOff>609599</xdr:colOff>
      <xdr:row>30</xdr:row>
      <xdr:rowOff>0</xdr:rowOff>
    </xdr:from>
    <xdr:to>
      <xdr:col>16</xdr:col>
      <xdr:colOff>21772</xdr:colOff>
      <xdr:row>56</xdr:row>
      <xdr:rowOff>21771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20</xdr:col>
      <xdr:colOff>123825</xdr:colOff>
      <xdr:row>6</xdr:row>
      <xdr:rowOff>32385</xdr:rowOff>
    </xdr:from>
    <xdr:ext cx="1005840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12582525" y="1118235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17</xdr:col>
      <xdr:colOff>0</xdr:colOff>
      <xdr:row>30</xdr:row>
      <xdr:rowOff>-1</xdr:rowOff>
    </xdr:from>
    <xdr:to>
      <xdr:col>29</xdr:col>
      <xdr:colOff>261937</xdr:colOff>
      <xdr:row>56</xdr:row>
      <xdr:rowOff>83343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93DC105-6903-4CC4-9D4E-763149946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11905</xdr:colOff>
      <xdr:row>57</xdr:row>
      <xdr:rowOff>15714</xdr:rowOff>
    </xdr:from>
    <xdr:to>
      <xdr:col>29</xdr:col>
      <xdr:colOff>273843</xdr:colOff>
      <xdr:row>81</xdr:row>
      <xdr:rowOff>91440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tabSelected="1" zoomScale="69" zoomScaleNormal="69" workbookViewId="0"/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39" t="str">
        <f>C7&amp;" Covid-19 Active Case Projections"</f>
        <v>United Kingdom Covid-19 Active Case Projections</v>
      </c>
      <c r="C2" s="140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41"/>
      <c r="C3" s="142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97" t="s">
        <v>543</v>
      </c>
      <c r="X3" s="98"/>
      <c r="Y3" s="99"/>
      <c r="Z3" s="106" t="s">
        <v>349</v>
      </c>
      <c r="AA3" s="120"/>
      <c r="AB3" s="120"/>
      <c r="AC3" s="107"/>
    </row>
    <row r="4" spans="1:32" x14ac:dyDescent="0.25">
      <c r="A4" s="46"/>
      <c r="B4" s="141"/>
      <c r="C4" s="142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00"/>
      <c r="X4" s="101"/>
      <c r="Y4" s="102"/>
      <c r="Z4" s="108"/>
      <c r="AA4" s="121"/>
      <c r="AB4" s="121"/>
      <c r="AC4" s="109"/>
    </row>
    <row r="5" spans="1:32" x14ac:dyDescent="0.25">
      <c r="A5" s="46"/>
      <c r="B5" s="143"/>
      <c r="C5" s="144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03"/>
      <c r="X5" s="104"/>
      <c r="Y5" s="105"/>
      <c r="Z5" s="110"/>
      <c r="AA5" s="122"/>
      <c r="AB5" s="122"/>
      <c r="AC5" s="111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29" t="s">
        <v>477</v>
      </c>
      <c r="C7" s="152" t="str">
        <f>Z3</f>
        <v>United Kingdom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30"/>
      <c r="C8" s="153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97" t="s">
        <v>542</v>
      </c>
      <c r="X8" s="98"/>
      <c r="Y8" s="99"/>
      <c r="Z8" s="106">
        <v>5</v>
      </c>
      <c r="AA8" s="107"/>
      <c r="AB8" s="123" t="s">
        <v>551</v>
      </c>
      <c r="AC8" s="124"/>
      <c r="AD8" s="124"/>
      <c r="AE8" s="124"/>
      <c r="AF8" s="124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00"/>
      <c r="X9" s="101"/>
      <c r="Y9" s="102"/>
      <c r="Z9" s="108"/>
      <c r="AA9" s="109"/>
      <c r="AB9" s="123"/>
      <c r="AC9" s="124"/>
      <c r="AD9" s="124"/>
      <c r="AE9" s="124"/>
      <c r="AF9" s="124"/>
    </row>
    <row r="10" spans="1:32" ht="15.6" customHeight="1" x14ac:dyDescent="0.25">
      <c r="A10" s="46"/>
      <c r="B10" s="129" t="s">
        <v>505</v>
      </c>
      <c r="C10" s="160">
        <f>Projections_Data!C4</f>
        <v>11812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03"/>
      <c r="X10" s="104"/>
      <c r="Y10" s="105"/>
      <c r="Z10" s="110"/>
      <c r="AA10" s="111"/>
      <c r="AB10" s="123"/>
      <c r="AC10" s="124"/>
      <c r="AD10" s="124"/>
      <c r="AE10" s="124"/>
      <c r="AF10" s="124"/>
    </row>
    <row r="11" spans="1:32" ht="15.6" customHeight="1" x14ac:dyDescent="0.25">
      <c r="A11" s="46"/>
      <c r="B11" s="130"/>
      <c r="C11" s="161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5.6" customHeight="1" x14ac:dyDescent="0.25">
      <c r="A12" s="46"/>
      <c r="B12" s="129" t="s">
        <v>590</v>
      </c>
      <c r="C12" s="158">
        <f ca="1">Projections_Data!C6</f>
        <v>9715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5.6" customHeight="1" x14ac:dyDescent="0.25">
      <c r="A13" s="46"/>
      <c r="B13" s="130"/>
      <c r="C13" s="159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16" t="s">
        <v>544</v>
      </c>
      <c r="X13" s="116"/>
      <c r="Y13" s="116"/>
      <c r="Z13" s="116"/>
      <c r="AA13" s="116"/>
    </row>
    <row r="14" spans="1:32" ht="15.6" customHeight="1" x14ac:dyDescent="0.25">
      <c r="A14" s="46"/>
      <c r="B14" s="129" t="s">
        <v>591</v>
      </c>
      <c r="C14" s="156">
        <f ca="1">Projections_Data!C7</f>
        <v>1517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16"/>
      <c r="X14" s="116"/>
      <c r="Y14" s="116"/>
      <c r="Z14" s="116"/>
      <c r="AA14" s="116"/>
    </row>
    <row r="15" spans="1:32" ht="15.6" customHeight="1" x14ac:dyDescent="0.25">
      <c r="A15" s="46"/>
      <c r="B15" s="130"/>
      <c r="C15" s="15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35" t="s">
        <v>545</v>
      </c>
      <c r="X15" s="135"/>
      <c r="Y15" s="135"/>
      <c r="Z15" s="117">
        <v>0.4</v>
      </c>
      <c r="AA15" s="118"/>
    </row>
    <row r="16" spans="1:32" ht="15.6" customHeight="1" x14ac:dyDescent="0.25">
      <c r="A16" s="46"/>
      <c r="B16" s="129" t="s">
        <v>514</v>
      </c>
      <c r="C16" s="154">
        <f>Projections_Data!C8</f>
        <v>580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35"/>
      <c r="X16" s="135"/>
      <c r="Y16" s="135"/>
      <c r="Z16" s="118"/>
      <c r="AA16" s="118"/>
    </row>
    <row r="17" spans="1:42" ht="15.6" customHeight="1" x14ac:dyDescent="0.25">
      <c r="A17" s="46"/>
      <c r="B17" s="130"/>
      <c r="C17" s="155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35" t="s">
        <v>546</v>
      </c>
      <c r="X17" s="135"/>
      <c r="Y17" s="135"/>
      <c r="Z17" s="117">
        <v>0.25</v>
      </c>
      <c r="AA17" s="118"/>
    </row>
    <row r="18" spans="1:42" ht="15.6" customHeight="1" x14ac:dyDescent="0.25">
      <c r="A18" s="46"/>
      <c r="B18" s="127" t="s">
        <v>603</v>
      </c>
      <c r="C18" s="164">
        <f ca="1">Projections_Data!C11</f>
        <v>0.17191681343557641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35"/>
      <c r="X18" s="135"/>
      <c r="Y18" s="135"/>
      <c r="Z18" s="118"/>
      <c r="AA18" s="118"/>
    </row>
    <row r="19" spans="1:42" ht="15.6" customHeight="1" x14ac:dyDescent="0.25">
      <c r="A19" s="46"/>
      <c r="B19" s="128"/>
      <c r="C19" s="165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35" t="s">
        <v>547</v>
      </c>
      <c r="X19" s="135"/>
      <c r="Y19" s="135"/>
      <c r="Z19" s="117">
        <v>0.1</v>
      </c>
      <c r="AA19" s="118"/>
    </row>
    <row r="20" spans="1:42" ht="19.8" customHeight="1" x14ac:dyDescent="0.25">
      <c r="A20" s="46"/>
      <c r="B20" s="137" t="s">
        <v>507</v>
      </c>
      <c r="C20" s="131">
        <f>Projections_Data!C14</f>
        <v>13990.65170689833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35"/>
      <c r="X20" s="135"/>
      <c r="Y20" s="135"/>
      <c r="Z20" s="118"/>
      <c r="AA20" s="118"/>
    </row>
    <row r="21" spans="1:42" ht="19.8" customHeight="1" x14ac:dyDescent="0.25">
      <c r="A21" s="46"/>
      <c r="B21" s="138"/>
      <c r="C21" s="132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9.8" customHeight="1" x14ac:dyDescent="0.25">
      <c r="A22" s="46"/>
      <c r="B22" s="127" t="s">
        <v>604</v>
      </c>
      <c r="C22" s="166">
        <f>Projections_Data!C13</f>
        <v>0.1990641741051542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498</v>
      </c>
    </row>
    <row r="23" spans="1:42" ht="19.8" customHeight="1" x14ac:dyDescent="0.25">
      <c r="A23" s="46"/>
      <c r="B23" s="128"/>
      <c r="C23" s="16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29" t="s">
        <v>605</v>
      </c>
      <c r="C24" s="154">
        <f>C16*(1+C22)</f>
        <v>695.4572209809894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30"/>
      <c r="C25" s="155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</row>
    <row r="26" spans="1:42" ht="15.6" customHeight="1" x14ac:dyDescent="0.25">
      <c r="A26" s="46"/>
      <c r="B26" s="133" t="s">
        <v>529</v>
      </c>
      <c r="C26" s="133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15.6" customHeight="1" x14ac:dyDescent="0.25">
      <c r="A27" s="46"/>
      <c r="B27" s="134"/>
      <c r="C27" s="134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x14ac:dyDescent="0.25">
      <c r="A28" s="46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8"/>
    </row>
    <row r="29" spans="1:42" ht="15.6" customHeight="1" x14ac:dyDescent="0.25">
      <c r="A29" s="46"/>
      <c r="B29" s="139" t="str">
        <f>Projections_Data!B35</f>
        <v xml:space="preserve">United Kingdom critically ill projections </v>
      </c>
      <c r="C29" s="140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41"/>
      <c r="C30" s="142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41"/>
      <c r="C31" s="142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43"/>
      <c r="C32" s="144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16" t="s">
        <v>548</v>
      </c>
      <c r="X32" s="116"/>
      <c r="Y32" s="116"/>
      <c r="Z32" s="119"/>
      <c r="AA32" s="119"/>
      <c r="AB32" s="112" t="s">
        <v>549</v>
      </c>
      <c r="AC32" s="113"/>
      <c r="AD32" s="11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13"/>
      <c r="AP32" s="113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16"/>
      <c r="X33" s="116"/>
      <c r="Y33" s="116"/>
      <c r="Z33" s="119"/>
      <c r="AA33" s="119"/>
      <c r="AB33" s="112"/>
      <c r="AC33" s="113"/>
      <c r="AD33" s="11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13"/>
      <c r="AP33" s="113"/>
    </row>
    <row r="34" spans="1:43" ht="15.6" customHeight="1" x14ac:dyDescent="0.25">
      <c r="A34" s="46"/>
      <c r="B34" s="126" t="s">
        <v>465</v>
      </c>
      <c r="C34" s="125">
        <f>Projections_Data!C16</f>
        <v>4480.4767259999999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16"/>
      <c r="X34" s="116"/>
      <c r="Y34" s="116"/>
      <c r="Z34" s="119"/>
      <c r="AA34" s="119"/>
      <c r="AB34" s="112"/>
      <c r="AC34" s="113"/>
      <c r="AD34" s="11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13"/>
      <c r="AP34" s="113"/>
    </row>
    <row r="35" spans="1:43" ht="18" customHeight="1" x14ac:dyDescent="0.25">
      <c r="A35" s="46"/>
      <c r="B35" s="126"/>
      <c r="C35" s="125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16"/>
      <c r="X35" s="116"/>
      <c r="Y35" s="116"/>
      <c r="Z35" s="119"/>
      <c r="AA35" s="119"/>
      <c r="AB35" s="112"/>
      <c r="AC35" s="113"/>
      <c r="AD35" s="11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13"/>
      <c r="AP35" s="113"/>
    </row>
    <row r="36" spans="1:43" ht="18" customHeight="1" x14ac:dyDescent="0.25">
      <c r="A36" s="46"/>
      <c r="B36" s="136" t="s">
        <v>519</v>
      </c>
      <c r="C36" s="162">
        <f>Projections_Data!C15</f>
        <v>0.12275651879444632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16"/>
      <c r="X36" s="116"/>
      <c r="Y36" s="116"/>
      <c r="Z36" s="119"/>
      <c r="AA36" s="119"/>
      <c r="AB36" s="112"/>
      <c r="AC36" s="113"/>
      <c r="AD36" s="11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13"/>
      <c r="AP36" s="113"/>
    </row>
    <row r="37" spans="1:43" ht="20.399999999999999" customHeight="1" x14ac:dyDescent="0.25">
      <c r="A37" s="46"/>
      <c r="B37" s="136"/>
      <c r="C37" s="162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136" t="s">
        <v>518</v>
      </c>
      <c r="C38" s="125">
        <f ca="1">Projections!C12*Projections!C36</f>
        <v>1192.579580088046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136"/>
      <c r="C39" s="125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16" t="s">
        <v>465</v>
      </c>
      <c r="X39" s="116"/>
      <c r="Y39" s="116"/>
      <c r="Z39" s="115"/>
      <c r="AA39" s="115"/>
      <c r="AB39" s="114" t="s">
        <v>550</v>
      </c>
      <c r="AC39" s="114"/>
      <c r="AD39" s="114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14"/>
      <c r="AP39" s="114"/>
      <c r="AQ39" s="114"/>
    </row>
    <row r="40" spans="1:43" ht="20.399999999999999" customHeight="1" x14ac:dyDescent="0.25">
      <c r="A40" s="46"/>
      <c r="B40" s="136" t="s">
        <v>488</v>
      </c>
      <c r="C40" s="148">
        <f ca="1">Projections_Data!D31</f>
        <v>43925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16"/>
      <c r="X40" s="116"/>
      <c r="Y40" s="116"/>
      <c r="Z40" s="115"/>
      <c r="AA40" s="115"/>
      <c r="AB40" s="114"/>
      <c r="AC40" s="114"/>
      <c r="AD40" s="114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14"/>
      <c r="AP40" s="114"/>
      <c r="AQ40" s="114"/>
    </row>
    <row r="41" spans="1:43" ht="20.399999999999999" customHeight="1" x14ac:dyDescent="0.25">
      <c r="A41" s="46"/>
      <c r="B41" s="136"/>
      <c r="C41" s="148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16"/>
      <c r="X41" s="116"/>
      <c r="Y41" s="116"/>
      <c r="Z41" s="115"/>
      <c r="AA41" s="115"/>
      <c r="AB41" s="114"/>
      <c r="AC41" s="114"/>
      <c r="AD41" s="114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14"/>
      <c r="AP41" s="114"/>
      <c r="AQ41" s="114"/>
    </row>
    <row r="42" spans="1:43" ht="20.399999999999999" customHeight="1" x14ac:dyDescent="0.25">
      <c r="A42" s="46"/>
      <c r="B42" s="126" t="s">
        <v>489</v>
      </c>
      <c r="C42" s="147">
        <f ca="1">IFERROR(C40-TODAY(),"N/A")</f>
        <v>8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16"/>
      <c r="X42" s="116"/>
      <c r="Y42" s="116"/>
      <c r="Z42" s="115"/>
      <c r="AA42" s="115"/>
      <c r="AB42" s="114"/>
      <c r="AC42" s="114"/>
      <c r="AD42" s="114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14"/>
      <c r="AP42" s="114"/>
      <c r="AQ42" s="114"/>
    </row>
    <row r="43" spans="1:43" ht="18" customHeight="1" x14ac:dyDescent="0.25">
      <c r="A43" s="46"/>
      <c r="B43" s="126"/>
      <c r="C43" s="1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45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45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46"/>
      <c r="C45" s="146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97" t="s">
        <v>542</v>
      </c>
      <c r="X45" s="98"/>
      <c r="Y45" s="99"/>
      <c r="Z45" s="106"/>
      <c r="AA45" s="107"/>
    </row>
    <row r="46" spans="1:43" ht="15.6" customHeight="1" x14ac:dyDescent="0.25">
      <c r="A46" s="46"/>
      <c r="B46" s="146"/>
      <c r="C46" s="146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00"/>
      <c r="X46" s="101"/>
      <c r="Y46" s="102"/>
      <c r="Z46" s="108"/>
      <c r="AA46" s="109"/>
    </row>
    <row r="47" spans="1:43" ht="13.8" customHeight="1" x14ac:dyDescent="0.25">
      <c r="A47" s="46"/>
      <c r="B47" s="146"/>
      <c r="C47" s="146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03"/>
      <c r="X47" s="104"/>
      <c r="Y47" s="105"/>
      <c r="Z47" s="110"/>
      <c r="AA47" s="111"/>
    </row>
    <row r="48" spans="1:43" ht="14.4" customHeight="1" x14ac:dyDescent="0.25">
      <c r="A48" s="46"/>
      <c r="B48" s="146"/>
      <c r="C48" s="146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149" t="str">
        <f>"Source: Analysis of John Hopkins University and WHO data.
Data updated: "&amp;TEXT(Projections_Data!C2,"DD/MM/YYYY")&amp;"."</f>
        <v>Source: Analysis of John Hopkins University and WHO data.
Data updated: 26/03/2020.</v>
      </c>
      <c r="C49" s="149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150"/>
      <c r="C50" s="150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150"/>
      <c r="C51" s="150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150"/>
      <c r="C52" s="150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51"/>
      <c r="C53" s="151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3"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  <mergeCell ref="B36:B37"/>
    <mergeCell ref="B22:B23"/>
    <mergeCell ref="B29:C32"/>
    <mergeCell ref="B44:C48"/>
    <mergeCell ref="B40:B41"/>
    <mergeCell ref="C42:C43"/>
    <mergeCell ref="B42:B43"/>
    <mergeCell ref="C40:C41"/>
    <mergeCell ref="C38:C39"/>
    <mergeCell ref="B38:B39"/>
    <mergeCell ref="W3:Y5"/>
    <mergeCell ref="Z3:AC5"/>
    <mergeCell ref="AB8:AF10"/>
    <mergeCell ref="C34:C35"/>
    <mergeCell ref="B34:B35"/>
    <mergeCell ref="B20:B21"/>
    <mergeCell ref="C20:C21"/>
    <mergeCell ref="B18:B19"/>
    <mergeCell ref="C18:C19"/>
    <mergeCell ref="B26:C27"/>
    <mergeCell ref="W13:AA14"/>
    <mergeCell ref="W15:Y16"/>
    <mergeCell ref="Z15:AA16"/>
    <mergeCell ref="W17:Y18"/>
    <mergeCell ref="Z17:AA18"/>
    <mergeCell ref="W19:Y20"/>
    <mergeCell ref="Z19:AA20"/>
    <mergeCell ref="W32:Y36"/>
    <mergeCell ref="Z32:AA36"/>
    <mergeCell ref="Z8:AA10"/>
    <mergeCell ref="W8:Y10"/>
    <mergeCell ref="W45:Y47"/>
    <mergeCell ref="Z45:AA47"/>
    <mergeCell ref="AB32:AP36"/>
    <mergeCell ref="AB39:AQ42"/>
    <mergeCell ref="Z39:AA42"/>
    <mergeCell ref="W39:Y42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Days_Since_100!$C$5:$C$49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zoomScale="118" zoomScaleNormal="118" workbookViewId="0">
      <selection activeCell="H72" sqref="H72"/>
    </sheetView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3" t="s">
        <v>559</v>
      </c>
      <c r="C2" s="163"/>
      <c r="D2" s="163"/>
      <c r="E2" s="163"/>
      <c r="F2" s="163"/>
      <c r="G2" s="163"/>
      <c r="H2" s="163"/>
    </row>
    <row r="3" spans="2:18" ht="34.799999999999997" thickBot="1" x14ac:dyDescent="0.25">
      <c r="B3" s="63" t="s">
        <v>511</v>
      </c>
      <c r="C3" s="64" t="s">
        <v>477</v>
      </c>
      <c r="D3" s="64" t="s">
        <v>558</v>
      </c>
      <c r="E3" s="64" t="s">
        <v>503</v>
      </c>
      <c r="F3" s="64" t="s">
        <v>565</v>
      </c>
      <c r="G3" s="64" t="s">
        <v>567</v>
      </c>
      <c r="H3" s="65" t="s">
        <v>568</v>
      </c>
      <c r="J3" s="72" t="s">
        <v>540</v>
      </c>
      <c r="K3" s="64" t="s">
        <v>515</v>
      </c>
      <c r="L3" s="64" t="s">
        <v>478</v>
      </c>
      <c r="M3" s="65" t="s">
        <v>516</v>
      </c>
      <c r="Q3" s="73" t="s">
        <v>541</v>
      </c>
    </row>
    <row r="4" spans="2:18" s="59" customFormat="1" ht="13.8" customHeight="1" x14ac:dyDescent="0.2">
      <c r="B4" s="83">
        <v>1</v>
      </c>
      <c r="C4" s="78" t="s">
        <v>78</v>
      </c>
      <c r="D4" s="79">
        <f>VLOOKUP(C4,Country_Data!B:F,5,FALSE)</f>
        <v>6909</v>
      </c>
      <c r="E4" s="75">
        <f>D4*Projections_Data!$C$15</f>
        <v>848.1247883508297</v>
      </c>
      <c r="F4" s="79">
        <f>VLOOKUP(C4,Country_Data!C:G,5,FALSE)</f>
        <v>49</v>
      </c>
      <c r="G4" s="80">
        <f>IFERROR(VLOOKUP(C4,Days_Since_100!C:G,5,FALSE)-1,0)</f>
        <v>0.19679073910745104</v>
      </c>
      <c r="H4" s="84">
        <f>IFERROR(VLOOKUP(C4,Deaths_since_10!C:G,5,FALSE)-1,0)</f>
        <v>0.43688237801406848</v>
      </c>
      <c r="I4" s="58"/>
      <c r="J4" s="68" t="str">
        <f>IFERROR(LOG((M4/E4),1+G4),"")</f>
        <v/>
      </c>
      <c r="K4" s="67">
        <v>12.2</v>
      </c>
      <c r="L4" s="61">
        <f>VLOOKUP(C4,Country_Data!C:J,8,FALSE)</f>
        <v>9006398</v>
      </c>
      <c r="M4" s="60"/>
      <c r="O4" s="59">
        <f t="array" ref="O4">IF(OR(C4=$Q$4:$Q$22),1,0)</f>
        <v>0</v>
      </c>
      <c r="Q4" s="59" t="s">
        <v>41</v>
      </c>
    </row>
    <row r="5" spans="2:18" s="59" customFormat="1" ht="13.8" customHeight="1" x14ac:dyDescent="0.3">
      <c r="B5" s="66">
        <f t="shared" ref="B5:B36" si="0">B4+1</f>
        <v>2</v>
      </c>
      <c r="C5" s="62" t="s">
        <v>81</v>
      </c>
      <c r="D5" s="75">
        <f>VLOOKUP(C5,Country_Data!B:F,5,FALSE)</f>
        <v>2985</v>
      </c>
      <c r="E5" s="75">
        <f>D5*Projections_Data!$C$15</f>
        <v>366.42820860142228</v>
      </c>
      <c r="F5" s="75">
        <f>VLOOKUP(C5,Country_Data!C:G,5,FALSE)</f>
        <v>77</v>
      </c>
      <c r="G5" s="76">
        <f>IFERROR(VLOOKUP(C5,Days_Since_100!C:G,5,FALSE)-1,0)</f>
        <v>0.23932074288758809</v>
      </c>
      <c r="H5" s="77">
        <f>IFERROR(VLOOKUP(C5,Deaths_since_10!C:G,5,FALSE)-1,0)</f>
        <v>0.38701096125132395</v>
      </c>
      <c r="J5" s="68">
        <f>IFERROR(LOG((M5/E5),1+G5),"")</f>
        <v>14.881792237268851</v>
      </c>
      <c r="K5" s="67">
        <v>4.2</v>
      </c>
      <c r="L5" s="61">
        <f>VLOOKUP(C5,Country_Data!C:J,8,FALSE)</f>
        <v>212559417</v>
      </c>
      <c r="M5" s="60">
        <f>(L5/100000)*K5</f>
        <v>8927.4955140000002</v>
      </c>
      <c r="O5" s="59">
        <f t="array" ref="O5">IF(OR(C5=$Q$4:$Q$22),1,0)</f>
        <v>0</v>
      </c>
      <c r="Q5" s="59" t="s">
        <v>38</v>
      </c>
    </row>
    <row r="6" spans="2:18" s="59" customFormat="1" ht="13.8" customHeight="1" x14ac:dyDescent="0.3">
      <c r="B6" s="66">
        <f t="shared" si="0"/>
        <v>3</v>
      </c>
      <c r="C6" s="62" t="s">
        <v>108</v>
      </c>
      <c r="D6" s="75">
        <f>VLOOKUP(C6,Country_Data!B:F,5,FALSE)</f>
        <v>3544</v>
      </c>
      <c r="E6" s="75">
        <f>D6*Projections_Data!$C$15</f>
        <v>435.0491026075178</v>
      </c>
      <c r="F6" s="75">
        <f>VLOOKUP(C6,Country_Data!C:G,5,FALSE)</f>
        <v>60</v>
      </c>
      <c r="G6" s="76">
        <f>IFERROR(VLOOKUP(C6,Days_Since_100!C:G,5,FALSE)-1,0)</f>
        <v>0.22590480902321808</v>
      </c>
      <c r="H6" s="77">
        <f>IFERROR(VLOOKUP(C6,Deaths_since_10!C:G,5,FALSE)-1,0)</f>
        <v>0.3797296614612149</v>
      </c>
      <c r="J6" s="68">
        <f>IFERROR(LOG((M6/E6),1+G6),"")</f>
        <v>4.9106455267958458</v>
      </c>
      <c r="K6" s="67">
        <v>11.6</v>
      </c>
      <c r="L6" s="61">
        <f>VLOOKUP(C6,Country_Data!C:J,8,FALSE)</f>
        <v>10196709</v>
      </c>
      <c r="M6" s="60">
        <f>(L6/100000)*K6</f>
        <v>1182.818244</v>
      </c>
      <c r="O6" s="59">
        <f t="array" ref="O6">IF(OR(C6=$Q$4:$Q$22),1,0)</f>
        <v>0</v>
      </c>
      <c r="Q6" s="59" t="s">
        <v>349</v>
      </c>
    </row>
    <row r="7" spans="2:18" s="59" customFormat="1" ht="13.8" customHeight="1" x14ac:dyDescent="0.3">
      <c r="B7" s="66">
        <f t="shared" si="0"/>
        <v>4</v>
      </c>
      <c r="C7" s="62" t="s">
        <v>38</v>
      </c>
      <c r="D7" s="75">
        <f>VLOOKUP(C7,Country_Data!B:F,5,FALSE)</f>
        <v>83836</v>
      </c>
      <c r="E7" s="75">
        <f>D7*Projections_Data!$C$15</f>
        <v>10291.415509651202</v>
      </c>
      <c r="F7" s="75">
        <f>VLOOKUP(C7,Country_Data!C:G,5,FALSE)</f>
        <v>1209</v>
      </c>
      <c r="G7" s="76">
        <f>IFERROR(VLOOKUP(C7,Days_Since_100!C:G,5,FALSE)-1,0)</f>
        <v>0.26886538636721102</v>
      </c>
      <c r="H7" s="77">
        <f>IFERROR(VLOOKUP(C7,Deaths_since_10!C:G,5,FALSE)-1,0)</f>
        <v>0.31539923538504366</v>
      </c>
      <c r="J7" s="68" t="str">
        <f>IFERROR(LOG((M7/E7),1+G7),"")</f>
        <v/>
      </c>
      <c r="K7" s="67"/>
      <c r="L7" s="61">
        <f>VLOOKUP(C7,Country_Data!C:J,8,FALSE)</f>
        <v>331002651</v>
      </c>
      <c r="M7" s="60">
        <f>(L7/100000)*K7</f>
        <v>0</v>
      </c>
      <c r="O7" s="59">
        <f t="array" ref="O7">IF(OR(C7=$Q$4:$Q$22),1,0)</f>
        <v>1</v>
      </c>
      <c r="Q7" s="59" t="s">
        <v>58</v>
      </c>
    </row>
    <row r="8" spans="2:18" s="59" customFormat="1" ht="13.8" customHeight="1" x14ac:dyDescent="0.3">
      <c r="B8" s="66">
        <f t="shared" si="0"/>
        <v>5</v>
      </c>
      <c r="C8" s="62" t="s">
        <v>63</v>
      </c>
      <c r="D8" s="75">
        <f>VLOOKUP(C8,Country_Data!B:F,5,FALSE)</f>
        <v>6235</v>
      </c>
      <c r="E8" s="75">
        <f>D8*Projections_Data!$C$15</f>
        <v>765.38689468337282</v>
      </c>
      <c r="F8" s="75">
        <f>VLOOKUP(C8,Country_Data!C:G,5,FALSE)</f>
        <v>220</v>
      </c>
      <c r="G8" s="76">
        <f>IFERROR(VLOOKUP(C8,Days_Since_100!C:G,5,FALSE)-1,0)</f>
        <v>0.17238866723010027</v>
      </c>
      <c r="H8" s="77">
        <f>IFERROR(VLOOKUP(C8,Deaths_since_10!C:G,5,FALSE)-1,0)</f>
        <v>0.26843896801582701</v>
      </c>
      <c r="J8" s="68">
        <f>IFERROR(LOG((M8/E8),1+G8),"")</f>
        <v>-6.6320137218580246</v>
      </c>
      <c r="K8" s="67">
        <v>2.2999999999999998</v>
      </c>
      <c r="L8" s="61">
        <f>VLOOKUP(C8,Country_Data!C:J,8,FALSE)</f>
        <v>11589623</v>
      </c>
      <c r="M8" s="60">
        <f>(L8/100000)*K8</f>
        <v>266.561329</v>
      </c>
      <c r="O8" s="59">
        <f t="array" ref="O8">IF(OR(C8=$Q$4:$Q$22),1,0)</f>
        <v>0</v>
      </c>
      <c r="Q8" s="59" t="s">
        <v>60</v>
      </c>
    </row>
    <row r="9" spans="2:18" s="59" customFormat="1" ht="13.8" customHeight="1" x14ac:dyDescent="0.3">
      <c r="B9" s="66">
        <f t="shared" si="0"/>
        <v>6</v>
      </c>
      <c r="C9" s="62" t="s">
        <v>53</v>
      </c>
      <c r="D9" s="75">
        <f>VLOOKUP(C9,Country_Data!B:F,5,FALSE)</f>
        <v>43938</v>
      </c>
      <c r="E9" s="75">
        <f>D9*Projections_Data!$C$15</f>
        <v>5393.6759227903822</v>
      </c>
      <c r="F9" s="75">
        <f>VLOOKUP(C9,Country_Data!C:G,5,FALSE)</f>
        <v>267</v>
      </c>
      <c r="G9" s="76">
        <f>IFERROR(VLOOKUP(C9,Days_Since_100!C:G,5,FALSE)-1,0)</f>
        <v>0.14616360427005559</v>
      </c>
      <c r="H9" s="77">
        <f>IFERROR(VLOOKUP(C9,Deaths_since_10!C:G,5,FALSE)-1,0)</f>
        <v>0.26022007941246028</v>
      </c>
      <c r="J9" s="68" t="str">
        <f>IFERROR(LOG((M9/E9),1+G9),"")</f>
        <v/>
      </c>
      <c r="K9" s="67"/>
      <c r="L9" s="61">
        <f>VLOOKUP(C9,Country_Data!C:J,8,FALSE)</f>
        <v>83783942</v>
      </c>
      <c r="M9" s="60">
        <f>(L9/100000)*K9</f>
        <v>0</v>
      </c>
      <c r="O9" s="59">
        <f t="array" ref="O9">IF(OR(C9=$Q$4:$Q$22),1,0)</f>
        <v>1</v>
      </c>
      <c r="Q9" s="59" t="s">
        <v>53</v>
      </c>
    </row>
    <row r="10" spans="2:18" s="59" customFormat="1" ht="13.8" customHeight="1" x14ac:dyDescent="0.3">
      <c r="B10" s="66">
        <f t="shared" si="0"/>
        <v>7</v>
      </c>
      <c r="C10" s="62" t="s">
        <v>89</v>
      </c>
      <c r="D10" s="75">
        <f>VLOOKUP(C10,Country_Data!B:F,5,FALSE)</f>
        <v>7468</v>
      </c>
      <c r="E10" s="75">
        <f>D10*Projections_Data!$C$15</f>
        <v>916.74568235692516</v>
      </c>
      <c r="F10" s="75">
        <f>VLOOKUP(C10,Country_Data!C:G,5,FALSE)</f>
        <v>435</v>
      </c>
      <c r="G10" s="76">
        <f>IFERROR(VLOOKUP(C10,Days_Since_100!C:G,5,FALSE)-1,0)</f>
        <v>0.15457084113163511</v>
      </c>
      <c r="H10" s="77">
        <f>IFERROR(VLOOKUP(C10,Deaths_since_10!C:G,5,FALSE)-1,0)</f>
        <v>0.25995123905532203</v>
      </c>
      <c r="J10" s="68" t="str">
        <f>IFERROR(LOG((M10/E10),1+G10),"")</f>
        <v/>
      </c>
      <c r="K10" s="67"/>
      <c r="L10" s="61">
        <f>VLOOKUP(C10,Country_Data!C:J,8,FALSE)</f>
        <v>17134872</v>
      </c>
      <c r="M10" s="60">
        <f>(L10/100000)*K10</f>
        <v>0</v>
      </c>
      <c r="O10" s="59">
        <f t="array" ref="O10">IF(OR(C10=$Q$4:$Q$22),1,0)</f>
        <v>0</v>
      </c>
    </row>
    <row r="11" spans="2:18" s="59" customFormat="1" ht="13.8" customHeight="1" x14ac:dyDescent="0.3">
      <c r="B11" s="66">
        <f t="shared" si="0"/>
        <v>8</v>
      </c>
      <c r="C11" s="62" t="s">
        <v>137</v>
      </c>
      <c r="D11" s="75">
        <f>VLOOKUP(C11,Country_Data!B:F,5,FALSE)</f>
        <v>1221</v>
      </c>
      <c r="E11" s="75">
        <f>D11*Projections_Data!$C$15</f>
        <v>149.88570944801896</v>
      </c>
      <c r="F11" s="75">
        <f>VLOOKUP(C11,Country_Data!C:G,5,FALSE)</f>
        <v>16</v>
      </c>
      <c r="G11" s="76">
        <f>IFERROR(VLOOKUP(C11,Days_Since_100!C:G,5,FALSE)-1,0)</f>
        <v>0.17899014484237785</v>
      </c>
      <c r="H11" s="77">
        <f>IFERROR(VLOOKUP(C11,Deaths_since_10!C:G,5,FALSE)-1,0)</f>
        <v>0.25992104989487319</v>
      </c>
      <c r="J11" s="68" t="str">
        <f>IFERROR(LOG((M11/E11),1+G11),"")</f>
        <v/>
      </c>
      <c r="K11" s="67"/>
      <c r="L11" s="61">
        <f>VLOOKUP(C11,Country_Data!C:J,8,FALSE)</f>
        <v>37846611</v>
      </c>
      <c r="M11" s="60">
        <f>(L11/100000)*K11</f>
        <v>0</v>
      </c>
      <c r="O11" s="59">
        <f t="array" ref="O11">IF(OR(C11=$Q$4:$Q$22),1,0)</f>
        <v>0</v>
      </c>
    </row>
    <row r="12" spans="2:18" s="59" customFormat="1" ht="13.8" customHeight="1" x14ac:dyDescent="0.3">
      <c r="B12" s="66">
        <f t="shared" si="0"/>
        <v>9</v>
      </c>
      <c r="C12" s="62" t="s">
        <v>60</v>
      </c>
      <c r="D12" s="75">
        <f>VLOOKUP(C12,Country_Data!B:F,5,FALSE)</f>
        <v>57786</v>
      </c>
      <c r="E12" s="75">
        <f>D12*Projections_Data!$C$15</f>
        <v>7093.6081950558755</v>
      </c>
      <c r="F12" s="75">
        <f>VLOOKUP(C12,Country_Data!C:G,5,FALSE)</f>
        <v>4365</v>
      </c>
      <c r="G12" s="76">
        <f>IFERROR(VLOOKUP(C12,Days_Since_100!C:G,5,FALSE)-1,0)</f>
        <v>0.17892652613991467</v>
      </c>
      <c r="H12" s="77">
        <f>IFERROR(VLOOKUP(C12,Deaths_since_10!C:G,5,FALSE)-1,0)</f>
        <v>0.25990067896049363</v>
      </c>
      <c r="J12" s="68">
        <f>IFERROR(LOG((M12/E12),1+G12),"")</f>
        <v>-5.0568436150063221</v>
      </c>
      <c r="K12" s="67">
        <v>6.6</v>
      </c>
      <c r="L12" s="61">
        <f>VLOOKUP(C12,Country_Data!C:J,8,FALSE)</f>
        <v>46754778</v>
      </c>
      <c r="M12" s="60">
        <f>(L12/100000)*K12</f>
        <v>3085.8153479999996</v>
      </c>
      <c r="O12" s="59">
        <f t="array" ref="O12">IF(OR(C12=$Q$4:$Q$22),1,0)</f>
        <v>1</v>
      </c>
    </row>
    <row r="13" spans="2:18" s="59" customFormat="1" ht="13.8" customHeight="1" x14ac:dyDescent="0.3">
      <c r="B13" s="66">
        <f t="shared" si="0"/>
        <v>10</v>
      </c>
      <c r="C13" s="62" t="s">
        <v>103</v>
      </c>
      <c r="D13" s="75">
        <f>VLOOKUP(C13,Country_Data!B:F,5,FALSE)</f>
        <v>1403</v>
      </c>
      <c r="E13" s="75">
        <f>D13*Projections_Data!$C$15</f>
        <v>172.2273958686082</v>
      </c>
      <c r="F13" s="75">
        <f>VLOOKUP(C13,Country_Data!C:G,5,FALSE)</f>
        <v>34</v>
      </c>
      <c r="G13" s="76">
        <f>IFERROR(VLOOKUP(C13,Days_Since_100!C:G,5,FALSE)-1,0)</f>
        <v>0.22625680603203469</v>
      </c>
      <c r="H13" s="77">
        <f>IFERROR(VLOOKUP(C13,Deaths_since_10!C:G,5,FALSE)-1,0)</f>
        <v>0.24835389411334763</v>
      </c>
      <c r="J13" s="68" t="str">
        <f>IFERROR(LOG((M13/E13),1+G13),"")</f>
        <v/>
      </c>
      <c r="K13" s="67"/>
      <c r="L13" s="61">
        <f>VLOOKUP(C13,Country_Data!C:J,8,FALSE)</f>
        <v>17643054</v>
      </c>
      <c r="M13" s="60"/>
      <c r="O13" s="59">
        <f t="array" ref="O13">IF(OR(C13=$Q$4:$Q$22),1,0)</f>
        <v>0</v>
      </c>
    </row>
    <row r="14" spans="2:18" s="59" customFormat="1" ht="13.8" customHeight="1" x14ac:dyDescent="0.3">
      <c r="B14" s="66">
        <f t="shared" si="0"/>
        <v>11</v>
      </c>
      <c r="C14" s="62" t="s">
        <v>41</v>
      </c>
      <c r="D14" s="75">
        <f>VLOOKUP(C14,Country_Data!B:F,5,FALSE)</f>
        <v>29551</v>
      </c>
      <c r="E14" s="75">
        <f>D14*Projections_Data!$C$15</f>
        <v>3627.5778868946832</v>
      </c>
      <c r="F14" s="75">
        <f>VLOOKUP(C14,Country_Data!C:G,5,FALSE)</f>
        <v>1698</v>
      </c>
      <c r="G14" s="76">
        <f>IFERROR(VLOOKUP(C14,Days_Since_100!C:G,5,FALSE)-1,0)</f>
        <v>0.15361995339021162</v>
      </c>
      <c r="H14" s="77">
        <f>IFERROR(VLOOKUP(C14,Deaths_since_10!C:G,5,FALSE)-1,0)</f>
        <v>0.24705571851215247</v>
      </c>
      <c r="J14" s="68">
        <f>IFERROR(LOG((M14/E14),1+G14),"")</f>
        <v>0.98771312452678028</v>
      </c>
      <c r="K14" s="67">
        <v>6.4</v>
      </c>
      <c r="L14" s="61">
        <f>VLOOKUP(C14,Country_Data!C:J,8,FALSE)</f>
        <v>65273511</v>
      </c>
      <c r="M14" s="60">
        <f>(L14/100000)*K14</f>
        <v>4177.5047039999999</v>
      </c>
      <c r="O14" s="59">
        <f t="array" ref="O14">IF(OR(C14=$Q$4:$Q$22),1,0)</f>
        <v>1</v>
      </c>
      <c r="P14" s="95" t="s">
        <v>594</v>
      </c>
      <c r="Q14" s="96">
        <v>20</v>
      </c>
      <c r="R14" s="95" t="s">
        <v>595</v>
      </c>
    </row>
    <row r="15" spans="2:18" s="59" customFormat="1" ht="13.8" customHeight="1" x14ac:dyDescent="0.3">
      <c r="B15" s="66">
        <f t="shared" si="0"/>
        <v>12</v>
      </c>
      <c r="C15" s="62" t="s">
        <v>43</v>
      </c>
      <c r="D15" s="75">
        <f>VLOOKUP(C15,Country_Data!B:F,5,FALSE)</f>
        <v>2031</v>
      </c>
      <c r="E15" s="75">
        <f>D15*Projections_Data!$C$15</f>
        <v>249.3184896715205</v>
      </c>
      <c r="F15" s="75">
        <f>VLOOKUP(C15,Country_Data!C:G,5,FALSE)</f>
        <v>23</v>
      </c>
      <c r="G15" s="76">
        <f>IFERROR(VLOOKUP(C15,Days_Since_100!C:G,5,FALSE)-1,0)</f>
        <v>0.11415351756601733</v>
      </c>
      <c r="H15" s="77">
        <f>IFERROR(VLOOKUP(C15,Deaths_since_10!C:G,5,FALSE)-1,0)</f>
        <v>0.23149303238398788</v>
      </c>
      <c r="J15" s="68">
        <f>IFERROR(LOG((M15/E15),1+G15),"")</f>
        <v>30.754014330720498</v>
      </c>
      <c r="K15" s="67">
        <v>21.4</v>
      </c>
      <c r="L15" s="61">
        <f>VLOOKUP(C15,Country_Data!C:J,8,FALSE)</f>
        <v>32365999</v>
      </c>
      <c r="M15" s="60">
        <f>(L15/100000)*K15</f>
        <v>6926.323785999999</v>
      </c>
      <c r="O15" s="59">
        <f t="array" ref="O15">IF(OR(C15=$Q$4:$Q$22),1,0)</f>
        <v>0</v>
      </c>
    </row>
    <row r="16" spans="2:18" s="59" customFormat="1" ht="13.8" customHeight="1" x14ac:dyDescent="0.3">
      <c r="B16" s="66">
        <f t="shared" si="0"/>
        <v>13</v>
      </c>
      <c r="C16" s="62" t="s">
        <v>77</v>
      </c>
      <c r="D16" s="75">
        <f>VLOOKUP(C16,Country_Data!B:F,5,FALSE)</f>
        <v>11811</v>
      </c>
      <c r="E16" s="75">
        <f>D16*Projections_Data!$C$15</f>
        <v>1449.8772434812056</v>
      </c>
      <c r="F16" s="75">
        <f>VLOOKUP(C16,Country_Data!C:G,5,FALSE)</f>
        <v>191</v>
      </c>
      <c r="G16" s="76">
        <f>IFERROR(VLOOKUP(C16,Days_Since_100!C:G,5,FALSE)-1,0)</f>
        <v>0.12428957187309364</v>
      </c>
      <c r="H16" s="77">
        <f>IFERROR(VLOOKUP(C16,Deaths_since_10!C:G,5,FALSE)-1,0)</f>
        <v>0.20557552002444002</v>
      </c>
      <c r="J16" s="68" t="str">
        <f>IFERROR(LOG((M16/E16),1+G16),"")</f>
        <v/>
      </c>
      <c r="K16" s="67"/>
      <c r="L16" s="61">
        <f>VLOOKUP(C16,Country_Data!C:J,8,FALSE)</f>
        <v>8654622</v>
      </c>
      <c r="M16" s="60">
        <f>(L16/100000)*K16</f>
        <v>0</v>
      </c>
      <c r="O16" s="59">
        <f t="array" ref="O16">IF(OR(C16=$Q$4:$Q$22),1,0)</f>
        <v>0</v>
      </c>
    </row>
    <row r="17" spans="2:15" s="59" customFormat="1" ht="13.8" customHeight="1" x14ac:dyDescent="0.3">
      <c r="B17" s="66">
        <f t="shared" si="0"/>
        <v>14</v>
      </c>
      <c r="C17" s="62" t="s">
        <v>349</v>
      </c>
      <c r="D17" s="75">
        <f>VLOOKUP(C17,Country_Data!B:F,5,FALSE)</f>
        <v>11812</v>
      </c>
      <c r="E17" s="75">
        <f>D17*Projections_Data!$C$15</f>
        <v>1450</v>
      </c>
      <c r="F17" s="75">
        <f>VLOOKUP(C17,Country_Data!C:G,5,FALSE)</f>
        <v>580</v>
      </c>
      <c r="G17" s="76">
        <f>IFERROR(VLOOKUP(C17,Days_Since_100!C:G,5,FALSE)-1,0)</f>
        <v>0.18444393048580521</v>
      </c>
      <c r="H17" s="77">
        <f>IFERROR(VLOOKUP(C17,Deaths_since_10!C:G,5,FALSE)-1,0)</f>
        <v>0.1990641741051542</v>
      </c>
      <c r="J17" s="68">
        <f>IFERROR(LOG((M17/E17),1+G17),"")</f>
        <v>13.723397264611416</v>
      </c>
      <c r="K17" s="67">
        <v>21.8</v>
      </c>
      <c r="L17" s="61">
        <f>VLOOKUP(C17,Country_Data!C:J,8,FALSE)</f>
        <v>67886011</v>
      </c>
      <c r="M17" s="60">
        <f>(L17/100000)*K17</f>
        <v>14799.150398</v>
      </c>
      <c r="O17" s="59">
        <f t="array" ref="O17">IF(OR(C17=$Q$4:$Q$22),1,0)</f>
        <v>1</v>
      </c>
    </row>
    <row r="18" spans="2:15" s="59" customFormat="1" ht="13.8" customHeight="1" x14ac:dyDescent="0.3">
      <c r="B18" s="66">
        <f t="shared" si="0"/>
        <v>15</v>
      </c>
      <c r="C18" s="62" t="s">
        <v>56</v>
      </c>
      <c r="D18" s="75">
        <f>VLOOKUP(C18,Country_Data!B:F,5,FALSE)</f>
        <v>707</v>
      </c>
      <c r="E18" s="75">
        <f>D18*Projections_Data!$C$15</f>
        <v>86.788858787673547</v>
      </c>
      <c r="F18" s="75">
        <f>VLOOKUP(C18,Country_Data!C:G,5,FALSE)</f>
        <v>45</v>
      </c>
      <c r="G18" s="76">
        <f>IFERROR(VLOOKUP(C18,Days_Since_100!C:G,5,FALSE)-1,0)</f>
        <v>0.18156116313221649</v>
      </c>
      <c r="H18" s="77">
        <f>IFERROR(VLOOKUP(C18,Deaths_since_10!C:G,5,FALSE)-1,0)</f>
        <v>0.18820611352011474</v>
      </c>
      <c r="J18" s="68">
        <f>IFERROR(LOG((M18/E18),1+G18),"")</f>
        <v>30.338071431242295</v>
      </c>
      <c r="K18" s="67">
        <v>12.5</v>
      </c>
      <c r="L18" s="61">
        <f>VLOOKUP(C18,Country_Data!C:J,8,FALSE)</f>
        <v>109581078</v>
      </c>
      <c r="M18" s="60">
        <f>(L18/100000)*K18</f>
        <v>13697.634750000001</v>
      </c>
      <c r="O18" s="59">
        <f t="array" ref="O18">IF(OR(C18=$Q$4:$Q$22),1,0)</f>
        <v>0</v>
      </c>
    </row>
    <row r="19" spans="2:15" s="59" customFormat="1" ht="13.8" customHeight="1" x14ac:dyDescent="0.3">
      <c r="B19" s="66">
        <f t="shared" si="0"/>
        <v>16</v>
      </c>
      <c r="C19" s="62" t="s">
        <v>107</v>
      </c>
      <c r="D19" s="75">
        <f>VLOOKUP(C19,Country_Data!B:F,5,FALSE)</f>
        <v>893</v>
      </c>
      <c r="E19" s="75">
        <f>D19*Projections_Data!$C$15</f>
        <v>109.62157128344057</v>
      </c>
      <c r="F19" s="75">
        <f>VLOOKUP(C19,Country_Data!C:G,5,FALSE)</f>
        <v>78</v>
      </c>
      <c r="G19" s="76">
        <f>IFERROR(VLOOKUP(C19,Days_Since_100!C:G,5,FALSE)-1,0)</f>
        <v>0.14690590567177919</v>
      </c>
      <c r="H19" s="77">
        <f>IFERROR(VLOOKUP(C19,Deaths_since_10!C:G,5,FALSE)-1,0)</f>
        <v>0.15468148270605053</v>
      </c>
      <c r="J19" s="68" t="str">
        <f>IFERROR(LOG((M19/E19),1+G19),"")</f>
        <v/>
      </c>
      <c r="K19" s="67"/>
      <c r="L19" s="61">
        <f>VLOOKUP(C19,Country_Data!C:J,8,FALSE)</f>
        <v>273523615</v>
      </c>
      <c r="M19" s="60">
        <f>(L19/100000)*K19</f>
        <v>0</v>
      </c>
      <c r="O19" s="59">
        <f t="array" ref="O19">IF(OR(C19=$Q$4:$Q$22),1,0)</f>
        <v>0</v>
      </c>
    </row>
    <row r="20" spans="2:15" s="59" customFormat="1" ht="13.8" customHeight="1" x14ac:dyDescent="0.3">
      <c r="B20" s="66">
        <f t="shared" si="0"/>
        <v>17</v>
      </c>
      <c r="C20" s="62" t="s">
        <v>45</v>
      </c>
      <c r="D20" s="75">
        <f>VLOOKUP(C20,Country_Data!B:F,5,FALSE)</f>
        <v>4042</v>
      </c>
      <c r="E20" s="75">
        <f>D20*Projections_Data!$C$15</f>
        <v>496.18184896715206</v>
      </c>
      <c r="F20" s="75">
        <f>VLOOKUP(C20,Country_Data!C:G,5,FALSE)</f>
        <v>38</v>
      </c>
      <c r="G20" s="76">
        <f>IFERROR(VLOOKUP(C20,Days_Since_100!C:G,5,FALSE)-1,0)</f>
        <v>0.25916047396116282</v>
      </c>
      <c r="H20" s="77">
        <f>IFERROR(VLOOKUP(C20,Deaths_since_10!C:G,5,FALSE)-1,0)</f>
        <v>0.1486983549970351</v>
      </c>
      <c r="J20" s="68">
        <f>IFERROR(LOG((M20/E20),1+G20),"")</f>
        <v>7.1945155151059161</v>
      </c>
      <c r="K20" s="67">
        <v>6.9</v>
      </c>
      <c r="L20" s="61">
        <f>VLOOKUP(C20,Country_Data!C:J,8,FALSE)</f>
        <v>37742154</v>
      </c>
      <c r="M20" s="60">
        <f>(L20/100000)*K20</f>
        <v>2604.2086260000001</v>
      </c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0"/>
        <v>18</v>
      </c>
      <c r="C21" s="62" t="s">
        <v>58</v>
      </c>
      <c r="D21" s="75">
        <f>VLOOKUP(C21,Country_Data!B:F,5,FALSE)</f>
        <v>80589</v>
      </c>
      <c r="E21" s="75">
        <f>D21*Projections_Data!$C$15</f>
        <v>9892.8250931256352</v>
      </c>
      <c r="F21" s="75">
        <f>VLOOKUP(C21,Country_Data!C:G,5,FALSE)</f>
        <v>8215</v>
      </c>
      <c r="G21" s="76">
        <f>IFERROR(VLOOKUP(C21,Days_Since_100!C:G,5,FALSE)-1,0)</f>
        <v>8.5070243600696482E-2</v>
      </c>
      <c r="H21" s="77">
        <f>IFERROR(VLOOKUP(C21,Deaths_since_10!C:G,5,FALSE)-1,0)</f>
        <v>0.11230028889083132</v>
      </c>
      <c r="J21" s="68">
        <f>IFERROR(LOG((M21/E21),1+G21),"")</f>
        <v>-12.287484289200897</v>
      </c>
      <c r="K21" s="67">
        <v>6</v>
      </c>
      <c r="L21" s="61">
        <f>VLOOKUP(C21,Country_Data!C:J,8,FALSE)</f>
        <v>60461826</v>
      </c>
      <c r="M21" s="60">
        <f>(L21/100000)*K21</f>
        <v>3627.7095599999998</v>
      </c>
      <c r="O21" s="59">
        <f t="array" ref="O21">IF(OR(C21=$Q$4:$Q$22),1,0)</f>
        <v>1</v>
      </c>
    </row>
    <row r="22" spans="2:15" s="59" customFormat="1" ht="13.8" customHeight="1" x14ac:dyDescent="0.3">
      <c r="B22" s="66">
        <f t="shared" si="0"/>
        <v>19</v>
      </c>
      <c r="C22" s="62" t="s">
        <v>145</v>
      </c>
      <c r="D22" s="75">
        <f>VLOOKUP(C22,Country_Data!B:F,5,FALSE)</f>
        <v>927</v>
      </c>
      <c r="E22" s="75">
        <f>D22*Projections_Data!$C$15</f>
        <v>113.79529292245174</v>
      </c>
      <c r="F22" s="75">
        <f>VLOOKUP(C22,Country_Data!C:G,5,FALSE)</f>
        <v>0</v>
      </c>
      <c r="G22" s="76">
        <f>IFERROR(VLOOKUP(C22,Days_Since_100!C:G,5,FALSE)-1,0)</f>
        <v>0.31030892293277157</v>
      </c>
      <c r="H22" s="77">
        <f>IFERROR(VLOOKUP(C22,Deaths_since_10!C:G,5,FALSE)-1,0)</f>
        <v>0</v>
      </c>
      <c r="J22" s="68" t="str">
        <f>IFERROR(LOG((M22/E22),1+G22),"")</f>
        <v/>
      </c>
      <c r="K22" s="67"/>
      <c r="L22" s="61">
        <f>VLOOKUP(C22,Country_Data!C:J,8,FALSE)</f>
        <v>59308690</v>
      </c>
      <c r="M22" s="60">
        <f>(L22/100000)*K22</f>
        <v>0</v>
      </c>
      <c r="O22" s="59">
        <f t="array" ref="O22">IF(OR(C22=$Q$4:$Q$22),1,0)</f>
        <v>0</v>
      </c>
    </row>
    <row r="23" spans="2:15" s="59" customFormat="1" ht="13.8" customHeight="1" thickBot="1" x14ac:dyDescent="0.35">
      <c r="B23" s="66">
        <f t="shared" si="0"/>
        <v>20</v>
      </c>
      <c r="C23" s="62" t="s">
        <v>124</v>
      </c>
      <c r="D23" s="75">
        <f>VLOOKUP(C23,Country_Data!B:F,5,FALSE)</f>
        <v>1306</v>
      </c>
      <c r="E23" s="75">
        <f>D23*Projections_Data!$C$15</f>
        <v>160.32001354554689</v>
      </c>
      <c r="F23" s="75">
        <f>VLOOKUP(C23,Country_Data!C:G,5,FALSE)</f>
        <v>4</v>
      </c>
      <c r="G23" s="76">
        <f>IFERROR(VLOOKUP(C23,Days_Since_100!C:G,5,FALSE)-1,0)</f>
        <v>0.19452096996814672</v>
      </c>
      <c r="H23" s="77">
        <f>IFERROR(VLOOKUP(C23,Deaths_since_10!C:G,5,FALSE)-1,0)</f>
        <v>0</v>
      </c>
      <c r="J23" s="68">
        <f>IFERROR(LOG((M23/E23),1+G23),"")</f>
        <v>19.973069512670381</v>
      </c>
      <c r="K23" s="67">
        <v>29.2</v>
      </c>
      <c r="L23" s="61">
        <f>VLOOKUP(C23,Country_Data!C:J,8,FALSE)</f>
        <v>19116201</v>
      </c>
      <c r="M23" s="60">
        <f>(L23/100000)*K23</f>
        <v>5581.9306919999999</v>
      </c>
      <c r="O23" s="59">
        <f t="array" ref="O23">IF(OR(C23=$Q$4:$Q$22),1,0)</f>
        <v>0</v>
      </c>
    </row>
    <row r="24" spans="2:15" s="59" customFormat="1" ht="13.8" hidden="1" customHeight="1" x14ac:dyDescent="0.3">
      <c r="B24" s="66">
        <f t="shared" si="0"/>
        <v>21</v>
      </c>
      <c r="C24" s="62" t="s">
        <v>99</v>
      </c>
      <c r="D24" s="75">
        <f>VLOOKUP(C24,Country_Data!B:F,5,FALSE)</f>
        <v>1453</v>
      </c>
      <c r="E24" s="75">
        <f>D24*Projections_Data!$C$15</f>
        <v>178.36522180833052</v>
      </c>
      <c r="F24" s="75">
        <f>VLOOKUP(C24,Country_Data!C:G,5,FALSE)</f>
        <v>9</v>
      </c>
      <c r="G24" s="76">
        <f>IFERROR(VLOOKUP(C24,Days_Since_100!C:G,5,FALSE)-1,0)</f>
        <v>0.1674496581072793</v>
      </c>
      <c r="H24" s="77">
        <f>IFERROR(VLOOKUP(C24,Deaths_since_10!C:G,5,FALSE)-1,0)</f>
        <v>2.3836255539609663E-2</v>
      </c>
      <c r="J24" s="68">
        <f t="shared" ref="J24:J43" si="1">IFERROR(LOG((M24/E24),1+G24),"")</f>
        <v>-0.89680361771946548</v>
      </c>
      <c r="K24" s="67">
        <v>24.8</v>
      </c>
      <c r="L24" s="61">
        <f>VLOOKUP(C24,Country_Data!C:J,8,FALSE)</f>
        <v>625978</v>
      </c>
      <c r="M24" s="60">
        <f t="shared" ref="M24:M27" si="2">(L24/100000)*K24</f>
        <v>155.24254400000001</v>
      </c>
      <c r="O24" s="59">
        <f t="array" ref="O24">IF(OR(C24=$Q$4:$Q$22),1,0)</f>
        <v>0</v>
      </c>
    </row>
    <row r="25" spans="2:15" s="59" customFormat="1" ht="13.8" hidden="1" customHeight="1" x14ac:dyDescent="0.3">
      <c r="B25" s="66">
        <f t="shared" si="0"/>
        <v>22</v>
      </c>
      <c r="C25" s="62" t="s">
        <v>35</v>
      </c>
      <c r="D25" s="75">
        <f>VLOOKUP(C25,Country_Data!B:F,5,FALSE)</f>
        <v>1045</v>
      </c>
      <c r="E25" s="75">
        <f>D25*Projections_Data!$C$15</f>
        <v>128.28056214019639</v>
      </c>
      <c r="F25" s="75">
        <f>VLOOKUP(C25,Country_Data!C:G,5,FALSE)</f>
        <v>4</v>
      </c>
      <c r="G25" s="76">
        <f>IFERROR(VLOOKUP(C25,Days_Since_100!C:G,5,FALSE)-1,0)</f>
        <v>0.20518826346585239</v>
      </c>
      <c r="H25" s="77">
        <f>IFERROR(VLOOKUP(C25,Deaths_since_10!C:G,5,FALSE)-1,0)</f>
        <v>0</v>
      </c>
      <c r="J25" s="68" t="str">
        <f t="shared" si="1"/>
        <v/>
      </c>
      <c r="K25" s="67"/>
      <c r="L25" s="61">
        <f>VLOOKUP(C25,Country_Data!C:J,8,FALSE)</f>
        <v>69799978</v>
      </c>
      <c r="M25" s="60">
        <f t="shared" si="2"/>
        <v>0</v>
      </c>
      <c r="O25" s="59">
        <f t="array" ref="O25">IF(OR(C25=$Q$4:$Q$22),1,0)</f>
        <v>0</v>
      </c>
    </row>
    <row r="26" spans="2:15" s="59" customFormat="1" ht="13.8" hidden="1" customHeight="1" x14ac:dyDescent="0.3">
      <c r="B26" s="66">
        <f t="shared" si="0"/>
        <v>23</v>
      </c>
      <c r="C26" s="62" t="s">
        <v>48</v>
      </c>
      <c r="D26" s="75">
        <f>VLOOKUP(C26,Country_Data!B:F,5,FALSE)</f>
        <v>2810</v>
      </c>
      <c r="E26" s="75">
        <f>D26*Projections_Data!$C$15</f>
        <v>344.94581781239418</v>
      </c>
      <c r="F26" s="75">
        <f>VLOOKUP(C26,Country_Data!C:G,5,FALSE)</f>
        <v>13</v>
      </c>
      <c r="G26" s="76">
        <f>IFERROR(VLOOKUP(C26,Days_Since_100!C:G,5,FALSE)-1,0)</f>
        <v>0.21278375158450702</v>
      </c>
      <c r="H26" s="77">
        <f>IFERROR(VLOOKUP(C26,Deaths_since_10!C:G,5,FALSE)-1,0)</f>
        <v>0.27475487839819612</v>
      </c>
      <c r="J26" s="68" t="str">
        <f t="shared" si="1"/>
        <v/>
      </c>
      <c r="K26" s="67"/>
      <c r="L26" s="61">
        <f>VLOOKUP(C26,Country_Data!C:J,8,FALSE)</f>
        <v>25499884</v>
      </c>
      <c r="M26" s="60">
        <f t="shared" si="2"/>
        <v>0</v>
      </c>
      <c r="O26" s="59">
        <f t="array" ref="O26">IF(OR(C26=$Q$4:$Q$22),1,0)</f>
        <v>0</v>
      </c>
    </row>
    <row r="27" spans="2:15" s="59" customFormat="1" ht="13.8" hidden="1" customHeight="1" x14ac:dyDescent="0.3">
      <c r="B27" s="66">
        <f t="shared" si="0"/>
        <v>24</v>
      </c>
      <c r="C27" s="62" t="s">
        <v>86</v>
      </c>
      <c r="D27" s="75">
        <f>VLOOKUP(C27,Country_Data!B:F,5,FALSE)</f>
        <v>1029</v>
      </c>
      <c r="E27" s="75">
        <f>D27*Projections_Data!$C$15</f>
        <v>126.31645783948527</v>
      </c>
      <c r="F27" s="75">
        <f>VLOOKUP(C27,Country_Data!C:G,5,FALSE)</f>
        <v>23</v>
      </c>
      <c r="G27" s="76">
        <f>IFERROR(VLOOKUP(C27,Days_Since_100!C:G,5,FALSE)-1,0)</f>
        <v>0.22899428144188994</v>
      </c>
      <c r="H27" s="77">
        <f>IFERROR(VLOOKUP(C27,Deaths_since_10!C:G,5,FALSE)-1,0)</f>
        <v>0.44599761096244239</v>
      </c>
      <c r="J27" s="68" t="str">
        <f t="shared" si="1"/>
        <v/>
      </c>
      <c r="K27" s="67"/>
      <c r="L27" s="61">
        <f>VLOOKUP(C27,Country_Data!C:J,8,FALSE)</f>
        <v>19237691</v>
      </c>
      <c r="M27" s="60">
        <f t="shared" si="2"/>
        <v>0</v>
      </c>
      <c r="O27" s="59">
        <f t="array" ref="O27">IF(OR(C27=$Q$4:$Q$22),1,0)</f>
        <v>0</v>
      </c>
    </row>
    <row r="28" spans="2:15" s="59" customFormat="1" ht="13.8" hidden="1" customHeight="1" x14ac:dyDescent="0.3">
      <c r="B28" s="66">
        <f t="shared" si="0"/>
        <v>25</v>
      </c>
      <c r="C28" s="62" t="s">
        <v>79</v>
      </c>
      <c r="D28" s="75">
        <f>VLOOKUP(C28,Country_Data!B:F,5,FALSE)</f>
        <v>2693</v>
      </c>
      <c r="E28" s="75">
        <f>D28*Projections_Data!$C$15</f>
        <v>330.58330511344394</v>
      </c>
      <c r="F28" s="75">
        <f>VLOOKUP(C28,Country_Data!C:G,5,FALSE)</f>
        <v>8</v>
      </c>
      <c r="G28" s="76">
        <f>IFERROR(VLOOKUP(C28,Days_Since_100!C:G,5,FALSE)-1,0)</f>
        <v>0.30482200427435902</v>
      </c>
      <c r="H28" s="77">
        <f>IFERROR(VLOOKUP(C28,Deaths_since_10!C:G,5,FALSE)-1,0)</f>
        <v>0</v>
      </c>
      <c r="J28" s="68" t="str">
        <f t="shared" si="1"/>
        <v/>
      </c>
      <c r="K28" s="67">
        <v>9.1999999999999993</v>
      </c>
      <c r="L28" s="61">
        <f>VLOOKUP(C28,Country_Data!C:J,8,FALSE)</f>
        <v>8655535</v>
      </c>
      <c r="M28" s="60"/>
      <c r="O28" s="59">
        <f t="array" ref="O28">IF(OR(C28=$Q$4:$Q$22),1,0)</f>
        <v>0</v>
      </c>
    </row>
    <row r="29" spans="2:15" s="59" customFormat="1" ht="13.8" hidden="1" customHeight="1" x14ac:dyDescent="0.3">
      <c r="B29" s="66">
        <f t="shared" si="0"/>
        <v>26</v>
      </c>
      <c r="C29" s="62" t="s">
        <v>113</v>
      </c>
      <c r="D29" s="75">
        <f>VLOOKUP(C29,Country_Data!B:F,5,FALSE)</f>
        <v>1012</v>
      </c>
      <c r="E29" s="75">
        <f>D29*Projections_Data!$C$15</f>
        <v>124.22959701997968</v>
      </c>
      <c r="F29" s="75">
        <f>VLOOKUP(C29,Country_Data!C:G,5,FALSE)</f>
        <v>3</v>
      </c>
      <c r="G29" s="76">
        <f>IFERROR(VLOOKUP(C29,Days_Since_100!C:G,5,FALSE)-1,0)</f>
        <v>0.20886802113206215</v>
      </c>
      <c r="H29" s="77">
        <f>IFERROR(VLOOKUP(C29,Deaths_since_10!C:G,5,FALSE)-1,0)</f>
        <v>0</v>
      </c>
      <c r="J29" s="68">
        <f t="shared" si="1"/>
        <v>17.411001644851321</v>
      </c>
      <c r="K29" s="67">
        <v>9.6999999999999993</v>
      </c>
      <c r="L29" s="61">
        <f>VLOOKUP(C29,Country_Data!C:J,8,FALSE)</f>
        <v>34813871</v>
      </c>
      <c r="M29" s="60">
        <f t="shared" ref="M29:M36" si="3">(L29/100000)*K29</f>
        <v>3376.945487</v>
      </c>
      <c r="O29" s="59">
        <f t="array" ref="O29">IF(OR(C29=$Q$4:$Q$22),1,0)</f>
        <v>0</v>
      </c>
    </row>
    <row r="30" spans="2:15" s="59" customFormat="1" ht="13.8" hidden="1" customHeight="1" x14ac:dyDescent="0.3">
      <c r="B30" s="66">
        <f t="shared" si="0"/>
        <v>27</v>
      </c>
      <c r="C30" s="62" t="s">
        <v>57</v>
      </c>
      <c r="D30" s="75">
        <f>VLOOKUP(C30,Country_Data!B:F,5,FALSE)</f>
        <v>727</v>
      </c>
      <c r="E30" s="75">
        <f>D30*Projections_Data!$C$15</f>
        <v>89.243989163562475</v>
      </c>
      <c r="F30" s="75">
        <f>VLOOKUP(C30,Country_Data!C:G,5,FALSE)</f>
        <v>20</v>
      </c>
      <c r="G30" s="76">
        <f>IFERROR(VLOOKUP(C30,Days_Since_100!C:G,5,FALSE)-1,0)</f>
        <v>0.17112727119464188</v>
      </c>
      <c r="H30" s="77">
        <f>IFERROR(VLOOKUP(C30,Deaths_since_10!C:G,5,FALSE)-1,0)</f>
        <v>0.25992104989487319</v>
      </c>
      <c r="J30" s="68" t="str">
        <f t="shared" si="1"/>
        <v/>
      </c>
      <c r="K30" s="67"/>
      <c r="L30" s="61">
        <f>VLOOKUP(C30,Country_Data!C:J,8,FALSE)</f>
        <v>1380004385</v>
      </c>
      <c r="M30" s="60">
        <f t="shared" si="3"/>
        <v>0</v>
      </c>
      <c r="O30" s="59">
        <f t="array" ref="O30">IF(OR(C30=$Q$4:$Q$22),1,0)</f>
        <v>0</v>
      </c>
    </row>
    <row r="31" spans="2:15" s="59" customFormat="1" ht="13.8" hidden="1" customHeight="1" x14ac:dyDescent="0.3">
      <c r="B31" s="66">
        <f t="shared" si="0"/>
        <v>28</v>
      </c>
      <c r="C31" s="62" t="s">
        <v>344</v>
      </c>
      <c r="D31" s="75">
        <f>VLOOKUP(C31,Country_Data!B:F,5,FALSE)</f>
        <v>840</v>
      </c>
      <c r="E31" s="75">
        <f>D31*Projections_Data!$C$15</f>
        <v>103.11547578733492</v>
      </c>
      <c r="F31" s="75">
        <f>VLOOKUP(C31,Country_Data!C:G,5,FALSE)</f>
        <v>3</v>
      </c>
      <c r="G31" s="76">
        <f>IFERROR(VLOOKUP(C31,Days_Since_100!C:G,5,FALSE)-1,0)</f>
        <v>0.22380316466607342</v>
      </c>
      <c r="H31" s="77">
        <f>IFERROR(VLOOKUP(C31,Deaths_since_10!C:G,5,FALSE)-1,0)</f>
        <v>0</v>
      </c>
      <c r="J31" s="68">
        <f t="shared" si="1"/>
        <v>22.388691995002493</v>
      </c>
      <c r="K31" s="67">
        <v>6.5</v>
      </c>
      <c r="L31" s="61">
        <f>VLOOKUP(C31,Country_Data!C:J,8,FALSE)</f>
        <v>145934462</v>
      </c>
      <c r="M31" s="60">
        <f t="shared" si="3"/>
        <v>9485.7400300000008</v>
      </c>
      <c r="O31" s="59">
        <f t="array" ref="O31">IF(OR(C31=$Q$4:$Q$22),1,0)</f>
        <v>0</v>
      </c>
    </row>
    <row r="32" spans="2:15" s="59" customFormat="1" ht="13.8" hidden="1" customHeight="1" x14ac:dyDescent="0.3">
      <c r="B32" s="66">
        <f t="shared" si="0"/>
        <v>29</v>
      </c>
      <c r="C32" s="62" t="s">
        <v>98</v>
      </c>
      <c r="D32" s="75">
        <f>VLOOKUP(C32,Country_Data!B:F,5,FALSE)</f>
        <v>1819</v>
      </c>
      <c r="E32" s="75">
        <f>D32*Projections_Data!$C$15</f>
        <v>223.29410768709786</v>
      </c>
      <c r="F32" s="75">
        <f>VLOOKUP(C32,Country_Data!C:G,5,FALSE)</f>
        <v>19</v>
      </c>
      <c r="G32" s="76">
        <f>IFERROR(VLOOKUP(C32,Days_Since_100!C:G,5,FALSE)-1,0)</f>
        <v>0.1830214209534422</v>
      </c>
      <c r="H32" s="77">
        <f>IFERROR(VLOOKUP(C32,Deaths_since_10!C:G,5,FALSE)-1,0)</f>
        <v>1.1111111111111112</v>
      </c>
      <c r="J32" s="68" t="str">
        <f t="shared" si="1"/>
        <v/>
      </c>
      <c r="K32" s="67"/>
      <c r="L32" s="61">
        <f>VLOOKUP(C32,Country_Data!C:J,8,FALSE)</f>
        <v>4937786</v>
      </c>
      <c r="M32" s="60">
        <f t="shared" si="3"/>
        <v>0</v>
      </c>
      <c r="O32" s="59">
        <f t="array" ref="O32">IF(OR(C32=$Q$4:$Q$22),1,0)</f>
        <v>0</v>
      </c>
    </row>
    <row r="33" spans="2:15" s="59" customFormat="1" ht="13.8" hidden="1" customHeight="1" x14ac:dyDescent="0.3">
      <c r="B33" s="66">
        <f t="shared" si="0"/>
        <v>30</v>
      </c>
      <c r="C33" s="62" t="s">
        <v>80</v>
      </c>
      <c r="D33" s="75">
        <f>VLOOKUP(C33,Country_Data!B:F,5,FALSE)</f>
        <v>1201</v>
      </c>
      <c r="E33" s="75">
        <f>D33*Projections_Data!$C$15</f>
        <v>147.43057907213003</v>
      </c>
      <c r="F33" s="75">
        <f>VLOOKUP(C33,Country_Data!C:G,5,FALSE)</f>
        <v>9</v>
      </c>
      <c r="G33" s="76">
        <f>IFERROR(VLOOKUP(C33,Days_Since_100!C:G,5,FALSE)-1,0)</f>
        <v>0.10469917444851684</v>
      </c>
      <c r="H33" s="77">
        <f>IFERROR(VLOOKUP(C33,Deaths_since_10!C:G,5,FALSE)-1,0)</f>
        <v>0.125</v>
      </c>
      <c r="J33" s="68" t="str">
        <f t="shared" si="1"/>
        <v/>
      </c>
      <c r="K33" s="67"/>
      <c r="L33" s="61">
        <f>VLOOKUP(C33,Country_Data!C:J,8,FALSE)</f>
        <v>220892340</v>
      </c>
      <c r="M33" s="60">
        <f t="shared" si="3"/>
        <v>0</v>
      </c>
      <c r="O33" s="59">
        <f t="array" ref="O33">IF(OR(C33=$Q$4:$Q$22),1,0)</f>
        <v>0</v>
      </c>
    </row>
    <row r="34" spans="2:15" s="59" customFormat="1" ht="13.8" hidden="1" customHeight="1" x14ac:dyDescent="0.3">
      <c r="B34" s="66">
        <f t="shared" si="0"/>
        <v>31</v>
      </c>
      <c r="C34" s="62" t="s">
        <v>111</v>
      </c>
      <c r="D34" s="75">
        <f>VLOOKUP(C34,Country_Data!B:F,5,FALSE)</f>
        <v>244</v>
      </c>
      <c r="E34" s="75">
        <f>D34*Projections_Data!$C$15</f>
        <v>29.952590585844902</v>
      </c>
      <c r="F34" s="75">
        <f>VLOOKUP(C34,Country_Data!C:G,5,FALSE)</f>
        <v>0</v>
      </c>
      <c r="G34" s="76">
        <f>IFERROR(VLOOKUP(C34,Days_Since_100!C:G,5,FALSE)-1,0)</f>
        <v>0.14496873612332051</v>
      </c>
      <c r="H34" s="77">
        <f>IFERROR(VLOOKUP(C34,Deaths_since_10!C:G,5,FALSE)-1,0)</f>
        <v>0</v>
      </c>
      <c r="J34" s="68">
        <f t="shared" si="1"/>
        <v>14.296541991492198</v>
      </c>
      <c r="K34" s="67">
        <v>11</v>
      </c>
      <c r="L34" s="61">
        <f>VLOOKUP(C34,Country_Data!C:J,8,FALSE)</f>
        <v>1886198</v>
      </c>
      <c r="M34" s="60">
        <f t="shared" si="3"/>
        <v>207.48177999999999</v>
      </c>
      <c r="O34" s="59">
        <f t="array" ref="O34">IF(OR(C34=$Q$4:$Q$22),1,0)</f>
        <v>0</v>
      </c>
    </row>
    <row r="35" spans="2:15" s="59" customFormat="1" ht="13.8" hidden="1" customHeight="1" x14ac:dyDescent="0.3">
      <c r="B35" s="66">
        <f t="shared" si="0"/>
        <v>32</v>
      </c>
      <c r="C35" s="62" t="s">
        <v>67</v>
      </c>
      <c r="D35" s="75">
        <f>VLOOKUP(C35,Country_Data!B:F,5,FALSE)</f>
        <v>368</v>
      </c>
      <c r="E35" s="75">
        <f>D35*Projections_Data!$C$15</f>
        <v>45.174398916356246</v>
      </c>
      <c r="F35" s="75">
        <f>VLOOKUP(C35,Country_Data!C:G,5,FALSE)</f>
        <v>6</v>
      </c>
      <c r="G35" s="76">
        <f>IFERROR(VLOOKUP(C35,Days_Since_100!C:G,5,FALSE)-1,0)</f>
        <v>0.1449888102635597</v>
      </c>
      <c r="H35" s="77">
        <f>IFERROR(VLOOKUP(C35,Deaths_since_10!C:G,5,FALSE)-1,0)</f>
        <v>0</v>
      </c>
      <c r="J35" s="68">
        <f t="shared" si="1"/>
        <v>16.403878285606218</v>
      </c>
      <c r="K35" s="67">
        <v>6.1</v>
      </c>
      <c r="L35" s="61">
        <f>VLOOKUP(C35,Country_Data!C:J,8,FALSE)</f>
        <v>6825445</v>
      </c>
      <c r="M35" s="60">
        <f t="shared" si="3"/>
        <v>416.35214500000001</v>
      </c>
      <c r="O35" s="59">
        <f t="array" ref="O35">IF(OR(C35=$Q$4:$Q$22),1,0)</f>
        <v>0</v>
      </c>
    </row>
    <row r="36" spans="2:15" s="59" customFormat="1" ht="13.8" hidden="1" customHeight="1" x14ac:dyDescent="0.3">
      <c r="B36" s="66">
        <f t="shared" si="0"/>
        <v>33</v>
      </c>
      <c r="C36" s="62" t="s">
        <v>342</v>
      </c>
      <c r="D36" s="75">
        <f>VLOOKUP(C36,Country_Data!B:F,5,FALSE)</f>
        <v>252</v>
      </c>
      <c r="E36" s="75">
        <f>D36*Projections_Data!$C$15</f>
        <v>30.934642736200473</v>
      </c>
      <c r="F36" s="75">
        <f>VLOOKUP(C36,Country_Data!C:G,5,FALSE)</f>
        <v>2</v>
      </c>
      <c r="G36" s="76">
        <f>IFERROR(VLOOKUP(C36,Days_Since_100!C:G,5,FALSE)-1,0)</f>
        <v>0.10494795379650301</v>
      </c>
      <c r="H36" s="77">
        <f>IFERROR(VLOOKUP(C36,Deaths_since_10!C:G,5,FALSE)-1,0)</f>
        <v>0</v>
      </c>
      <c r="J36" s="68" t="str">
        <f t="shared" si="1"/>
        <v/>
      </c>
      <c r="K36" s="67"/>
      <c r="L36" s="61">
        <f>VLOOKUP(C36,Country_Data!C:J,8,FALSE)</f>
        <v>23816775</v>
      </c>
      <c r="M36" s="60">
        <f t="shared" si="3"/>
        <v>0</v>
      </c>
      <c r="O36" s="59">
        <f t="array" ref="O36">IF(OR(C36=$Q$4:$Q$22),1,0)</f>
        <v>0</v>
      </c>
    </row>
    <row r="37" spans="2:15" s="59" customFormat="1" ht="13.8" hidden="1" customHeight="1" x14ac:dyDescent="0.2">
      <c r="B37" s="66">
        <f t="shared" ref="B37:B59" si="4">B36+1</f>
        <v>34</v>
      </c>
      <c r="C37" s="62" t="s">
        <v>54</v>
      </c>
      <c r="D37" s="75">
        <f>VLOOKUP(C37,Country_Data!B:F,5,FALSE)</f>
        <v>958</v>
      </c>
      <c r="E37" s="75">
        <f>D37*Projections_Data!$C$15</f>
        <v>117.60074500507957</v>
      </c>
      <c r="F37" s="75">
        <f>VLOOKUP(C37,Country_Data!C:G,5,FALSE)</f>
        <v>5</v>
      </c>
      <c r="G37" s="76">
        <f>IFERROR(VLOOKUP(C37,Days_Since_100!C:G,5,FALSE)-1,0)</f>
        <v>0.12868502767003398</v>
      </c>
      <c r="H37" s="77">
        <f>IFERROR(VLOOKUP(C37,Deaths_since_10!C:G,5,FALSE)-1,0)</f>
        <v>0</v>
      </c>
      <c r="I37" s="58"/>
      <c r="J37" s="68" t="str">
        <f t="shared" si="1"/>
        <v/>
      </c>
      <c r="K37" s="67">
        <v>9.6999999999999993</v>
      </c>
      <c r="L37" s="61">
        <f>VLOOKUP(C37,Country_Data!C:J,8,FALSE)</f>
        <v>5540720</v>
      </c>
      <c r="M37" s="60"/>
      <c r="O37" s="59">
        <f t="array" ref="O37">IF(OR(C37=$Q$4:$Q$22),1,0)</f>
        <v>0</v>
      </c>
    </row>
    <row r="38" spans="2:15" s="59" customFormat="1" ht="13.8" hidden="1" customHeight="1" x14ac:dyDescent="0.3">
      <c r="B38" s="66">
        <f t="shared" si="4"/>
        <v>35</v>
      </c>
      <c r="C38" s="62" t="s">
        <v>199</v>
      </c>
      <c r="D38" s="75">
        <f>VLOOKUP(C38,Country_Data!B:F,5,FALSE)</f>
        <v>264</v>
      </c>
      <c r="E38" s="75">
        <f>D38*Projections_Data!$C$15</f>
        <v>32.40772096173383</v>
      </c>
      <c r="F38" s="75">
        <f>VLOOKUP(C38,Country_Data!C:G,5,FALSE)</f>
        <v>3</v>
      </c>
      <c r="G38" s="76">
        <f>IFERROR(VLOOKUP(C38,Days_Since_100!C:G,5,FALSE)-1,0)</f>
        <v>0.10124326279298246</v>
      </c>
      <c r="H38" s="77">
        <f>IFERROR(VLOOKUP(C38,Deaths_since_10!C:G,5,FALSE)-1,0)</f>
        <v>0</v>
      </c>
      <c r="J38" s="68" t="str">
        <f t="shared" si="1"/>
        <v/>
      </c>
      <c r="K38" s="67"/>
      <c r="L38" s="61">
        <f>VLOOKUP(C38,Country_Data!C:J,8,FALSE)</f>
        <v>6948445</v>
      </c>
      <c r="M38" s="60">
        <f>(L38/100000)*K38</f>
        <v>0</v>
      </c>
      <c r="O38" s="59">
        <f t="array" ref="O38">IF(OR(C38=$Q$4:$Q$22),1,0)</f>
        <v>0</v>
      </c>
    </row>
    <row r="39" spans="2:15" s="59" customFormat="1" ht="13.8" hidden="1" customHeight="1" x14ac:dyDescent="0.3">
      <c r="B39" s="66">
        <f t="shared" si="4"/>
        <v>36</v>
      </c>
      <c r="C39" s="62" t="s">
        <v>92</v>
      </c>
      <c r="D39" s="75">
        <f>VLOOKUP(C39,Country_Data!B:F,5,FALSE)</f>
        <v>802</v>
      </c>
      <c r="E39" s="75">
        <f>D39*Projections_Data!$C$15</f>
        <v>98.450728073145953</v>
      </c>
      <c r="F39" s="75">
        <f>VLOOKUP(C39,Country_Data!C:G,5,FALSE)</f>
        <v>5</v>
      </c>
      <c r="G39" s="76">
        <f>IFERROR(VLOOKUP(C39,Days_Since_100!C:G,5,FALSE)-1,0)</f>
        <v>0.11138017503610298</v>
      </c>
      <c r="H39" s="77">
        <f>IFERROR(VLOOKUP(C39,Deaths_since_10!C:G,5,FALSE)-1,0)</f>
        <v>0</v>
      </c>
      <c r="J39" s="68" t="str">
        <f t="shared" si="1"/>
        <v/>
      </c>
      <c r="K39" s="67"/>
      <c r="L39" s="61">
        <f>VLOOKUP(C39,Country_Data!C:J,8,FALSE)</f>
        <v>341243</v>
      </c>
      <c r="M39" s="60"/>
      <c r="O39" s="59">
        <f t="array" ref="O39">IF(OR(C39=$Q$4:$Q$22),1,0)</f>
        <v>0</v>
      </c>
    </row>
    <row r="40" spans="2:15" s="59" customFormat="1" ht="13.8" hidden="1" customHeight="1" x14ac:dyDescent="0.3">
      <c r="B40" s="66">
        <f t="shared" si="4"/>
        <v>37</v>
      </c>
      <c r="C40" s="62" t="s">
        <v>92</v>
      </c>
      <c r="D40" s="75">
        <f>VLOOKUP(C40,Country_Data!B:F,5,FALSE)</f>
        <v>802</v>
      </c>
      <c r="E40" s="75">
        <f>D40*Projections_Data!$C$15</f>
        <v>98.450728073145953</v>
      </c>
      <c r="F40" s="75">
        <f>VLOOKUP(C40,Country_Data!C:G,5,FALSE)</f>
        <v>5</v>
      </c>
      <c r="G40" s="76">
        <f>IFERROR(VLOOKUP(C40,Days_Since_100!C:G,5,FALSE)-1,0)</f>
        <v>0.11138017503610298</v>
      </c>
      <c r="H40" s="77">
        <f>IFERROR(VLOOKUP(C40,Deaths_since_10!C:G,5,FALSE)-1,0)</f>
        <v>0</v>
      </c>
      <c r="J40" s="68">
        <f t="shared" si="1"/>
        <v>-5.6420220351366028</v>
      </c>
      <c r="K40" s="67">
        <v>15.9</v>
      </c>
      <c r="L40" s="61">
        <f>VLOOKUP(C40,Country_Data!C:J,8,FALSE)</f>
        <v>341243</v>
      </c>
      <c r="M40" s="60">
        <f>(L40/100000)*K40</f>
        <v>54.257637000000003</v>
      </c>
      <c r="O40" s="59">
        <f t="array" ref="O40">IF(OR(C40=$Q$4:$Q$22),1,0)</f>
        <v>0</v>
      </c>
    </row>
    <row r="41" spans="2:15" s="59" customFormat="1" ht="13.8" hidden="1" customHeight="1" x14ac:dyDescent="0.3">
      <c r="B41" s="66">
        <f t="shared" si="4"/>
        <v>38</v>
      </c>
      <c r="C41" s="62" t="s">
        <v>160</v>
      </c>
      <c r="D41" s="75">
        <f>VLOOKUP(C41,Country_Data!B:F,5,FALSE)</f>
        <v>580</v>
      </c>
      <c r="E41" s="75">
        <f>D41*Projections_Data!$C$15</f>
        <v>71.198780900778871</v>
      </c>
      <c r="F41" s="75">
        <f>VLOOKUP(C41,Country_Data!C:G,5,FALSE)</f>
        <v>9</v>
      </c>
      <c r="G41" s="76">
        <f>IFERROR(VLOOKUP(C41,Days_Since_100!C:G,5,FALSE)-1,0)</f>
        <v>0.12771712300946247</v>
      </c>
      <c r="H41" s="77">
        <f>IFERROR(VLOOKUP(C41,Deaths_since_10!C:G,5,FALSE)-1,0)</f>
        <v>0</v>
      </c>
      <c r="J41" s="68">
        <f t="shared" si="1"/>
        <v>40.853089909667681</v>
      </c>
      <c r="K41" s="67">
        <v>29.3</v>
      </c>
      <c r="L41" s="61">
        <f>VLOOKUP(C41,Country_Data!C:J,8,FALSE)</f>
        <v>32971854</v>
      </c>
      <c r="M41" s="60">
        <f>(L41/100000)*K41</f>
        <v>9660.7532220000012</v>
      </c>
      <c r="O41" s="59">
        <f t="array" ref="O41">IF(OR(C41=$Q$4:$Q$22),1,0)</f>
        <v>0</v>
      </c>
    </row>
    <row r="42" spans="2:15" s="59" customFormat="1" ht="13.8" hidden="1" customHeight="1" x14ac:dyDescent="0.2">
      <c r="B42" s="66">
        <f t="shared" si="4"/>
        <v>39</v>
      </c>
      <c r="C42" s="62" t="s">
        <v>162</v>
      </c>
      <c r="D42" s="75">
        <f>VLOOKUP(C42,Country_Data!B:F,5,FALSE)</f>
        <v>226</v>
      </c>
      <c r="E42" s="75">
        <f>D42*Projections_Data!$C$15</f>
        <v>27.742973247544867</v>
      </c>
      <c r="F42" s="75">
        <f>VLOOKUP(C42,Country_Data!C:G,5,FALSE)</f>
        <v>1</v>
      </c>
      <c r="G42" s="76">
        <f>IFERROR(VLOOKUP(C42,Days_Since_100!C:G,5,FALSE)-1,0)</f>
        <v>4.8908699414033752E-2</v>
      </c>
      <c r="H42" s="77">
        <f>IFERROR(VLOOKUP(C42,Deaths_since_10!C:G,5,FALSE)-1,0)</f>
        <v>0</v>
      </c>
      <c r="I42" s="58"/>
      <c r="J42" s="68" t="str">
        <f t="shared" si="1"/>
        <v/>
      </c>
      <c r="K42" s="67">
        <v>9.1</v>
      </c>
      <c r="L42" s="61">
        <f>VLOOKUP(C42,Country_Data!C:J,8,FALSE)</f>
        <v>5459642</v>
      </c>
      <c r="M42" s="60"/>
      <c r="O42" s="59">
        <f t="array" ref="O42">IF(OR(C42=$Q$4:$Q$22),1,0)</f>
        <v>0</v>
      </c>
    </row>
    <row r="43" spans="2:15" s="59" customFormat="1" ht="13.8" hidden="1" customHeight="1" x14ac:dyDescent="0.3">
      <c r="B43" s="66">
        <f t="shared" si="4"/>
        <v>40</v>
      </c>
      <c r="C43" s="62" t="s">
        <v>40</v>
      </c>
      <c r="D43" s="75">
        <f>VLOOKUP(C43,Country_Data!B:F,5,FALSE)</f>
        <v>683</v>
      </c>
      <c r="E43" s="75">
        <f>D43*Projections_Data!$C$15</f>
        <v>83.842702336606834</v>
      </c>
      <c r="F43" s="75">
        <f>VLOOKUP(C43,Country_Data!C:G,5,FALSE)</f>
        <v>2</v>
      </c>
      <c r="G43" s="76">
        <f>IFERROR(VLOOKUP(C43,Days_Since_100!C:G,5,FALSE)-1,0)</f>
        <v>9.5941547209287492E-2</v>
      </c>
      <c r="H43" s="77">
        <f>IFERROR(VLOOKUP(C43,Deaths_since_10!C:G,5,FALSE)-1,0)</f>
        <v>0</v>
      </c>
      <c r="J43" s="68" t="str">
        <f t="shared" si="1"/>
        <v/>
      </c>
      <c r="K43" s="67"/>
      <c r="L43" s="61">
        <f>VLOOKUP(C43,Country_Data!C:J,8,FALSE)</f>
        <v>5850342</v>
      </c>
      <c r="M43" s="60">
        <f>(L43/100000)*K43</f>
        <v>0</v>
      </c>
      <c r="O43" s="59">
        <f t="array" ref="O43">IF(OR(C43=$Q$4:$Q$22),1,0)</f>
        <v>0</v>
      </c>
    </row>
    <row r="44" spans="2:15" s="59" customFormat="1" ht="13.8" hidden="1" customHeight="1" x14ac:dyDescent="0.3">
      <c r="B44" s="66">
        <f t="shared" si="4"/>
        <v>41</v>
      </c>
      <c r="C44" s="62" t="s">
        <v>65</v>
      </c>
      <c r="D44" s="75">
        <f>VLOOKUP(C44,Country_Data!B:F,5,FALSE)</f>
        <v>495</v>
      </c>
      <c r="E44" s="75">
        <f>D44*Projections_Data!$C$15</f>
        <v>60.764476803250929</v>
      </c>
      <c r="F44" s="75">
        <f>VLOOKUP(C44,Country_Data!C:G,5,FALSE)</f>
        <v>24</v>
      </c>
      <c r="G44" s="76">
        <f>IFERROR(VLOOKUP(C44,Days_Since_100!C:G,5,FALSE)-1,0)</f>
        <v>0.10981751293348574</v>
      </c>
      <c r="H44" s="77">
        <f>IFERROR(VLOOKUP(C44,Deaths_since_10!C:G,5,FALSE)-1,0)</f>
        <v>0.19135789816709159</v>
      </c>
      <c r="J44" s="68">
        <f t="shared" ref="J44:J66" si="5">IFERROR(LOG((M44/E44),1+G44),"")</f>
        <v>30.771117603107964</v>
      </c>
      <c r="K44" s="67"/>
      <c r="L44" s="61">
        <f>VLOOKUP(C44,Country_Data!C:J,8,FALSE)</f>
        <v>102334404</v>
      </c>
      <c r="M44" s="60">
        <v>1500</v>
      </c>
      <c r="O44" s="59">
        <f t="array" ref="O44">IF(OR(C44=$Q$4:$Q$22),1,0)</f>
        <v>0</v>
      </c>
    </row>
    <row r="45" spans="2:15" s="59" customFormat="1" ht="13.8" hidden="1" customHeight="1" x14ac:dyDescent="0.3">
      <c r="B45" s="66">
        <f t="shared" si="4"/>
        <v>42</v>
      </c>
      <c r="C45" s="62" t="s">
        <v>85</v>
      </c>
      <c r="D45" s="75">
        <f>VLOOKUP(C45,Country_Data!B:F,5,FALSE)</f>
        <v>3369</v>
      </c>
      <c r="E45" s="75">
        <f>D45*Projections_Data!$C$15</f>
        <v>413.56671181848964</v>
      </c>
      <c r="F45" s="75">
        <f>VLOOKUP(C45,Country_Data!C:G,5,FALSE)</f>
        <v>14</v>
      </c>
      <c r="G45" s="76">
        <f>IFERROR(VLOOKUP(C45,Days_Since_100!C:G,5,FALSE)-1,0)</f>
        <v>9.7273803849192264E-2</v>
      </c>
      <c r="H45" s="77">
        <f>IFERROR(VLOOKUP(C45,Deaths_since_10!C:G,5,FALSE)-1,0)</f>
        <v>0.1186889420813968</v>
      </c>
      <c r="J45" s="68">
        <f t="shared" si="5"/>
        <v>0.51204565507173705</v>
      </c>
      <c r="K45" s="67">
        <v>8</v>
      </c>
      <c r="L45" s="61">
        <f>VLOOKUP(C45,Country_Data!C:J,8,FALSE)</f>
        <v>5421241</v>
      </c>
      <c r="M45" s="60">
        <f>(L45/100000)*K45</f>
        <v>433.69927999999999</v>
      </c>
      <c r="O45" s="59">
        <f t="array" ref="O45">IF(OR(C45=$Q$4:$Q$22),1,0)</f>
        <v>0</v>
      </c>
    </row>
    <row r="46" spans="2:15" s="59" customFormat="1" ht="13.8" hidden="1" customHeight="1" x14ac:dyDescent="0.3">
      <c r="B46" s="66">
        <f t="shared" si="4"/>
        <v>43</v>
      </c>
      <c r="C46" s="62" t="s">
        <v>59</v>
      </c>
      <c r="D46" s="75">
        <f>VLOOKUP(C46,Country_Data!B:F,5,FALSE)</f>
        <v>2840</v>
      </c>
      <c r="E46" s="75">
        <f>D46*Projections_Data!$C$15</f>
        <v>348.62851337622754</v>
      </c>
      <c r="F46" s="75">
        <f>VLOOKUP(C46,Country_Data!C:G,5,FALSE)</f>
        <v>77</v>
      </c>
      <c r="G46" s="76">
        <f>IFERROR(VLOOKUP(C46,Days_Since_100!C:G,5,FALSE)-1,0)</f>
        <v>0.10005197616979267</v>
      </c>
      <c r="H46" s="77">
        <f>IFERROR(VLOOKUP(C46,Deaths_since_10!C:G,5,FALSE)-1,0)</f>
        <v>0.30945972654651199</v>
      </c>
      <c r="J46" s="68">
        <f t="shared" si="5"/>
        <v>15.12270570507807</v>
      </c>
      <c r="K46" s="67">
        <v>14.6</v>
      </c>
      <c r="L46" s="61">
        <f>VLOOKUP(C46,Country_Data!C:J,8,FALSE)</f>
        <v>10099265</v>
      </c>
      <c r="M46" s="60">
        <f>(L46/100000)*K46</f>
        <v>1474.49269</v>
      </c>
      <c r="O46" s="59">
        <f t="array" ref="O46">IF(OR(C46=$Q$4:$Q$22),1,0)</f>
        <v>0</v>
      </c>
    </row>
    <row r="47" spans="2:15" s="59" customFormat="1" ht="13.8" hidden="1" customHeight="1" x14ac:dyDescent="0.3">
      <c r="B47" s="66">
        <f t="shared" si="4"/>
        <v>44</v>
      </c>
      <c r="C47" s="62" t="s">
        <v>83</v>
      </c>
      <c r="D47" s="75">
        <f>VLOOKUP(C47,Country_Data!B:F,5,FALSE)</f>
        <v>892</v>
      </c>
      <c r="E47" s="75">
        <f>D47*Projections_Data!$C$15</f>
        <v>109.49881476464613</v>
      </c>
      <c r="F47" s="75">
        <f>VLOOKUP(C47,Country_Data!C:G,5,FALSE)</f>
        <v>26</v>
      </c>
      <c r="G47" s="76">
        <f>IFERROR(VLOOKUP(C47,Days_Since_100!C:G,5,FALSE)-1,0)</f>
        <v>0.10973120152108495</v>
      </c>
      <c r="H47" s="77">
        <f>IFERROR(VLOOKUP(C47,Deaths_since_10!C:G,5,FALSE)-1,0)</f>
        <v>0.1486983549970351</v>
      </c>
      <c r="J47" s="68" t="str">
        <f t="shared" si="5"/>
        <v/>
      </c>
      <c r="K47" s="67"/>
      <c r="L47" s="61">
        <f>VLOOKUP(C47,Country_Data!C:J,8,FALSE)</f>
        <v>10423054</v>
      </c>
      <c r="M47" s="60"/>
      <c r="O47" s="59">
        <f t="array" ref="O47">IF(OR(C47=$Q$4:$Q$22),1,0)</f>
        <v>0</v>
      </c>
    </row>
    <row r="48" spans="2:15" s="59" customFormat="1" ht="13.8" hidden="1" customHeight="1" x14ac:dyDescent="0.3">
      <c r="B48" s="66">
        <f t="shared" si="4"/>
        <v>45</v>
      </c>
      <c r="C48" s="62" t="s">
        <v>70</v>
      </c>
      <c r="D48" s="75">
        <f>VLOOKUP(C48,Country_Data!B:F,5,FALSE)</f>
        <v>382</v>
      </c>
      <c r="E48" s="75">
        <f>D48*Projections_Data!$C$15</f>
        <v>46.892990179478495</v>
      </c>
      <c r="F48" s="75">
        <f>VLOOKUP(C48,Country_Data!C:G,5,FALSE)</f>
        <v>36</v>
      </c>
      <c r="G48" s="76">
        <f>IFERROR(VLOOKUP(C48,Days_Since_100!C:G,5,FALSE)-1,0)</f>
        <v>0.12287113523900772</v>
      </c>
      <c r="H48" s="77">
        <f>IFERROR(VLOOKUP(C48,Deaths_since_10!C:G,5,FALSE)-1,0)</f>
        <v>0.16190525490599006</v>
      </c>
      <c r="J48" s="68">
        <f t="shared" si="5"/>
        <v>33.713328411000752</v>
      </c>
      <c r="K48" s="67">
        <v>5.8</v>
      </c>
      <c r="L48" s="61">
        <f>VLOOKUP(C48,Country_Data!C:J,8,FALSE)</f>
        <v>40222493</v>
      </c>
      <c r="M48" s="60">
        <f t="shared" ref="M48:M61" si="6">(L48/100000)*K48</f>
        <v>2332.9045939999996</v>
      </c>
      <c r="O48" s="59">
        <f t="array" ref="O48">IF(OR(C48=$Q$4:$Q$22),1,0)</f>
        <v>0</v>
      </c>
    </row>
    <row r="49" spans="2:15" s="59" customFormat="1" ht="13.8" hidden="1" customHeight="1" x14ac:dyDescent="0.3">
      <c r="B49" s="66">
        <f t="shared" si="4"/>
        <v>46</v>
      </c>
      <c r="C49" s="62" t="s">
        <v>141</v>
      </c>
      <c r="D49" s="75">
        <f>VLOOKUP(C49,Country_Data!B:F,5,FALSE)</f>
        <v>562</v>
      </c>
      <c r="E49" s="75">
        <f>D49*Projections_Data!$C$15</f>
        <v>68.989163562478836</v>
      </c>
      <c r="F49" s="75">
        <f>VLOOKUP(C49,Country_Data!C:G,5,FALSE)</f>
        <v>6</v>
      </c>
      <c r="G49" s="76">
        <f>IFERROR(VLOOKUP(C49,Days_Since_100!C:G,5,FALSE)-1,0)</f>
        <v>7.9710956172760028E-2</v>
      </c>
      <c r="H49" s="77">
        <f>IFERROR(VLOOKUP(C49,Deaths_since_10!C:G,5,FALSE)-1,0)</f>
        <v>0</v>
      </c>
      <c r="J49" s="68" t="str">
        <f t="shared" si="5"/>
        <v/>
      </c>
      <c r="K49" s="67"/>
      <c r="L49" s="61">
        <f>VLOOKUP(C49,Country_Data!C:J,8,FALSE)</f>
        <v>2078938</v>
      </c>
      <c r="M49" s="60">
        <f t="shared" si="6"/>
        <v>0</v>
      </c>
      <c r="O49" s="59">
        <f t="array" ref="O49">IF(OR(C49=$Q$4:$Q$22),1,0)</f>
        <v>0</v>
      </c>
    </row>
    <row r="50" spans="2:15" s="59" customFormat="1" ht="13.8" hidden="1" customHeight="1" x14ac:dyDescent="0.3">
      <c r="B50" s="66">
        <f t="shared" si="4"/>
        <v>47</v>
      </c>
      <c r="C50" s="62" t="s">
        <v>87</v>
      </c>
      <c r="D50" s="75">
        <f>VLOOKUP(C50,Country_Data!B:F,5,FALSE)</f>
        <v>2023</v>
      </c>
      <c r="E50" s="75">
        <f>D50*Projections_Data!$C$15</f>
        <v>248.33643752116492</v>
      </c>
      <c r="F50" s="75">
        <f>VLOOKUP(C50,Country_Data!C:G,5,FALSE)</f>
        <v>41</v>
      </c>
      <c r="G50" s="76">
        <f>IFERROR(VLOOKUP(C50,Days_Since_100!C:G,5,FALSE)-1,0)</f>
        <v>7.3350363432644228E-2</v>
      </c>
      <c r="H50" s="77">
        <f>IFERROR(VLOOKUP(C50,Deaths_since_10!C:G,5,FALSE)-1,0)</f>
        <v>0.25825336604246707</v>
      </c>
      <c r="J50" s="68" t="str">
        <f t="shared" si="5"/>
        <v/>
      </c>
      <c r="K50" s="67"/>
      <c r="L50" s="61">
        <f>VLOOKUP(C50,Country_Data!C:J,8,FALSE)</f>
        <v>5792202</v>
      </c>
      <c r="M50" s="60">
        <f t="shared" si="6"/>
        <v>0</v>
      </c>
      <c r="O50" s="59">
        <f t="array" ref="O50">IF(OR(C50=$Q$4:$Q$22),1,0)</f>
        <v>0</v>
      </c>
    </row>
    <row r="51" spans="2:15" s="59" customFormat="1" ht="13.8" hidden="1" customHeight="1" x14ac:dyDescent="0.3">
      <c r="B51" s="66">
        <f t="shared" si="4"/>
        <v>48</v>
      </c>
      <c r="C51" s="62" t="s">
        <v>90</v>
      </c>
      <c r="D51" s="75">
        <f>VLOOKUP(C51,Country_Data!B:F,5,FALSE)</f>
        <v>208</v>
      </c>
      <c r="E51" s="75">
        <f>D51*Projections_Data!$C$15</f>
        <v>25.533355909244836</v>
      </c>
      <c r="F51" s="75">
        <f>VLOOKUP(C51,Country_Data!C:G,5,FALSE)</f>
        <v>21</v>
      </c>
      <c r="G51" s="76">
        <f>IFERROR(VLOOKUP(C51,Days_Since_100!C:G,5,FALSE)-1,0)</f>
        <v>7.6316922514810814E-2</v>
      </c>
      <c r="H51" s="77">
        <f>IFERROR(VLOOKUP(C51,Deaths_since_10!C:G,5,FALSE)-1,0)</f>
        <v>9.805797673485328E-3</v>
      </c>
      <c r="J51" s="68" t="str">
        <f t="shared" si="5"/>
        <v/>
      </c>
      <c r="K51" s="67"/>
      <c r="L51" s="61">
        <f>VLOOKUP(C51,Country_Data!C:J,8,FALSE)</f>
        <v>33931</v>
      </c>
      <c r="M51" s="60">
        <f t="shared" si="6"/>
        <v>0</v>
      </c>
      <c r="O51" s="59">
        <f t="array" ref="O51">IF(OR(C51=$Q$4:$Q$22),1,0)</f>
        <v>0</v>
      </c>
    </row>
    <row r="52" spans="2:15" s="59" customFormat="1" ht="13.8" hidden="1" customHeight="1" x14ac:dyDescent="0.3">
      <c r="B52" s="66">
        <f t="shared" si="4"/>
        <v>49</v>
      </c>
      <c r="C52" s="62" t="s">
        <v>55</v>
      </c>
      <c r="D52" s="75">
        <f>VLOOKUP(C52,Country_Data!B:F,5,FALSE)</f>
        <v>333</v>
      </c>
      <c r="E52" s="75">
        <f>D52*Projections_Data!$C$15</f>
        <v>40.877920758550623</v>
      </c>
      <c r="F52" s="75">
        <f>VLOOKUP(C52,Country_Data!C:G,5,FALSE)</f>
        <v>2</v>
      </c>
      <c r="G52" s="76">
        <f>IFERROR(VLOOKUP(C52,Days_Since_100!C:G,5,FALSE)-1,0)</f>
        <v>0.16828973416570703</v>
      </c>
      <c r="H52" s="77">
        <f>IFERROR(VLOOKUP(C52,Deaths_since_10!C:G,5,FALSE)-1,0)</f>
        <v>0</v>
      </c>
      <c r="J52" s="68">
        <f t="shared" si="5"/>
        <v>17.909547155188967</v>
      </c>
      <c r="K52" s="67">
        <v>6.7</v>
      </c>
      <c r="L52" s="61">
        <f>VLOOKUP(C52,Country_Data!C:J,8,FALSE)</f>
        <v>9890402</v>
      </c>
      <c r="M52" s="60">
        <f t="shared" si="6"/>
        <v>662.65693400000009</v>
      </c>
      <c r="O52" s="59">
        <f t="array" ref="O52">IF(OR(C52=$Q$4:$Q$22),1,0)</f>
        <v>0</v>
      </c>
    </row>
    <row r="53" spans="2:15" s="59" customFormat="1" ht="13.8" hidden="1" customHeight="1" x14ac:dyDescent="0.3">
      <c r="B53" s="66">
        <f t="shared" si="4"/>
        <v>50</v>
      </c>
      <c r="C53" s="62" t="s">
        <v>73</v>
      </c>
      <c r="D53" s="75">
        <f>VLOOKUP(C53,Country_Data!B:F,5,FALSE)</f>
        <v>458</v>
      </c>
      <c r="E53" s="75">
        <f>D53*Projections_Data!$C$15</f>
        <v>56.222485607856413</v>
      </c>
      <c r="F53" s="75">
        <f>VLOOKUP(C53,Country_Data!C:G,5,FALSE)</f>
        <v>4</v>
      </c>
      <c r="G53" s="76">
        <f>IFERROR(VLOOKUP(C53,Days_Since_100!C:G,5,FALSE)-1,0)</f>
        <v>8.4708710650335917E-2</v>
      </c>
      <c r="H53" s="77">
        <f>IFERROR(VLOOKUP(C53,Deaths_since_10!C:G,5,FALSE)-1,0)</f>
        <v>0</v>
      </c>
      <c r="J53" s="68" t="str">
        <f t="shared" si="5"/>
        <v/>
      </c>
      <c r="K53" s="67"/>
      <c r="L53" s="61">
        <f>VLOOKUP(C53,Country_Data!C:J,8,FALSE)</f>
        <v>1701575</v>
      </c>
      <c r="M53" s="60">
        <f t="shared" si="6"/>
        <v>0</v>
      </c>
      <c r="O53" s="59">
        <f t="array" ref="O53">IF(OR(C53=$Q$4:$Q$22),1,0)</f>
        <v>0</v>
      </c>
    </row>
    <row r="54" spans="2:15" s="59" customFormat="1" ht="13.8" hidden="1" customHeight="1" x14ac:dyDescent="0.3">
      <c r="B54" s="66">
        <f t="shared" si="4"/>
        <v>51</v>
      </c>
      <c r="C54" s="62" t="s">
        <v>88</v>
      </c>
      <c r="D54" s="75">
        <f>VLOOKUP(C54,Country_Data!B:F,5,FALSE)</f>
        <v>538</v>
      </c>
      <c r="E54" s="75">
        <f>D54*Projections_Data!$C$15</f>
        <v>66.043007111412123</v>
      </c>
      <c r="F54" s="75">
        <f>VLOOKUP(C54,Country_Data!C:G,5,FALSE)</f>
        <v>1</v>
      </c>
      <c r="G54" s="76">
        <f>IFERROR(VLOOKUP(C54,Days_Since_100!C:G,5,FALSE)-1,0)</f>
        <v>0.11946925289038357</v>
      </c>
      <c r="H54" s="77">
        <f>IFERROR(VLOOKUP(C54,Deaths_since_10!C:G,5,FALSE)-1,0)</f>
        <v>0</v>
      </c>
      <c r="J54" s="68" t="str">
        <f t="shared" si="5"/>
        <v/>
      </c>
      <c r="K54" s="67"/>
      <c r="L54" s="61">
        <f>VLOOKUP(C54,Country_Data!C:J,8,FALSE)</f>
        <v>1326535</v>
      </c>
      <c r="M54" s="60">
        <f t="shared" si="6"/>
        <v>0</v>
      </c>
      <c r="O54" s="59">
        <f t="array" ref="O54">IF(OR(C54=$Q$4:$Q$22),1,0)</f>
        <v>0</v>
      </c>
    </row>
    <row r="55" spans="2:15" s="59" customFormat="1" ht="13.8" hidden="1" customHeight="1" x14ac:dyDescent="0.3">
      <c r="B55" s="66">
        <f t="shared" si="4"/>
        <v>52</v>
      </c>
      <c r="C55" s="62" t="s">
        <v>74</v>
      </c>
      <c r="D55" s="75">
        <f>VLOOKUP(C55,Country_Data!B:F,5,FALSE)</f>
        <v>208</v>
      </c>
      <c r="E55" s="75">
        <f>D55*Projections_Data!$C$15</f>
        <v>25.533355909244836</v>
      </c>
      <c r="F55" s="75">
        <f>VLOOKUP(C55,Country_Data!C:G,5,FALSE)</f>
        <v>0</v>
      </c>
      <c r="G55" s="76">
        <f>IFERROR(VLOOKUP(C55,Days_Since_100!C:G,5,FALSE)-1,0)</f>
        <v>3.3975226531950176E-2</v>
      </c>
      <c r="H55" s="77">
        <f>IFERROR(VLOOKUP(C55,Deaths_since_10!C:G,5,FALSE)-1,0)</f>
        <v>0</v>
      </c>
      <c r="J55" s="68" t="str">
        <f t="shared" si="5"/>
        <v/>
      </c>
      <c r="K55" s="67"/>
      <c r="L55" s="61">
        <f>VLOOKUP(C55,Country_Data!C:J,8,FALSE)</f>
        <v>4270571</v>
      </c>
      <c r="M55" s="60">
        <f t="shared" si="6"/>
        <v>0</v>
      </c>
      <c r="O55" s="59">
        <f t="array" ref="O55">IF(OR(C55=$Q$4:$Q$22),1,0)</f>
        <v>0</v>
      </c>
    </row>
    <row r="56" spans="2:15" s="59" customFormat="1" ht="13.8" hidden="1" customHeight="1" x14ac:dyDescent="0.3">
      <c r="B56" s="66">
        <f t="shared" si="4"/>
        <v>53</v>
      </c>
      <c r="C56" s="62" t="s">
        <v>338</v>
      </c>
      <c r="D56" s="75">
        <f>VLOOKUP(C56,Country_Data!B:F,5,FALSE)</f>
        <v>29406</v>
      </c>
      <c r="E56" s="75">
        <f>D56*Projections_Data!$C$15</f>
        <v>3609.7781916694885</v>
      </c>
      <c r="F56" s="75">
        <f>VLOOKUP(C56,Country_Data!C:G,5,FALSE)</f>
        <v>2234</v>
      </c>
      <c r="G56" s="76">
        <f>IFERROR(VLOOKUP(C56,Days_Since_100!C:G,5,FALSE)-1,0)</f>
        <v>7.3671913011717383E-2</v>
      </c>
      <c r="H56" s="77">
        <f>IFERROR(VLOOKUP(C56,Deaths_since_10!C:G,5,FALSE)-1,0)</f>
        <v>7.5015473014780287E-2</v>
      </c>
      <c r="J56" s="68" t="str">
        <f t="shared" si="5"/>
        <v/>
      </c>
      <c r="K56" s="67"/>
      <c r="L56" s="61">
        <f>VLOOKUP(C56,Country_Data!C:J,8,FALSE)</f>
        <v>83992949</v>
      </c>
      <c r="M56" s="60">
        <f t="shared" si="6"/>
        <v>0</v>
      </c>
      <c r="O56" s="59">
        <f t="array" ref="O56">IF(OR(C56=$Q$4:$Q$22),1,0)</f>
        <v>0</v>
      </c>
    </row>
    <row r="57" spans="2:15" s="59" customFormat="1" ht="13.8" hidden="1" customHeight="1" x14ac:dyDescent="0.3">
      <c r="B57" s="66">
        <f t="shared" si="4"/>
        <v>54</v>
      </c>
      <c r="C57" s="62" t="s">
        <v>36</v>
      </c>
      <c r="D57" s="75">
        <f>VLOOKUP(C57,Country_Data!B:F,5,FALSE)</f>
        <v>1387</v>
      </c>
      <c r="E57" s="75">
        <f>D57*Projections_Data!$C$15</f>
        <v>170.26329156789706</v>
      </c>
      <c r="F57" s="75">
        <f>VLOOKUP(C57,Country_Data!C:G,5,FALSE)</f>
        <v>47</v>
      </c>
      <c r="G57" s="76">
        <f>IFERROR(VLOOKUP(C57,Days_Since_100!C:G,5,FALSE)-1,0)</f>
        <v>6.6128119339313285E-2</v>
      </c>
      <c r="H57" s="77">
        <f>IFERROR(VLOOKUP(C57,Deaths_since_10!C:G,5,FALSE)-1,0)</f>
        <v>6.0732713038533337E-2</v>
      </c>
      <c r="J57" s="68">
        <f t="shared" si="5"/>
        <v>62.360628357031068</v>
      </c>
      <c r="K57" s="67">
        <v>7.3</v>
      </c>
      <c r="L57" s="61">
        <f>VLOOKUP(C57,Country_Data!C:J,8,FALSE)</f>
        <v>126476461</v>
      </c>
      <c r="M57" s="60">
        <f t="shared" si="6"/>
        <v>9232.781653</v>
      </c>
      <c r="O57" s="59">
        <f t="array" ref="O57">IF(OR(C57=$Q$4:$Q$22),1,0)</f>
        <v>0</v>
      </c>
    </row>
    <row r="58" spans="2:15" s="59" customFormat="1" ht="13.8" hidden="1" customHeight="1" x14ac:dyDescent="0.3">
      <c r="B58" s="66">
        <f t="shared" si="4"/>
        <v>55</v>
      </c>
      <c r="C58" s="62" t="s">
        <v>101</v>
      </c>
      <c r="D58" s="75">
        <f>VLOOKUP(C58,Country_Data!B:F,5,FALSE)</f>
        <v>549</v>
      </c>
      <c r="E58" s="75">
        <f>D58*Projections_Data!$C$15</f>
        <v>67.393328818151033</v>
      </c>
      <c r="F58" s="75">
        <f>VLOOKUP(C58,Country_Data!C:G,5,FALSE)</f>
        <v>0</v>
      </c>
      <c r="G58" s="76">
        <f>IFERROR(VLOOKUP(C58,Days_Since_100!C:G,5,FALSE)-1,0)</f>
        <v>2.6799039188681428E-2</v>
      </c>
      <c r="H58" s="77">
        <f>IFERROR(VLOOKUP(C58,Deaths_since_10!C:G,5,FALSE)-1,0)</f>
        <v>0</v>
      </c>
      <c r="J58" s="68" t="str">
        <f t="shared" si="5"/>
        <v/>
      </c>
      <c r="K58" s="67"/>
      <c r="L58" s="61">
        <f>VLOOKUP(C58,Country_Data!C:J,8,FALSE)</f>
        <v>2881053</v>
      </c>
      <c r="M58" s="60">
        <f t="shared" si="6"/>
        <v>0</v>
      </c>
      <c r="O58" s="59">
        <f t="array" ref="O58">IF(OR(C58=$Q$4:$Q$22),1,0)</f>
        <v>0</v>
      </c>
    </row>
    <row r="59" spans="2:15" s="59" customFormat="1" ht="13.8" hidden="1" customHeight="1" x14ac:dyDescent="0.3">
      <c r="B59" s="66">
        <f t="shared" si="4"/>
        <v>56</v>
      </c>
      <c r="C59" s="62" t="s">
        <v>340</v>
      </c>
      <c r="D59" s="75">
        <f>VLOOKUP(C59,Country_Data!B:F,5,FALSE)</f>
        <v>0</v>
      </c>
      <c r="E59" s="75">
        <f>D59*Projections_Data!$C$15</f>
        <v>0</v>
      </c>
      <c r="F59" s="75">
        <f>VLOOKUP(C59,Country_Data!C:G,5,FALSE)</f>
        <v>0</v>
      </c>
      <c r="G59" s="76">
        <f>IFERROR(VLOOKUP(C59,Days_Since_100!C:G,5,FALSE)-1,0)</f>
        <v>0</v>
      </c>
      <c r="H59" s="77">
        <f>IFERROR(VLOOKUP(C59,Deaths_since_10!C:G,5,FALSE)-1,0)</f>
        <v>0</v>
      </c>
      <c r="J59" s="68" t="str">
        <f t="shared" si="5"/>
        <v/>
      </c>
      <c r="K59" s="67"/>
      <c r="L59" s="61">
        <f>VLOOKUP(C59,Country_Data!C:J,8,FALSE)</f>
        <v>0</v>
      </c>
      <c r="M59" s="60">
        <f t="shared" si="6"/>
        <v>0</v>
      </c>
      <c r="O59" s="59">
        <f t="array" ref="O59">IF(OR(C59=$Q$4:$Q$22),1,0)</f>
        <v>0</v>
      </c>
    </row>
    <row r="60" spans="2:15" ht="13.2" hidden="1" customHeight="1" x14ac:dyDescent="0.2">
      <c r="B60" s="66">
        <f t="shared" ref="B60:B66" si="7">B59+1</f>
        <v>57</v>
      </c>
      <c r="C60" s="62" t="s">
        <v>337</v>
      </c>
      <c r="D60" s="75">
        <f>VLOOKUP(C60,Country_Data!B:F,5,FALSE)</f>
        <v>81782</v>
      </c>
      <c r="E60" s="75">
        <f>D60*Projections_Data!$C$15</f>
        <v>10039.27362004741</v>
      </c>
      <c r="F60" s="75">
        <f>VLOOKUP(C60,Country_Data!C:G,5,FALSE)</f>
        <v>3291</v>
      </c>
      <c r="G60" s="76">
        <f>IFERROR(VLOOKUP(C60,Days_Since_100!C:G,5,FALSE)-1,0)</f>
        <v>1.1706156796793543E-3</v>
      </c>
      <c r="H60" s="77">
        <f>IFERROR(VLOOKUP(C60,Deaths_since_10!C:G,5,FALSE)-1,0)</f>
        <v>1.9561247418256045E-3</v>
      </c>
      <c r="I60" s="59"/>
      <c r="J60" s="68">
        <f t="shared" si="5"/>
        <v>1402.807103867159</v>
      </c>
      <c r="K60" s="67">
        <v>3.6</v>
      </c>
      <c r="L60" s="61">
        <f>VLOOKUP(C60,Country_Data!C:J,8,FALSE)</f>
        <v>1439323776</v>
      </c>
      <c r="M60" s="60">
        <f t="shared" si="6"/>
        <v>51815.655936000003</v>
      </c>
      <c r="O60" s="59">
        <f t="array" ref="O60">IF(OR(C60=$Q$4:$Q$22),1,0)</f>
        <v>0</v>
      </c>
    </row>
    <row r="61" spans="2:15" ht="13.2" hidden="1" customHeight="1" x14ac:dyDescent="0.2">
      <c r="B61" s="66">
        <f t="shared" si="7"/>
        <v>58</v>
      </c>
      <c r="C61" s="62" t="s">
        <v>479</v>
      </c>
      <c r="D61" s="75">
        <f>VLOOKUP(C61,Country_Data!B:F,5,FALSE)</f>
        <v>1925</v>
      </c>
      <c r="E61" s="75">
        <f>D61*Projections_Data!$C$15</f>
        <v>236.30629867930918</v>
      </c>
      <c r="F61" s="75" t="e">
        <f>VLOOKUP(C61,Country_Data!C:G,5,FALSE)</f>
        <v>#N/A</v>
      </c>
      <c r="G61" s="76">
        <f>IFERROR(VLOOKUP(C61,Days_Since_100!C:G,5,FALSE)-1,0)</f>
        <v>0</v>
      </c>
      <c r="H61" s="77">
        <f>IFERROR(VLOOKUP(C61,Deaths_since_10!C:G,5,FALSE)-1,0)</f>
        <v>0</v>
      </c>
      <c r="I61" s="59"/>
      <c r="J61" s="68" t="str">
        <f t="shared" si="5"/>
        <v/>
      </c>
      <c r="K61" s="67">
        <v>11.6</v>
      </c>
      <c r="L61" s="61" t="e">
        <f>VLOOKUP(C61,Country_Data!C:J,8,FALSE)</f>
        <v>#N/A</v>
      </c>
      <c r="M61" s="60" t="e">
        <f t="shared" si="6"/>
        <v>#N/A</v>
      </c>
      <c r="O61" s="59">
        <f t="array" ref="O61">IF(OR(C61=$Q$4:$Q$22),1,0)</f>
        <v>0</v>
      </c>
    </row>
    <row r="62" spans="2:15" ht="13.2" hidden="1" customHeight="1" x14ac:dyDescent="0.2">
      <c r="B62" s="66">
        <f t="shared" si="7"/>
        <v>59</v>
      </c>
      <c r="C62" s="62" t="s">
        <v>476</v>
      </c>
      <c r="D62" s="75">
        <f>VLOOKUP(C62,Country_Data!B:F,5,FALSE)</f>
        <v>9241</v>
      </c>
      <c r="E62" s="75">
        <f>D62*Projections_Data!$C$15</f>
        <v>1134.3929901794784</v>
      </c>
      <c r="F62" s="75" t="e">
        <f>VLOOKUP(C62,Country_Data!C:G,5,FALSE)</f>
        <v>#N/A</v>
      </c>
      <c r="G62" s="76">
        <f>IFERROR(VLOOKUP(C62,Days_Since_100!C:G,5,FALSE)-1,0)</f>
        <v>0</v>
      </c>
      <c r="H62" s="77">
        <f>IFERROR(VLOOKUP(C62,Deaths_since_10!C:G,5,FALSE)-1,0)</f>
        <v>0</v>
      </c>
      <c r="I62" s="59"/>
      <c r="J62" s="68" t="str">
        <f t="shared" si="5"/>
        <v/>
      </c>
      <c r="K62" s="67">
        <v>10.6</v>
      </c>
      <c r="L62" s="61" t="e">
        <f>VLOOKUP(C62,Country_Data!C:J,8,FALSE)</f>
        <v>#N/A</v>
      </c>
      <c r="M62" s="60">
        <v>1500</v>
      </c>
      <c r="O62" s="59">
        <f t="array" ref="O62">IF(OR(C62=$Q$4:$Q$22),1,0)</f>
        <v>0</v>
      </c>
    </row>
    <row r="63" spans="2:15" ht="13.2" hidden="1" customHeight="1" x14ac:dyDescent="0.2">
      <c r="B63" s="66">
        <f t="shared" si="7"/>
        <v>60</v>
      </c>
      <c r="C63" s="62" t="s">
        <v>231</v>
      </c>
      <c r="D63" s="75">
        <f>VLOOKUP(C63,Country_Data!B:F,5,FALSE)</f>
        <v>146</v>
      </c>
      <c r="E63" s="75">
        <f>D63*Projections_Data!$C$15</f>
        <v>17.922451743989164</v>
      </c>
      <c r="F63" s="75">
        <f>VLOOKUP(C63,Country_Data!C:G,5,FALSE)</f>
        <v>3</v>
      </c>
      <c r="G63" s="76">
        <f>IFERROR(VLOOKUP(C63,Days_Since_100!C:G,5,FALSE)-1,0)</f>
        <v>7.96880356547367E-2</v>
      </c>
      <c r="H63" s="77">
        <f>IFERROR(VLOOKUP(C63,Deaths_since_10!C:G,5,FALSE)-1,0)</f>
        <v>0</v>
      </c>
      <c r="J63" s="68" t="str">
        <f t="shared" si="5"/>
        <v/>
      </c>
      <c r="K63" s="67">
        <v>11.4</v>
      </c>
      <c r="L63" s="61">
        <f>VLOOKUP(C63,Country_Data!C:J,8,FALSE)</f>
        <v>1207359</v>
      </c>
      <c r="M63" s="60"/>
      <c r="O63" s="59">
        <f t="array" ref="O63">IF(OR(C63=$Q$4:$Q$22),1,0)</f>
        <v>0</v>
      </c>
    </row>
    <row r="64" spans="2:15" ht="13.2" hidden="1" customHeight="1" x14ac:dyDescent="0.2">
      <c r="B64" s="66">
        <f t="shared" si="7"/>
        <v>61</v>
      </c>
      <c r="C64" s="62" t="s">
        <v>76</v>
      </c>
      <c r="D64" s="75"/>
      <c r="E64" s="75"/>
      <c r="F64" s="75">
        <f>VLOOKUP(C64,Country_Data!C:G,5,FALSE)</f>
        <v>3</v>
      </c>
      <c r="G64" s="75"/>
      <c r="H64" s="77">
        <f>IFERROR(VLOOKUP(C64,Deaths_since_10!C:G,5,FALSE)-1,0)</f>
        <v>0</v>
      </c>
      <c r="J64" s="68" t="str">
        <f t="shared" si="5"/>
        <v/>
      </c>
      <c r="K64" s="67">
        <v>14.7</v>
      </c>
      <c r="L64" s="61">
        <f>VLOOKUP(C64,Country_Data!C:J,8,FALSE)</f>
        <v>4105267</v>
      </c>
      <c r="M64" s="60"/>
      <c r="O64" s="59">
        <f t="array" ref="O64">IF(OR(C64=$Q$4:$Q$22),1,0)</f>
        <v>0</v>
      </c>
    </row>
    <row r="65" spans="1:15" ht="13.2" hidden="1" customHeight="1" x14ac:dyDescent="0.2">
      <c r="B65" s="66">
        <f t="shared" si="7"/>
        <v>62</v>
      </c>
      <c r="C65" s="62" t="s">
        <v>132</v>
      </c>
      <c r="D65" s="75"/>
      <c r="E65" s="75"/>
      <c r="F65" s="75">
        <f>VLOOKUP(C65,Country_Data!C:G,5,FALSE)</f>
        <v>10</v>
      </c>
      <c r="G65" s="75"/>
      <c r="H65" s="77">
        <f>IFERROR(VLOOKUP(C65,Deaths_since_10!C:G,5,FALSE)-1,0)</f>
        <v>5.4092553389459841E-2</v>
      </c>
      <c r="J65" s="68" t="str">
        <f t="shared" si="5"/>
        <v/>
      </c>
      <c r="K65" s="67">
        <v>13.8</v>
      </c>
      <c r="L65" s="61">
        <f>VLOOKUP(C65,Country_Data!C:J,8,FALSE)</f>
        <v>9660351</v>
      </c>
      <c r="M65" s="60"/>
      <c r="O65" s="59">
        <f t="array" ref="O65">IF(OR(C65=$Q$4:$Q$22),1,0)</f>
        <v>0</v>
      </c>
    </row>
    <row r="66" spans="1:15" ht="13.2" hidden="1" customHeight="1" thickBot="1" x14ac:dyDescent="0.25">
      <c r="A66" s="90"/>
      <c r="B66" s="66">
        <f t="shared" si="7"/>
        <v>63</v>
      </c>
      <c r="C66" s="62" t="s">
        <v>93</v>
      </c>
      <c r="D66" s="75"/>
      <c r="E66" s="75"/>
      <c r="F66" s="75">
        <f>VLOOKUP(C66,Country_Data!C:G,5,FALSE)</f>
        <v>4</v>
      </c>
      <c r="G66" s="75"/>
      <c r="H66" s="77">
        <f>IFERROR(VLOOKUP(C66,Deaths_since_10!C:G,5,FALSE)-1,0)</f>
        <v>0</v>
      </c>
      <c r="I66" s="92"/>
      <c r="J66" s="68" t="str">
        <f t="shared" si="5"/>
        <v/>
      </c>
      <c r="K66" s="67">
        <v>15.5</v>
      </c>
      <c r="L66" s="61">
        <f>VLOOKUP(C66,Country_Data!C:J,8,FALSE)</f>
        <v>2722289</v>
      </c>
      <c r="M66" s="60"/>
      <c r="N66" s="81"/>
      <c r="O66" s="59">
        <f t="array" ref="O66">IF(OR(C66=$Q$4:$Q$22),1,0)</f>
        <v>0</v>
      </c>
    </row>
    <row r="67" spans="1:15" ht="2.4" customHeight="1" x14ac:dyDescent="0.2">
      <c r="A67" s="89"/>
      <c r="B67" s="78"/>
      <c r="C67" s="78"/>
      <c r="D67" s="78"/>
      <c r="E67" s="78"/>
      <c r="F67" s="78"/>
      <c r="G67" s="78"/>
      <c r="H67" s="86"/>
      <c r="I67" s="81"/>
      <c r="J67" s="87"/>
      <c r="K67" s="87"/>
      <c r="L67" s="88"/>
      <c r="M67" s="81"/>
      <c r="N67" s="81"/>
    </row>
    <row r="68" spans="1:15" ht="13.2" customHeight="1" x14ac:dyDescent="0.2">
      <c r="A68" s="89"/>
      <c r="B68" s="62"/>
      <c r="C68" s="62"/>
      <c r="D68" s="62"/>
      <c r="E68" s="62"/>
      <c r="F68" s="62"/>
      <c r="G68" s="62"/>
      <c r="H68" s="82" t="s">
        <v>566</v>
      </c>
      <c r="I68" s="81"/>
      <c r="J68" s="81"/>
      <c r="K68" s="81"/>
      <c r="L68" s="81"/>
      <c r="M68" s="81"/>
      <c r="N68" s="81"/>
    </row>
    <row r="69" spans="1:15" ht="13.2" customHeight="1" x14ac:dyDescent="0.2">
      <c r="A69" s="89"/>
      <c r="B69" s="91"/>
      <c r="C69" s="81"/>
      <c r="D69" s="81"/>
      <c r="E69" s="81"/>
      <c r="F69" s="81"/>
      <c r="G69" s="91"/>
      <c r="H69" s="91"/>
      <c r="I69" s="81"/>
      <c r="J69" s="81"/>
      <c r="K69" s="81"/>
      <c r="L69" s="81"/>
      <c r="M69" s="81"/>
      <c r="N69" s="81"/>
    </row>
    <row r="70" spans="1:15" ht="13.2" customHeight="1" x14ac:dyDescent="0.2">
      <c r="A70" s="89"/>
      <c r="B70" s="91"/>
      <c r="C70" s="81"/>
      <c r="D70" s="81"/>
      <c r="E70" s="81"/>
      <c r="F70" s="81"/>
      <c r="G70" s="91"/>
      <c r="H70" s="91"/>
      <c r="I70" s="81"/>
      <c r="J70" s="81"/>
      <c r="K70" s="81"/>
      <c r="L70" s="81"/>
      <c r="M70" s="81"/>
    </row>
    <row r="71" spans="1:15" ht="13.2" customHeight="1" x14ac:dyDescent="0.2">
      <c r="A71" s="89"/>
      <c r="B71" s="91"/>
      <c r="C71" s="81"/>
      <c r="D71" s="81"/>
      <c r="E71" s="81"/>
      <c r="F71" s="81"/>
      <c r="G71" s="91"/>
      <c r="H71" s="91"/>
      <c r="I71" s="81"/>
      <c r="J71" s="81"/>
      <c r="K71" s="81"/>
      <c r="L71" s="81"/>
      <c r="M71" s="81"/>
    </row>
    <row r="72" spans="1:15" ht="13.2" customHeight="1" x14ac:dyDescent="0.2">
      <c r="A72" s="89"/>
      <c r="B72" s="91"/>
      <c r="C72" s="81"/>
      <c r="D72" s="81"/>
      <c r="E72" s="81"/>
      <c r="F72" s="81"/>
      <c r="G72" s="91"/>
      <c r="H72" s="91"/>
      <c r="I72" s="81"/>
      <c r="J72" s="81"/>
      <c r="K72" s="81"/>
      <c r="L72" s="81"/>
      <c r="M72" s="81"/>
    </row>
    <row r="73" spans="1:15" ht="13.2" customHeight="1" x14ac:dyDescent="0.2">
      <c r="A73" s="89"/>
      <c r="B73" s="91"/>
      <c r="C73" s="81"/>
      <c r="D73" s="81"/>
      <c r="E73" s="81"/>
      <c r="F73" s="81"/>
      <c r="G73" s="91"/>
      <c r="H73" s="91"/>
      <c r="I73" s="81"/>
      <c r="J73" s="81"/>
      <c r="K73" s="81"/>
      <c r="L73" s="81"/>
      <c r="M73" s="81"/>
    </row>
    <row r="74" spans="1:15" ht="13.2" customHeight="1" x14ac:dyDescent="0.2">
      <c r="A74" s="89"/>
      <c r="B74" s="91"/>
      <c r="C74" s="81"/>
      <c r="D74" s="81"/>
      <c r="E74" s="81"/>
      <c r="F74" s="81"/>
      <c r="G74" s="91"/>
      <c r="H74" s="91"/>
      <c r="I74" s="81"/>
      <c r="J74" s="81"/>
      <c r="K74" s="81"/>
      <c r="L74" s="81"/>
      <c r="M74" s="81"/>
    </row>
    <row r="75" spans="1:15" ht="13.2" customHeight="1" x14ac:dyDescent="0.2">
      <c r="A75" s="89"/>
      <c r="B75" s="91"/>
      <c r="C75" s="81"/>
      <c r="D75" s="81"/>
      <c r="E75" s="81"/>
      <c r="F75" s="81"/>
      <c r="G75" s="91"/>
      <c r="H75" s="91"/>
      <c r="I75" s="81"/>
      <c r="J75" s="81"/>
      <c r="K75" s="81"/>
      <c r="L75" s="81"/>
      <c r="M75" s="81"/>
    </row>
    <row r="76" spans="1:15" ht="13.2" customHeight="1" x14ac:dyDescent="0.2">
      <c r="A76" s="89"/>
      <c r="B76" s="91"/>
      <c r="C76" s="81"/>
      <c r="D76" s="81"/>
      <c r="E76" s="81"/>
      <c r="F76" s="81"/>
      <c r="G76" s="91"/>
      <c r="H76" s="91"/>
      <c r="I76" s="81"/>
      <c r="J76" s="81"/>
      <c r="K76" s="81"/>
      <c r="L76" s="81"/>
      <c r="M76" s="81"/>
    </row>
    <row r="77" spans="1:15" ht="13.2" customHeight="1" x14ac:dyDescent="0.2">
      <c r="A77" s="89"/>
      <c r="B77" s="91"/>
      <c r="C77" s="81"/>
      <c r="D77" s="81"/>
      <c r="E77" s="81"/>
      <c r="F77" s="81"/>
      <c r="G77" s="91"/>
      <c r="H77" s="91"/>
      <c r="I77" s="81"/>
      <c r="J77" s="81"/>
      <c r="K77" s="81"/>
      <c r="L77" s="81"/>
      <c r="M77" s="81"/>
    </row>
    <row r="78" spans="1:15" ht="13.2" customHeight="1" x14ac:dyDescent="0.2">
      <c r="A78" s="89"/>
      <c r="B78" s="91"/>
      <c r="C78" s="81"/>
      <c r="D78" s="81"/>
      <c r="E78" s="81"/>
      <c r="F78" s="81"/>
      <c r="G78" s="91"/>
      <c r="H78" s="91"/>
      <c r="I78" s="81"/>
      <c r="J78" s="81"/>
      <c r="K78" s="81"/>
      <c r="L78" s="81"/>
      <c r="M78" s="81"/>
    </row>
    <row r="79" spans="1:15" ht="13.2" customHeight="1" x14ac:dyDescent="0.2">
      <c r="A79" s="81"/>
      <c r="B79" s="91"/>
      <c r="C79" s="81"/>
      <c r="D79" s="81"/>
      <c r="E79" s="81"/>
      <c r="F79" s="81"/>
      <c r="G79" s="91"/>
      <c r="H79" s="91"/>
      <c r="I79" s="81"/>
      <c r="J79" s="81"/>
      <c r="K79" s="81"/>
      <c r="L79" s="81"/>
      <c r="M79" s="81"/>
    </row>
    <row r="80" spans="1:15" ht="13.2" customHeight="1" x14ac:dyDescent="0.2">
      <c r="A80" s="81"/>
      <c r="B80" s="91"/>
      <c r="C80" s="81"/>
      <c r="D80" s="81"/>
      <c r="E80" s="81"/>
      <c r="F80" s="81"/>
      <c r="G80" s="91"/>
      <c r="H80" s="91"/>
      <c r="I80" s="81"/>
      <c r="J80" s="81"/>
      <c r="K80" s="81"/>
      <c r="L80" s="81"/>
      <c r="M80" s="81"/>
    </row>
    <row r="81" spans="1:13" ht="13.2" customHeight="1" x14ac:dyDescent="0.2">
      <c r="A81" s="81"/>
      <c r="B81" s="91"/>
      <c r="C81" s="81"/>
      <c r="D81" s="81"/>
      <c r="E81" s="81"/>
      <c r="F81" s="81"/>
      <c r="G81" s="91"/>
      <c r="H81" s="91"/>
      <c r="I81" s="81"/>
      <c r="J81" s="81"/>
      <c r="K81" s="81"/>
      <c r="L81" s="81"/>
      <c r="M81" s="81"/>
    </row>
  </sheetData>
  <autoFilter ref="C3:M3" xr:uid="{4E6F1926-8E17-40DF-935A-A5A587FE43B5}">
    <sortState xmlns:xlrd2="http://schemas.microsoft.com/office/spreadsheetml/2017/richdata2" ref="C4:M23">
      <sortCondition descending="1" ref="H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L3:T29"/>
  <sheetViews>
    <sheetView zoomScale="80" zoomScaleNormal="80" workbookViewId="0">
      <selection activeCell="V23" sqref="V23"/>
    </sheetView>
  </sheetViews>
  <sheetFormatPr defaultRowHeight="14.4" x14ac:dyDescent="0.3"/>
  <cols>
    <col min="16" max="16" width="10.33203125" customWidth="1"/>
    <col min="19" max="19" width="11.33203125" bestFit="1" customWidth="1"/>
  </cols>
  <sheetData>
    <row r="3" spans="12:20" x14ac:dyDescent="0.3">
      <c r="S3" t="s">
        <v>596</v>
      </c>
      <c r="T3" t="s">
        <v>514</v>
      </c>
    </row>
    <row r="4" spans="12:20" x14ac:dyDescent="0.3">
      <c r="R4" t="s">
        <v>426</v>
      </c>
      <c r="S4" s="5">
        <v>0</v>
      </c>
      <c r="T4">
        <v>0</v>
      </c>
    </row>
    <row r="5" spans="12:20" x14ac:dyDescent="0.3">
      <c r="R5" t="s">
        <v>427</v>
      </c>
      <c r="S5" s="5">
        <v>100000</v>
      </c>
      <c r="T5">
        <v>5000</v>
      </c>
    </row>
    <row r="6" spans="12:20" x14ac:dyDescent="0.3">
      <c r="L6" s="5"/>
    </row>
    <row r="7" spans="12:20" x14ac:dyDescent="0.3">
      <c r="R7" t="s">
        <v>428</v>
      </c>
      <c r="S7" s="5">
        <v>1</v>
      </c>
      <c r="T7">
        <v>1</v>
      </c>
    </row>
    <row r="8" spans="12:20" x14ac:dyDescent="0.3">
      <c r="R8" t="s">
        <v>429</v>
      </c>
      <c r="S8" s="5">
        <v>35</v>
      </c>
      <c r="T8">
        <v>30</v>
      </c>
    </row>
    <row r="10" spans="12:20" x14ac:dyDescent="0.3">
      <c r="R10">
        <v>1</v>
      </c>
      <c r="S10" t="s">
        <v>349</v>
      </c>
    </row>
    <row r="11" spans="12:20" x14ac:dyDescent="0.3">
      <c r="R11">
        <v>2</v>
      </c>
      <c r="S11" t="s">
        <v>38</v>
      </c>
    </row>
    <row r="12" spans="12:20" x14ac:dyDescent="0.3">
      <c r="R12">
        <v>3</v>
      </c>
      <c r="S12" s="17" t="s">
        <v>58</v>
      </c>
    </row>
    <row r="13" spans="12:20" x14ac:dyDescent="0.3">
      <c r="R13">
        <v>4</v>
      </c>
      <c r="S13" s="17" t="s">
        <v>337</v>
      </c>
    </row>
    <row r="14" spans="12:20" x14ac:dyDescent="0.3">
      <c r="R14">
        <v>5</v>
      </c>
      <c r="S14" s="17" t="s">
        <v>41</v>
      </c>
    </row>
    <row r="15" spans="12:20" x14ac:dyDescent="0.3">
      <c r="R15">
        <v>6</v>
      </c>
      <c r="S15" s="17" t="s">
        <v>53</v>
      </c>
    </row>
    <row r="16" spans="12:20" x14ac:dyDescent="0.3">
      <c r="R16">
        <v>7</v>
      </c>
      <c r="S16" s="17" t="s">
        <v>60</v>
      </c>
    </row>
    <row r="17" spans="18:19" x14ac:dyDescent="0.3">
      <c r="R17">
        <v>8</v>
      </c>
      <c r="S17" s="17"/>
    </row>
    <row r="18" spans="18:19" x14ac:dyDescent="0.3">
      <c r="R18">
        <v>9</v>
      </c>
      <c r="S18" s="17"/>
    </row>
    <row r="19" spans="18:19" x14ac:dyDescent="0.3">
      <c r="R19">
        <v>10</v>
      </c>
      <c r="S19" s="17"/>
    </row>
    <row r="20" spans="18:19" x14ac:dyDescent="0.3">
      <c r="R20">
        <v>11</v>
      </c>
    </row>
    <row r="21" spans="18:19" x14ac:dyDescent="0.3">
      <c r="R21">
        <f>R20+1</f>
        <v>12</v>
      </c>
    </row>
    <row r="22" spans="18:19" x14ac:dyDescent="0.3">
      <c r="R22">
        <f t="shared" ref="R22:R29" si="0">R21+1</f>
        <v>13</v>
      </c>
    </row>
    <row r="23" spans="18:19" x14ac:dyDescent="0.3">
      <c r="R23">
        <f t="shared" si="0"/>
        <v>14</v>
      </c>
    </row>
    <row r="24" spans="18:19" x14ac:dyDescent="0.3">
      <c r="R24">
        <f t="shared" si="0"/>
        <v>15</v>
      </c>
    </row>
    <row r="25" spans="18:19" x14ac:dyDescent="0.3">
      <c r="R25">
        <f t="shared" si="0"/>
        <v>16</v>
      </c>
    </row>
    <row r="26" spans="18:19" x14ac:dyDescent="0.3">
      <c r="R26">
        <f t="shared" si="0"/>
        <v>17</v>
      </c>
    </row>
    <row r="27" spans="18:19" x14ac:dyDescent="0.3">
      <c r="R27">
        <f t="shared" si="0"/>
        <v>18</v>
      </c>
    </row>
    <row r="28" spans="18:19" x14ac:dyDescent="0.3">
      <c r="R28">
        <f t="shared" si="0"/>
        <v>19</v>
      </c>
    </row>
    <row r="29" spans="18:19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IC4" activePane="bottomRight" state="frozen"/>
      <selection pane="topRight" activeCell="G1" sqref="G1"/>
      <selection pane="bottomLeft" activeCell="A4" sqref="A4"/>
      <selection pane="bottomRight" activeCell="C16" sqref="C16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3.44140625" style="19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United Kingdom</v>
      </c>
      <c r="C2" s="20">
        <f>MAX(ConfirmedRaw!1:1)</f>
        <v>43916</v>
      </c>
    </row>
    <row r="3" spans="2:248" x14ac:dyDescent="0.3">
      <c r="G3" s="20">
        <f ca="1">VLOOKUP(B2,Country_Data!B:E,4,FALSE)</f>
        <v>43895</v>
      </c>
      <c r="H3" s="20">
        <f t="shared" ref="H3:BS3" ca="1" si="0">G3+1</f>
        <v>43896</v>
      </c>
      <c r="I3" s="20">
        <f t="shared" ca="1" si="0"/>
        <v>43897</v>
      </c>
      <c r="J3" s="20">
        <f t="shared" ca="1" si="0"/>
        <v>43898</v>
      </c>
      <c r="K3" s="20">
        <f t="shared" ca="1" si="0"/>
        <v>43899</v>
      </c>
      <c r="L3" s="20">
        <f t="shared" ca="1" si="0"/>
        <v>43900</v>
      </c>
      <c r="M3" s="20">
        <f t="shared" ca="1" si="0"/>
        <v>43901</v>
      </c>
      <c r="N3" s="20">
        <f t="shared" ca="1" si="0"/>
        <v>43902</v>
      </c>
      <c r="O3" s="20">
        <f t="shared" ca="1" si="0"/>
        <v>43903</v>
      </c>
      <c r="P3" s="20">
        <f t="shared" ca="1" si="0"/>
        <v>43904</v>
      </c>
      <c r="Q3" s="20">
        <f t="shared" ca="1" si="0"/>
        <v>43905</v>
      </c>
      <c r="R3" s="20">
        <f t="shared" ca="1" si="0"/>
        <v>43906</v>
      </c>
      <c r="S3" s="20">
        <f t="shared" ca="1" si="0"/>
        <v>43907</v>
      </c>
      <c r="T3" s="20">
        <f t="shared" ca="1" si="0"/>
        <v>43908</v>
      </c>
      <c r="U3" s="20">
        <f t="shared" ca="1" si="0"/>
        <v>43909</v>
      </c>
      <c r="V3" s="20">
        <f t="shared" ca="1" si="0"/>
        <v>43910</v>
      </c>
      <c r="W3" s="20">
        <f t="shared" ca="1" si="0"/>
        <v>43911</v>
      </c>
      <c r="X3" s="20">
        <f t="shared" ca="1" si="0"/>
        <v>43912</v>
      </c>
      <c r="Y3" s="20">
        <f t="shared" ca="1" si="0"/>
        <v>43913</v>
      </c>
      <c r="Z3" s="20">
        <f t="shared" ca="1" si="0"/>
        <v>43914</v>
      </c>
      <c r="AA3" s="20">
        <f t="shared" ca="1" si="0"/>
        <v>43915</v>
      </c>
      <c r="AB3" s="20">
        <f t="shared" ca="1" si="0"/>
        <v>43916</v>
      </c>
      <c r="AC3" s="20">
        <f t="shared" ca="1" si="0"/>
        <v>43917</v>
      </c>
      <c r="AD3" s="20">
        <f t="shared" ca="1" si="0"/>
        <v>43918</v>
      </c>
      <c r="AE3" s="20">
        <f t="shared" ca="1" si="0"/>
        <v>43919</v>
      </c>
      <c r="AF3" s="20">
        <f t="shared" ca="1" si="0"/>
        <v>43920</v>
      </c>
      <c r="AG3" s="20">
        <f t="shared" ca="1" si="0"/>
        <v>43921</v>
      </c>
      <c r="AH3" s="20">
        <f t="shared" ca="1" si="0"/>
        <v>43922</v>
      </c>
      <c r="AI3" s="20">
        <f t="shared" ca="1" si="0"/>
        <v>43923</v>
      </c>
      <c r="AJ3" s="20">
        <f t="shared" ca="1" si="0"/>
        <v>43924</v>
      </c>
      <c r="AK3" s="20">
        <f t="shared" ca="1" si="0"/>
        <v>43925</v>
      </c>
      <c r="AL3" s="20">
        <f t="shared" ca="1" si="0"/>
        <v>43926</v>
      </c>
      <c r="AM3" s="20">
        <f t="shared" ca="1" si="0"/>
        <v>43927</v>
      </c>
      <c r="AN3" s="20">
        <f t="shared" ca="1" si="0"/>
        <v>43928</v>
      </c>
      <c r="AO3" s="20">
        <f t="shared" ca="1" si="0"/>
        <v>43929</v>
      </c>
      <c r="AP3" s="20">
        <f t="shared" ca="1" si="0"/>
        <v>43930</v>
      </c>
      <c r="AQ3" s="20">
        <f t="shared" ca="1" si="0"/>
        <v>43931</v>
      </c>
      <c r="AR3" s="20">
        <f t="shared" ca="1" si="0"/>
        <v>43932</v>
      </c>
      <c r="AS3" s="20">
        <f t="shared" ca="1" si="0"/>
        <v>43933</v>
      </c>
      <c r="AT3" s="20">
        <f t="shared" ca="1" si="0"/>
        <v>43934</v>
      </c>
      <c r="AU3" s="20">
        <f t="shared" ca="1" si="0"/>
        <v>43935</v>
      </c>
      <c r="AV3" s="20">
        <f t="shared" ca="1" si="0"/>
        <v>43936</v>
      </c>
      <c r="AW3" s="20">
        <f t="shared" ca="1" si="0"/>
        <v>43937</v>
      </c>
      <c r="AX3" s="20">
        <f t="shared" ca="1" si="0"/>
        <v>43938</v>
      </c>
      <c r="AY3" s="20">
        <f t="shared" ca="1" si="0"/>
        <v>43939</v>
      </c>
      <c r="AZ3" s="20">
        <f t="shared" ca="1" si="0"/>
        <v>43940</v>
      </c>
      <c r="BA3" s="20">
        <f t="shared" ca="1" si="0"/>
        <v>43941</v>
      </c>
      <c r="BB3" s="20">
        <f t="shared" ca="1" si="0"/>
        <v>43942</v>
      </c>
      <c r="BC3" s="20">
        <f t="shared" ca="1" si="0"/>
        <v>43943</v>
      </c>
      <c r="BD3" s="20">
        <f t="shared" ca="1" si="0"/>
        <v>43944</v>
      </c>
      <c r="BE3" s="20">
        <f t="shared" ca="1" si="0"/>
        <v>43945</v>
      </c>
      <c r="BF3" s="20">
        <f t="shared" ca="1" si="0"/>
        <v>43946</v>
      </c>
      <c r="BG3" s="20">
        <f t="shared" ca="1" si="0"/>
        <v>43947</v>
      </c>
      <c r="BH3" s="20">
        <f t="shared" ca="1" si="0"/>
        <v>43948</v>
      </c>
      <c r="BI3" s="20">
        <f t="shared" ca="1" si="0"/>
        <v>43949</v>
      </c>
      <c r="BJ3" s="20">
        <f t="shared" ca="1" si="0"/>
        <v>43950</v>
      </c>
      <c r="BK3" s="20">
        <f t="shared" ca="1" si="0"/>
        <v>43951</v>
      </c>
      <c r="BL3" s="20">
        <f t="shared" ca="1" si="0"/>
        <v>43952</v>
      </c>
      <c r="BM3" s="20">
        <f t="shared" ca="1" si="0"/>
        <v>43953</v>
      </c>
      <c r="BN3" s="20">
        <f t="shared" ca="1" si="0"/>
        <v>43954</v>
      </c>
      <c r="BO3" s="20">
        <f t="shared" ca="1" si="0"/>
        <v>43955</v>
      </c>
      <c r="BP3" s="20">
        <f t="shared" ca="1" si="0"/>
        <v>43956</v>
      </c>
      <c r="BQ3" s="20">
        <f t="shared" ca="1" si="0"/>
        <v>43957</v>
      </c>
      <c r="BR3" s="20">
        <f t="shared" ca="1" si="0"/>
        <v>43958</v>
      </c>
      <c r="BS3" s="20">
        <f t="shared" ca="1" si="0"/>
        <v>43959</v>
      </c>
      <c r="BT3" s="20">
        <f t="shared" ref="BT3:EE3" ca="1" si="1">BS3+1</f>
        <v>43960</v>
      </c>
      <c r="BU3" s="20">
        <f t="shared" ca="1" si="1"/>
        <v>43961</v>
      </c>
      <c r="BV3" s="20">
        <f t="shared" ca="1" si="1"/>
        <v>43962</v>
      </c>
      <c r="BW3" s="20">
        <f t="shared" ca="1" si="1"/>
        <v>43963</v>
      </c>
      <c r="BX3" s="20">
        <f t="shared" ca="1" si="1"/>
        <v>43964</v>
      </c>
      <c r="BY3" s="20">
        <f t="shared" ca="1" si="1"/>
        <v>43965</v>
      </c>
      <c r="BZ3" s="20">
        <f t="shared" ca="1" si="1"/>
        <v>43966</v>
      </c>
      <c r="CA3" s="20">
        <f t="shared" ca="1" si="1"/>
        <v>43967</v>
      </c>
      <c r="CB3" s="20">
        <f t="shared" ca="1" si="1"/>
        <v>43968</v>
      </c>
      <c r="CC3" s="20">
        <f t="shared" ca="1" si="1"/>
        <v>43969</v>
      </c>
      <c r="CD3" s="20">
        <f t="shared" ca="1" si="1"/>
        <v>43970</v>
      </c>
      <c r="CE3" s="20">
        <f t="shared" ca="1" si="1"/>
        <v>43971</v>
      </c>
      <c r="CF3" s="20">
        <f t="shared" ca="1" si="1"/>
        <v>43972</v>
      </c>
      <c r="CG3" s="20">
        <f t="shared" ca="1" si="1"/>
        <v>43973</v>
      </c>
      <c r="CH3" s="20">
        <f t="shared" ca="1" si="1"/>
        <v>43974</v>
      </c>
      <c r="CI3" s="20">
        <f t="shared" ca="1" si="1"/>
        <v>43975</v>
      </c>
      <c r="CJ3" s="20">
        <f t="shared" ca="1" si="1"/>
        <v>43976</v>
      </c>
      <c r="CK3" s="20">
        <f t="shared" ca="1" si="1"/>
        <v>43977</v>
      </c>
      <c r="CL3" s="20">
        <f t="shared" ca="1" si="1"/>
        <v>43978</v>
      </c>
      <c r="CM3" s="20">
        <f t="shared" ca="1" si="1"/>
        <v>43979</v>
      </c>
      <c r="CN3" s="20">
        <f t="shared" ca="1" si="1"/>
        <v>43980</v>
      </c>
      <c r="CO3" s="20">
        <f t="shared" ca="1" si="1"/>
        <v>43981</v>
      </c>
      <c r="CP3" s="20">
        <f t="shared" ca="1" si="1"/>
        <v>43982</v>
      </c>
      <c r="CQ3" s="20">
        <f t="shared" ca="1" si="1"/>
        <v>43983</v>
      </c>
      <c r="CR3" s="20">
        <f t="shared" ca="1" si="1"/>
        <v>43984</v>
      </c>
      <c r="CS3" s="20">
        <f t="shared" ca="1" si="1"/>
        <v>43985</v>
      </c>
      <c r="CT3" s="20">
        <f t="shared" ca="1" si="1"/>
        <v>43986</v>
      </c>
      <c r="CU3" s="20">
        <f t="shared" ca="1" si="1"/>
        <v>43987</v>
      </c>
      <c r="CV3" s="20">
        <f t="shared" ca="1" si="1"/>
        <v>43988</v>
      </c>
      <c r="CW3" s="20">
        <f t="shared" ca="1" si="1"/>
        <v>43989</v>
      </c>
      <c r="CX3" s="20">
        <f t="shared" ca="1" si="1"/>
        <v>43990</v>
      </c>
      <c r="CY3" s="20">
        <f t="shared" ca="1" si="1"/>
        <v>43991</v>
      </c>
      <c r="CZ3" s="20">
        <f t="shared" ca="1" si="1"/>
        <v>43992</v>
      </c>
      <c r="DA3" s="20">
        <f t="shared" ca="1" si="1"/>
        <v>43993</v>
      </c>
      <c r="DB3" s="20">
        <f t="shared" ca="1" si="1"/>
        <v>43994</v>
      </c>
      <c r="DC3" s="20">
        <f t="shared" ca="1" si="1"/>
        <v>43995</v>
      </c>
      <c r="DD3" s="20">
        <f t="shared" ca="1" si="1"/>
        <v>43996</v>
      </c>
      <c r="DE3" s="20">
        <f t="shared" ca="1" si="1"/>
        <v>43997</v>
      </c>
      <c r="DF3" s="20">
        <f t="shared" ca="1" si="1"/>
        <v>43998</v>
      </c>
      <c r="DG3" s="20">
        <f t="shared" ca="1" si="1"/>
        <v>43999</v>
      </c>
      <c r="DH3" s="20">
        <f t="shared" ca="1" si="1"/>
        <v>44000</v>
      </c>
      <c r="DI3" s="20">
        <f t="shared" ca="1" si="1"/>
        <v>44001</v>
      </c>
      <c r="DJ3" s="20">
        <f t="shared" ca="1" si="1"/>
        <v>44002</v>
      </c>
      <c r="DK3" s="20">
        <f t="shared" ca="1" si="1"/>
        <v>44003</v>
      </c>
      <c r="DL3" s="20">
        <f t="shared" ca="1" si="1"/>
        <v>44004</v>
      </c>
      <c r="DM3" s="20">
        <f t="shared" ca="1" si="1"/>
        <v>44005</v>
      </c>
      <c r="DN3" s="20">
        <f t="shared" ca="1" si="1"/>
        <v>44006</v>
      </c>
      <c r="DO3" s="20">
        <f t="shared" ca="1" si="1"/>
        <v>44007</v>
      </c>
      <c r="DP3" s="20">
        <f t="shared" ca="1" si="1"/>
        <v>44008</v>
      </c>
      <c r="DQ3" s="20">
        <f t="shared" ca="1" si="1"/>
        <v>44009</v>
      </c>
      <c r="DR3" s="20">
        <f t="shared" ca="1" si="1"/>
        <v>44010</v>
      </c>
      <c r="DS3" s="20">
        <f t="shared" ca="1" si="1"/>
        <v>44011</v>
      </c>
      <c r="DT3" s="20">
        <f t="shared" ca="1" si="1"/>
        <v>44012</v>
      </c>
      <c r="DU3" s="20">
        <f t="shared" ca="1" si="1"/>
        <v>44013</v>
      </c>
      <c r="DV3" s="20">
        <f t="shared" ca="1" si="1"/>
        <v>44014</v>
      </c>
      <c r="DW3" s="20">
        <f t="shared" ca="1" si="1"/>
        <v>44015</v>
      </c>
      <c r="DX3" s="20">
        <f t="shared" ca="1" si="1"/>
        <v>44016</v>
      </c>
      <c r="DY3" s="20">
        <f t="shared" ca="1" si="1"/>
        <v>44017</v>
      </c>
      <c r="DZ3" s="20">
        <f t="shared" ca="1" si="1"/>
        <v>44018</v>
      </c>
      <c r="EA3" s="20">
        <f t="shared" ca="1" si="1"/>
        <v>44019</v>
      </c>
      <c r="EB3" s="20">
        <f t="shared" ca="1" si="1"/>
        <v>44020</v>
      </c>
      <c r="EC3" s="20">
        <f t="shared" ca="1" si="1"/>
        <v>44021</v>
      </c>
      <c r="ED3" s="20">
        <f t="shared" ca="1" si="1"/>
        <v>44022</v>
      </c>
      <c r="EE3" s="20">
        <f t="shared" ca="1" si="1"/>
        <v>44023</v>
      </c>
      <c r="EF3" s="20">
        <f t="shared" ref="EF3:GQ3" ca="1" si="2">EE3+1</f>
        <v>44024</v>
      </c>
      <c r="EG3" s="20">
        <f t="shared" ca="1" si="2"/>
        <v>44025</v>
      </c>
      <c r="EH3" s="20">
        <f t="shared" ca="1" si="2"/>
        <v>44026</v>
      </c>
      <c r="EI3" s="20">
        <f t="shared" ca="1" si="2"/>
        <v>44027</v>
      </c>
      <c r="EJ3" s="20">
        <f t="shared" ca="1" si="2"/>
        <v>44028</v>
      </c>
      <c r="EK3" s="20">
        <f t="shared" ca="1" si="2"/>
        <v>44029</v>
      </c>
      <c r="EL3" s="20">
        <f t="shared" ca="1" si="2"/>
        <v>44030</v>
      </c>
      <c r="EM3" s="20">
        <f t="shared" ca="1" si="2"/>
        <v>44031</v>
      </c>
      <c r="EN3" s="20">
        <f t="shared" ca="1" si="2"/>
        <v>44032</v>
      </c>
      <c r="EO3" s="20">
        <f t="shared" ca="1" si="2"/>
        <v>44033</v>
      </c>
      <c r="EP3" s="20">
        <f t="shared" ca="1" si="2"/>
        <v>44034</v>
      </c>
      <c r="EQ3" s="20">
        <f t="shared" ca="1" si="2"/>
        <v>44035</v>
      </c>
      <c r="ER3" s="20">
        <f t="shared" ca="1" si="2"/>
        <v>44036</v>
      </c>
      <c r="ES3" s="20">
        <f t="shared" ca="1" si="2"/>
        <v>44037</v>
      </c>
      <c r="ET3" s="20">
        <f t="shared" ca="1" si="2"/>
        <v>44038</v>
      </c>
      <c r="EU3" s="20">
        <f t="shared" ca="1" si="2"/>
        <v>44039</v>
      </c>
      <c r="EV3" s="20">
        <f t="shared" ca="1" si="2"/>
        <v>44040</v>
      </c>
      <c r="EW3" s="20">
        <f t="shared" ca="1" si="2"/>
        <v>44041</v>
      </c>
      <c r="EX3" s="20">
        <f t="shared" ca="1" si="2"/>
        <v>44042</v>
      </c>
      <c r="EY3" s="20">
        <f t="shared" ca="1" si="2"/>
        <v>44043</v>
      </c>
      <c r="EZ3" s="20">
        <f t="shared" ca="1" si="2"/>
        <v>44044</v>
      </c>
      <c r="FA3" s="20">
        <f t="shared" ca="1" si="2"/>
        <v>44045</v>
      </c>
      <c r="FB3" s="20">
        <f t="shared" ca="1" si="2"/>
        <v>44046</v>
      </c>
      <c r="FC3" s="20">
        <f t="shared" ca="1" si="2"/>
        <v>44047</v>
      </c>
      <c r="FD3" s="20">
        <f t="shared" ca="1" si="2"/>
        <v>44048</v>
      </c>
      <c r="FE3" s="20">
        <f t="shared" ca="1" si="2"/>
        <v>44049</v>
      </c>
      <c r="FF3" s="20">
        <f t="shared" ca="1" si="2"/>
        <v>44050</v>
      </c>
      <c r="FG3" s="20">
        <f t="shared" ca="1" si="2"/>
        <v>44051</v>
      </c>
      <c r="FH3" s="20">
        <f t="shared" ca="1" si="2"/>
        <v>44052</v>
      </c>
      <c r="FI3" s="20">
        <f t="shared" ca="1" si="2"/>
        <v>44053</v>
      </c>
      <c r="FJ3" s="20">
        <f t="shared" ca="1" si="2"/>
        <v>44054</v>
      </c>
      <c r="FK3" s="20">
        <f t="shared" ca="1" si="2"/>
        <v>44055</v>
      </c>
      <c r="FL3" s="20">
        <f t="shared" ca="1" si="2"/>
        <v>44056</v>
      </c>
      <c r="FM3" s="20">
        <f t="shared" ca="1" si="2"/>
        <v>44057</v>
      </c>
      <c r="FN3" s="20">
        <f t="shared" ca="1" si="2"/>
        <v>44058</v>
      </c>
      <c r="FO3" s="20">
        <f t="shared" ca="1" si="2"/>
        <v>44059</v>
      </c>
      <c r="FP3" s="20">
        <f t="shared" ca="1" si="2"/>
        <v>44060</v>
      </c>
      <c r="FQ3" s="20">
        <f t="shared" ca="1" si="2"/>
        <v>44061</v>
      </c>
      <c r="FR3" s="20">
        <f t="shared" ca="1" si="2"/>
        <v>44062</v>
      </c>
      <c r="FS3" s="20">
        <f t="shared" ca="1" si="2"/>
        <v>44063</v>
      </c>
      <c r="FT3" s="20">
        <f t="shared" ca="1" si="2"/>
        <v>44064</v>
      </c>
      <c r="FU3" s="20">
        <f t="shared" ca="1" si="2"/>
        <v>44065</v>
      </c>
      <c r="FV3" s="20">
        <f t="shared" ca="1" si="2"/>
        <v>44066</v>
      </c>
      <c r="FW3" s="20">
        <f t="shared" ca="1" si="2"/>
        <v>44067</v>
      </c>
      <c r="FX3" s="20">
        <f t="shared" ca="1" si="2"/>
        <v>44068</v>
      </c>
      <c r="FY3" s="20">
        <f t="shared" ca="1" si="2"/>
        <v>44069</v>
      </c>
      <c r="FZ3" s="20">
        <f t="shared" ca="1" si="2"/>
        <v>44070</v>
      </c>
      <c r="GA3" s="20">
        <f t="shared" ca="1" si="2"/>
        <v>44071</v>
      </c>
      <c r="GB3" s="20">
        <f t="shared" ca="1" si="2"/>
        <v>44072</v>
      </c>
      <c r="GC3" s="20">
        <f t="shared" ca="1" si="2"/>
        <v>44073</v>
      </c>
      <c r="GD3" s="20">
        <f t="shared" ca="1" si="2"/>
        <v>44074</v>
      </c>
      <c r="GE3" s="20">
        <f t="shared" ca="1" si="2"/>
        <v>44075</v>
      </c>
      <c r="GF3" s="20">
        <f t="shared" ca="1" si="2"/>
        <v>44076</v>
      </c>
      <c r="GG3" s="20">
        <f t="shared" ca="1" si="2"/>
        <v>44077</v>
      </c>
      <c r="GH3" s="20">
        <f t="shared" ca="1" si="2"/>
        <v>44078</v>
      </c>
      <c r="GI3" s="20">
        <f t="shared" ca="1" si="2"/>
        <v>44079</v>
      </c>
      <c r="GJ3" s="20">
        <f t="shared" ca="1" si="2"/>
        <v>44080</v>
      </c>
      <c r="GK3" s="20">
        <f t="shared" ca="1" si="2"/>
        <v>44081</v>
      </c>
      <c r="GL3" s="20">
        <f t="shared" ca="1" si="2"/>
        <v>44082</v>
      </c>
      <c r="GM3" s="20">
        <f t="shared" ca="1" si="2"/>
        <v>44083</v>
      </c>
      <c r="GN3" s="20">
        <f t="shared" ca="1" si="2"/>
        <v>44084</v>
      </c>
      <c r="GO3" s="20">
        <f t="shared" ca="1" si="2"/>
        <v>44085</v>
      </c>
      <c r="GP3" s="20">
        <f t="shared" ca="1" si="2"/>
        <v>44086</v>
      </c>
      <c r="GQ3" s="20">
        <f t="shared" ca="1" si="2"/>
        <v>44087</v>
      </c>
      <c r="GR3" s="20">
        <f t="shared" ref="GR3:IN3" ca="1" si="3">GQ3+1</f>
        <v>44088</v>
      </c>
      <c r="GS3" s="20">
        <f t="shared" ca="1" si="3"/>
        <v>44089</v>
      </c>
      <c r="GT3" s="20">
        <f t="shared" ca="1" si="3"/>
        <v>44090</v>
      </c>
      <c r="GU3" s="20">
        <f t="shared" ca="1" si="3"/>
        <v>44091</v>
      </c>
      <c r="GV3" s="20">
        <f t="shared" ca="1" si="3"/>
        <v>44092</v>
      </c>
      <c r="GW3" s="20">
        <f t="shared" ca="1" si="3"/>
        <v>44093</v>
      </c>
      <c r="GX3" s="20">
        <f t="shared" ca="1" si="3"/>
        <v>44094</v>
      </c>
      <c r="GY3" s="20">
        <f t="shared" ca="1" si="3"/>
        <v>44095</v>
      </c>
      <c r="GZ3" s="20">
        <f t="shared" ca="1" si="3"/>
        <v>44096</v>
      </c>
      <c r="HA3" s="20">
        <f t="shared" ca="1" si="3"/>
        <v>44097</v>
      </c>
      <c r="HB3" s="20">
        <f t="shared" ca="1" si="3"/>
        <v>44098</v>
      </c>
      <c r="HC3" s="20">
        <f t="shared" ca="1" si="3"/>
        <v>44099</v>
      </c>
      <c r="HD3" s="20">
        <f t="shared" ca="1" si="3"/>
        <v>44100</v>
      </c>
      <c r="HE3" s="20">
        <f t="shared" ca="1" si="3"/>
        <v>44101</v>
      </c>
      <c r="HF3" s="20">
        <f t="shared" ca="1" si="3"/>
        <v>44102</v>
      </c>
      <c r="HG3" s="20">
        <f t="shared" ca="1" si="3"/>
        <v>44103</v>
      </c>
      <c r="HH3" s="20">
        <f t="shared" ca="1" si="3"/>
        <v>44104</v>
      </c>
      <c r="HI3" s="20">
        <f t="shared" ca="1" si="3"/>
        <v>44105</v>
      </c>
      <c r="HJ3" s="20">
        <f t="shared" ca="1" si="3"/>
        <v>44106</v>
      </c>
      <c r="HK3" s="20">
        <f t="shared" ca="1" si="3"/>
        <v>44107</v>
      </c>
      <c r="HL3" s="20">
        <f t="shared" ca="1" si="3"/>
        <v>44108</v>
      </c>
      <c r="HM3" s="20">
        <f t="shared" ca="1" si="3"/>
        <v>44109</v>
      </c>
      <c r="HN3" s="20">
        <f t="shared" ca="1" si="3"/>
        <v>44110</v>
      </c>
      <c r="HO3" s="20">
        <f t="shared" ca="1" si="3"/>
        <v>44111</v>
      </c>
      <c r="HP3" s="20">
        <f t="shared" ca="1" si="3"/>
        <v>44112</v>
      </c>
      <c r="HQ3" s="20">
        <f t="shared" ca="1" si="3"/>
        <v>44113</v>
      </c>
      <c r="HR3" s="20">
        <f t="shared" ca="1" si="3"/>
        <v>44114</v>
      </c>
      <c r="HS3" s="20">
        <f t="shared" ca="1" si="3"/>
        <v>44115</v>
      </c>
      <c r="HT3" s="20">
        <f t="shared" ca="1" si="3"/>
        <v>44116</v>
      </c>
      <c r="HU3" s="20">
        <f t="shared" ca="1" si="3"/>
        <v>44117</v>
      </c>
      <c r="HV3" s="20">
        <f t="shared" ca="1" si="3"/>
        <v>44118</v>
      </c>
      <c r="HW3" s="20">
        <f t="shared" ca="1" si="3"/>
        <v>44119</v>
      </c>
      <c r="HX3" s="20">
        <f t="shared" ca="1" si="3"/>
        <v>44120</v>
      </c>
      <c r="HY3" s="20">
        <f t="shared" ca="1" si="3"/>
        <v>44121</v>
      </c>
      <c r="HZ3" s="20">
        <f t="shared" ca="1" si="3"/>
        <v>44122</v>
      </c>
      <c r="IA3" s="20">
        <f t="shared" ca="1" si="3"/>
        <v>44123</v>
      </c>
      <c r="IB3" s="20">
        <f t="shared" ca="1" si="3"/>
        <v>44124</v>
      </c>
      <c r="IC3" s="20">
        <f t="shared" ca="1" si="3"/>
        <v>44125</v>
      </c>
      <c r="ID3" s="20">
        <f t="shared" ca="1" si="3"/>
        <v>44126</v>
      </c>
      <c r="IE3" s="20">
        <f t="shared" ca="1" si="3"/>
        <v>44127</v>
      </c>
      <c r="IF3" s="20">
        <f t="shared" ca="1" si="3"/>
        <v>44128</v>
      </c>
      <c r="IG3" s="20">
        <f t="shared" ca="1" si="3"/>
        <v>44129</v>
      </c>
      <c r="IH3" s="20">
        <f t="shared" ca="1" si="3"/>
        <v>44130</v>
      </c>
      <c r="II3" s="20">
        <f t="shared" ca="1" si="3"/>
        <v>44131</v>
      </c>
      <c r="IJ3" s="20">
        <f t="shared" ca="1" si="3"/>
        <v>44132</v>
      </c>
      <c r="IK3" s="20">
        <f t="shared" ca="1" si="3"/>
        <v>44133</v>
      </c>
      <c r="IL3" s="20">
        <f t="shared" ca="1" si="3"/>
        <v>44134</v>
      </c>
      <c r="IM3" s="20">
        <f t="shared" ca="1" si="3"/>
        <v>44135</v>
      </c>
      <c r="IN3" s="20">
        <f t="shared" ca="1" si="3"/>
        <v>44136</v>
      </c>
    </row>
    <row r="4" spans="2:248" x14ac:dyDescent="0.3">
      <c r="B4" s="19" t="s">
        <v>450</v>
      </c>
      <c r="C4" s="21">
        <f>VLOOKUP(B2,Days_Since_100!C:D,2,FALSE)</f>
        <v>11812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454</v>
      </c>
      <c r="C5" s="21">
        <f>COUNTIF(G5:IN5,"&gt;"&amp;0)</f>
        <v>22</v>
      </c>
      <c r="F5" s="19" t="s">
        <v>505</v>
      </c>
      <c r="G5" s="40">
        <f>IF(VLOOKUP($B$2,Days_Since_100!$H:$KU,Projections_Data!G$4+2,FALSE)=0,#N/A,VLOOKUP($B$2,Days_Since_100!$H:$KU,Projections_Data!G$4+2,FALSE))</f>
        <v>116</v>
      </c>
      <c r="H5" s="40">
        <f>IF(VLOOKUP($B$2,Days_Since_100!$H:$KU,Projections_Data!H$4+2,FALSE)=0,#N/A,VLOOKUP($B$2,Days_Since_100!$H:$KU,Projections_Data!H$4+2,FALSE))</f>
        <v>164</v>
      </c>
      <c r="I5" s="40">
        <f>IF(VLOOKUP($B$2,Days_Since_100!$H:$KU,Projections_Data!I$4+2,FALSE)=0,#N/A,VLOOKUP($B$2,Days_Since_100!$H:$KU,Projections_Data!I$4+2,FALSE))</f>
        <v>207</v>
      </c>
      <c r="J5" s="40">
        <f>IF(VLOOKUP($B$2,Days_Since_100!$H:$KU,Projections_Data!J$4+2,FALSE)=0,#N/A,VLOOKUP($B$2,Days_Since_100!$H:$KU,Projections_Data!J$4+2,FALSE))</f>
        <v>274</v>
      </c>
      <c r="K5" s="40">
        <f>IF(VLOOKUP($B$2,Days_Since_100!$H:$KU,Projections_Data!K$4+2,FALSE)=0,#N/A,VLOOKUP($B$2,Days_Since_100!$H:$KU,Projections_Data!K$4+2,FALSE))</f>
        <v>322</v>
      </c>
      <c r="L5" s="40">
        <f>IF(VLOOKUP($B$2,Days_Since_100!$H:$KU,Projections_Data!L$4+2,FALSE)=0,#N/A,VLOOKUP($B$2,Days_Since_100!$H:$KU,Projections_Data!L$4+2,FALSE))</f>
        <v>384</v>
      </c>
      <c r="M5" s="40">
        <f>IF(VLOOKUP($B$2,Days_Since_100!$H:$KU,Projections_Data!M$4+2,FALSE)=0,#N/A,VLOOKUP($B$2,Days_Since_100!$H:$KU,Projections_Data!M$4+2,FALSE))</f>
        <v>459</v>
      </c>
      <c r="N5" s="40">
        <f>IF(VLOOKUP($B$2,Days_Since_100!$H:$KU,Projections_Data!N$4+2,FALSE)=0,#N/A,VLOOKUP($B$2,Days_Since_100!$H:$KU,Projections_Data!N$4+2,FALSE))</f>
        <v>590</v>
      </c>
      <c r="O5" s="40">
        <f>IF(VLOOKUP($B$2,Days_Since_100!$H:$KU,Projections_Data!O$4+2,FALSE)=0,#N/A,VLOOKUP($B$2,Days_Since_100!$H:$KU,Projections_Data!O$4+2,FALSE))</f>
        <v>802</v>
      </c>
      <c r="P5" s="40">
        <f>IF(VLOOKUP($B$2,Days_Since_100!$H:$KU,Projections_Data!P$4+2,FALSE)=0,#N/A,VLOOKUP($B$2,Days_Since_100!$H:$KU,Projections_Data!P$4+2,FALSE))</f>
        <v>1144</v>
      </c>
      <c r="Q5" s="40">
        <f>IF(VLOOKUP($B$2,Days_Since_100!$H:$KU,Projections_Data!Q$4+2,FALSE)=0,#N/A,VLOOKUP($B$2,Days_Since_100!$H:$KU,Projections_Data!Q$4+2,FALSE))</f>
        <v>1355</v>
      </c>
      <c r="R5" s="40">
        <f>IF(VLOOKUP($B$2,Days_Since_100!$H:$KU,Projections_Data!R$4+2,FALSE)=0,#N/A,VLOOKUP($B$2,Days_Since_100!$H:$KU,Projections_Data!R$4+2,FALSE))</f>
        <v>1551</v>
      </c>
      <c r="S5" s="40">
        <f>IF(VLOOKUP($B$2,Days_Since_100!$H:$KU,Projections_Data!S$4+2,FALSE)=0,#N/A,VLOOKUP($B$2,Days_Since_100!$H:$KU,Projections_Data!S$4+2,FALSE))</f>
        <v>1960</v>
      </c>
      <c r="T5" s="40">
        <f>IF(VLOOKUP($B$2,Days_Since_100!$H:$KU,Projections_Data!T$4+2,FALSE)=0,#N/A,VLOOKUP($B$2,Days_Since_100!$H:$KU,Projections_Data!T$4+2,FALSE))</f>
        <v>2642</v>
      </c>
      <c r="U5" s="40">
        <f>IF(VLOOKUP($B$2,Days_Since_100!$H:$KU,Projections_Data!U$4+2,FALSE)=0,#N/A,VLOOKUP($B$2,Days_Since_100!$H:$KU,Projections_Data!U$4+2,FALSE))</f>
        <v>2716</v>
      </c>
      <c r="V5" s="40">
        <f>IF(VLOOKUP($B$2,Days_Since_100!$H:$KU,Projections_Data!V$4+2,FALSE)=0,#N/A,VLOOKUP($B$2,Days_Since_100!$H:$KU,Projections_Data!V$4+2,FALSE))</f>
        <v>4014</v>
      </c>
      <c r="W5" s="40">
        <f>IF(VLOOKUP($B$2,Days_Since_100!$H:$KU,Projections_Data!W$4+2,FALSE)=0,#N/A,VLOOKUP($B$2,Days_Since_100!$H:$KU,Projections_Data!W$4+2,FALSE))</f>
        <v>5067</v>
      </c>
      <c r="X5" s="40">
        <f>IF(VLOOKUP($B$2,Days_Since_100!$H:$KU,Projections_Data!X$4+2,FALSE)=0,#N/A,VLOOKUP($B$2,Days_Since_100!$H:$KU,Projections_Data!X$4+2,FALSE))</f>
        <v>5745</v>
      </c>
      <c r="Y5" s="40">
        <f>IF(VLOOKUP($B$2,Days_Since_100!$H:$KU,Projections_Data!Y$4+2,FALSE)=0,#N/A,VLOOKUP($B$2,Days_Since_100!$H:$KU,Projections_Data!Y$4+2,FALSE))</f>
        <v>6726</v>
      </c>
      <c r="Z5" s="40">
        <f>IF(VLOOKUP($B$2,Days_Since_100!$H:$KU,Projections_Data!Z$4+2,FALSE)=0,#N/A,VLOOKUP($B$2,Days_Since_100!$H:$KU,Projections_Data!Z$4+2,FALSE))</f>
        <v>8164</v>
      </c>
      <c r="AA5" s="40">
        <f>IF(VLOOKUP($B$2,Days_Since_100!$H:$KU,Projections_Data!AA$4+2,FALSE)=0,#N/A,VLOOKUP($B$2,Days_Since_100!$H:$KU,Projections_Data!AA$4+2,FALSE))</f>
        <v>9640</v>
      </c>
      <c r="AB5" s="40">
        <f>IF(VLOOKUP($B$2,Days_Since_100!$H:$KU,Projections_Data!AB$4+2,FALSE)=0,#N/A,VLOOKUP($B$2,Days_Since_100!$H:$KU,Projections_Data!AB$4+2,FALSE))</f>
        <v>11812</v>
      </c>
      <c r="AC5" s="40" t="e">
        <f>IF(VLOOKUP($B$2,Days_Since_100!$H:$KU,Projections_Data!AC$4+2,FALSE)=0,#N/A,VLOOKUP($B$2,Days_Since_100!$H:$KU,Projections_Data!AC$4+2,FALSE))</f>
        <v>#N/A</v>
      </c>
      <c r="AD5" s="40" t="e">
        <f>IF(VLOOKUP($B$2,Days_Since_100!$H:$KU,Projections_Data!AD$4+2,FALSE)=0,#N/A,VLOOKUP($B$2,Days_Since_100!$H:$KU,Projections_Data!AD$4+2,FALSE))</f>
        <v>#N/A</v>
      </c>
      <c r="AE5" s="40" t="e">
        <f>IF(VLOOKUP($B$2,Days_Since_100!$H:$KU,Projections_Data!AE$4+2,FALSE)=0,#N/A,VLOOKUP($B$2,Days_Since_100!$H:$KU,Projections_Data!AE$4+2,FALSE))</f>
        <v>#N/A</v>
      </c>
      <c r="AF5" s="40" t="e">
        <f>IF(VLOOKUP($B$2,Days_Since_100!$H:$KU,Projections_Data!AF$4+2,FALSE)=0,#N/A,VLOOKUP($B$2,Days_Since_100!$H:$KU,Projections_Data!AF$4+2,FALSE))</f>
        <v>#N/A</v>
      </c>
      <c r="AG5" s="40" t="e">
        <f>IF(VLOOKUP($B$2,Days_Since_100!$H:$KU,Projections_Data!AG$4+2,FALSE)=0,#N/A,VLOOKUP($B$2,Days_Since_100!$H:$KU,Projections_Data!AG$4+2,FALSE))</f>
        <v>#N/A</v>
      </c>
      <c r="AH5" s="40" t="e">
        <f>IF(VLOOKUP($B$2,Days_Since_100!$H:$KU,Projections_Data!AH$4+2,FALSE)=0,#N/A,VLOOKUP($B$2,Days_Since_100!$H:$KU,Projections_Data!AH$4+2,FALSE))</f>
        <v>#N/A</v>
      </c>
      <c r="AI5" s="40" t="e">
        <f>IF(VLOOKUP($B$2,Days_Since_100!$H:$KU,Projections_Data!AI$4+2,FALSE)=0,#N/A,VLOOKUP($B$2,Days_Since_100!$H:$KU,Projections_Data!AI$4+2,FALSE))</f>
        <v>#N/A</v>
      </c>
      <c r="AJ5" s="40" t="e">
        <f>IF(VLOOKUP($B$2,Days_Since_100!$H:$KU,Projections_Data!AJ$4+2,FALSE)=0,#N/A,VLOOKUP($B$2,Days_Since_100!$H:$KU,Projections_Data!AJ$4+2,FALSE))</f>
        <v>#N/A</v>
      </c>
      <c r="AK5" s="40" t="e">
        <f>IF(VLOOKUP($B$2,Days_Since_100!$H:$KU,Projections_Data!AK$4+2,FALSE)=0,#N/A,VLOOKUP($B$2,Days_Since_100!$H:$KU,Projections_Data!AK$4+2,FALSE))</f>
        <v>#N/A</v>
      </c>
      <c r="AL5" s="40" t="e">
        <f>IF(VLOOKUP($B$2,Days_Since_100!$H:$KU,Projections_Data!AL$4+2,FALSE)=0,#N/A,VLOOKUP($B$2,Days_Since_100!$H:$KU,Projections_Data!AL$4+2,FALSE))</f>
        <v>#N/A</v>
      </c>
      <c r="AM5" s="40" t="e">
        <f>IF(VLOOKUP($B$2,Days_Since_100!$H:$KU,Projections_Data!AM$4+2,FALSE)=0,#N/A,VLOOKUP($B$2,Days_Since_100!$H:$KU,Projections_Data!AM$4+2,FALSE))</f>
        <v>#N/A</v>
      </c>
      <c r="AN5" s="40" t="e">
        <f>IF(VLOOKUP($B$2,Days_Since_100!$H:$KU,Projections_Data!AN$4+2,FALSE)=0,#N/A,VLOOKUP($B$2,Days_Since_100!$H:$KU,Projections_Data!AN$4+2,FALSE))</f>
        <v>#N/A</v>
      </c>
      <c r="AO5" s="40" t="e">
        <f>IF(VLOOKUP($B$2,Days_Since_100!$H:$KU,Projections_Data!AO$4+2,FALSE)=0,#N/A,VLOOKUP($B$2,Days_Since_100!$H:$KU,Projections_Data!AO$4+2,FALSE))</f>
        <v>#N/A</v>
      </c>
      <c r="AP5" s="40" t="e">
        <f>IF(VLOOKUP($B$2,Days_Since_100!$H:$KU,Projections_Data!AP$4+2,FALSE)=0,#N/A,VLOOKUP($B$2,Days_Since_100!$H:$KU,Projections_Data!AP$4+2,FALSE))</f>
        <v>#N/A</v>
      </c>
      <c r="AQ5" s="40" t="e">
        <f>IF(VLOOKUP($B$2,Days_Since_100!$H:$KU,Projections_Data!AQ$4+2,FALSE)=0,#N/A,VLOOKUP($B$2,Days_Since_100!$H:$KU,Projections_Data!AQ$4+2,FALSE))</f>
        <v>#N/A</v>
      </c>
      <c r="AR5" s="40" t="e">
        <f>IF(VLOOKUP($B$2,Days_Since_100!$H:$KU,Projections_Data!AR$4+2,FALSE)=0,#N/A,VLOOKUP($B$2,Days_Since_100!$H:$KU,Projections_Data!AR$4+2,FALSE))</f>
        <v>#N/A</v>
      </c>
      <c r="AS5" s="40" t="e">
        <f>IF(VLOOKUP($B$2,Days_Since_100!$H:$KU,Projections_Data!AS$4+2,FALSE)=0,#N/A,VLOOKUP($B$2,Days_Since_100!$H:$KU,Projections_Data!AS$4+2,FALSE))</f>
        <v>#N/A</v>
      </c>
      <c r="AT5" s="40" t="e">
        <f>IF(VLOOKUP($B$2,Days_Since_100!$H:$KU,Projections_Data!AT$4+2,FALSE)=0,#N/A,VLOOKUP($B$2,Days_Since_100!$H:$KU,Projections_Data!AT$4+2,FALSE))</f>
        <v>#N/A</v>
      </c>
      <c r="AU5" s="40" t="e">
        <f>IF(VLOOKUP($B$2,Days_Since_100!$H:$KU,Projections_Data!AU$4+2,FALSE)=0,#N/A,VLOOKUP($B$2,Days_Since_100!$H:$KU,Projections_Data!AU$4+2,FALSE))</f>
        <v>#N/A</v>
      </c>
      <c r="AV5" s="40" t="e">
        <f>IF(VLOOKUP($B$2,Days_Since_100!$H:$KU,Projections_Data!AV$4+2,FALSE)=0,#N/A,VLOOKUP($B$2,Days_Since_100!$H:$KU,Projections_Data!AV$4+2,FALSE))</f>
        <v>#N/A</v>
      </c>
      <c r="AW5" s="40" t="e">
        <f>IF(VLOOKUP($B$2,Days_Since_100!$H:$KU,Projections_Data!AW$4+2,FALSE)=0,#N/A,VLOOKUP($B$2,Days_Since_100!$H:$KU,Projections_Data!AW$4+2,FALSE))</f>
        <v>#N/A</v>
      </c>
      <c r="AX5" s="40" t="e">
        <f>IF(VLOOKUP($B$2,Days_Since_100!$H:$KU,Projections_Data!AX$4+2,FALSE)=0,#N/A,VLOOKUP($B$2,Days_Since_100!$H:$KU,Projections_Data!AX$4+2,FALSE))</f>
        <v>#N/A</v>
      </c>
      <c r="AY5" s="40" t="e">
        <f>IF(VLOOKUP($B$2,Days_Since_100!$H:$KU,Projections_Data!AY$4+2,FALSE)=0,#N/A,VLOOKUP($B$2,Days_Since_100!$H:$KU,Projections_Data!AY$4+2,FALSE))</f>
        <v>#N/A</v>
      </c>
      <c r="AZ5" s="40" t="e">
        <f>IF(VLOOKUP($B$2,Days_Since_100!$H:$KU,Projections_Data!AZ$4+2,FALSE)=0,#N/A,VLOOKUP($B$2,Days_Since_100!$H:$KU,Projections_Data!AZ$4+2,FALSE))</f>
        <v>#N/A</v>
      </c>
      <c r="BA5" s="40" t="e">
        <f>IF(VLOOKUP($B$2,Days_Since_100!$H:$KU,Projections_Data!BA$4+2,FALSE)=0,#N/A,VLOOKUP($B$2,Days_Since_100!$H:$KU,Projections_Data!BA$4+2,FALSE))</f>
        <v>#N/A</v>
      </c>
      <c r="BB5" s="40" t="e">
        <f>IF(VLOOKUP($B$2,Days_Since_100!$H:$KU,Projections_Data!BB$4+2,FALSE)=0,#N/A,VLOOKUP($B$2,Days_Since_100!$H:$KU,Projections_Data!BB$4+2,FALSE))</f>
        <v>#N/A</v>
      </c>
      <c r="BC5" s="40" t="e">
        <f>IF(VLOOKUP($B$2,Days_Since_100!$H:$KU,Projections_Data!BC$4+2,FALSE)=0,#N/A,VLOOKUP($B$2,Days_Since_100!$H:$KU,Projections_Data!BC$4+2,FALSE))</f>
        <v>#N/A</v>
      </c>
      <c r="BD5" s="40" t="e">
        <f>IF(VLOOKUP($B$2,Days_Since_100!$H:$KU,Projections_Data!BD$4+2,FALSE)=0,#N/A,VLOOKUP($B$2,Days_Since_100!$H:$KU,Projections_Data!BD$4+2,FALSE))</f>
        <v>#N/A</v>
      </c>
      <c r="BE5" s="40" t="e">
        <f>IF(VLOOKUP($B$2,Days_Since_100!$H:$KU,Projections_Data!BE$4+2,FALSE)=0,#N/A,VLOOKUP($B$2,Days_Since_100!$H:$KU,Projections_Data!BE$4+2,FALSE))</f>
        <v>#N/A</v>
      </c>
      <c r="BF5" s="40" t="e">
        <f>IF(VLOOKUP($B$2,Days_Since_100!$H:$KU,Projections_Data!BF$4+2,FALSE)=0,#N/A,VLOOKUP($B$2,Days_Since_100!$H:$KU,Projections_Data!BF$4+2,FALSE))</f>
        <v>#N/A</v>
      </c>
      <c r="BG5" s="40" t="e">
        <f>IF(VLOOKUP($B$2,Days_Since_100!$H:$KU,Projections_Data!BG$4+2,FALSE)=0,#N/A,VLOOKUP($B$2,Days_Since_100!$H:$KU,Projections_Data!BG$4+2,FALSE))</f>
        <v>#N/A</v>
      </c>
      <c r="BH5" s="40" t="e">
        <f>IF(VLOOKUP($B$2,Days_Since_100!$H:$KU,Projections_Data!BH$4+2,FALSE)=0,#N/A,VLOOKUP($B$2,Days_Since_100!$H:$KU,Projections_Data!BH$4+2,FALSE))</f>
        <v>#N/A</v>
      </c>
      <c r="BI5" s="40" t="e">
        <f>IF(VLOOKUP($B$2,Days_Since_100!$H:$KU,Projections_Data!BI$4+2,FALSE)=0,#N/A,VLOOKUP($B$2,Days_Since_100!$H:$KU,Projections_Data!BI$4+2,FALSE))</f>
        <v>#N/A</v>
      </c>
      <c r="BJ5" s="40" t="e">
        <f>IF(VLOOKUP($B$2,Days_Since_100!$H:$KU,Projections_Data!BJ$4+2,FALSE)=0,#N/A,VLOOKUP($B$2,Days_Since_100!$H:$KU,Projections_Data!BJ$4+2,FALSE))</f>
        <v>#N/A</v>
      </c>
      <c r="BK5" s="40" t="e">
        <f>IF(VLOOKUP($B$2,Days_Since_100!$H:$KU,Projections_Data!BK$4+2,FALSE)=0,#N/A,VLOOKUP($B$2,Days_Since_100!$H:$KU,Projections_Data!BK$4+2,FALSE))</f>
        <v>#N/A</v>
      </c>
      <c r="BL5" s="40" t="e">
        <f>IF(VLOOKUP($B$2,Days_Since_100!$H:$KU,Projections_Data!BL$4+2,FALSE)=0,#N/A,VLOOKUP($B$2,Days_Since_100!$H:$KU,Projections_Data!BL$4+2,FALSE))</f>
        <v>#N/A</v>
      </c>
      <c r="BM5" s="40" t="e">
        <f>IF(VLOOKUP($B$2,Days_Since_100!$H:$KU,Projections_Data!BM$4+2,FALSE)=0,#N/A,VLOOKUP($B$2,Days_Since_100!$H:$KU,Projections_Data!BM$4+2,FALSE))</f>
        <v>#N/A</v>
      </c>
      <c r="BN5" s="40" t="e">
        <f>IF(VLOOKUP($B$2,Days_Since_100!$H:$KU,Projections_Data!BN$4+2,FALSE)=0,#N/A,VLOOKUP($B$2,Days_Since_100!$H:$KU,Projections_Data!BN$4+2,FALSE))</f>
        <v>#N/A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506</v>
      </c>
      <c r="C6" s="21">
        <f ca="1">HLOOKUP(C5-1,G4:IN8,5,FALSE)</f>
        <v>9715</v>
      </c>
      <c r="D6" s="42">
        <v>0.02</v>
      </c>
      <c r="F6" s="19" t="s">
        <v>584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 t="e">
        <f ca="1">IF(Projections_Data!H$4+2-$C$9&lt;2,#N/A,IF(VLOOKUP($B$2,Deaths_since_10!$H:$KU,Projections_Data!H$4+2-$C$9,FALSE)=0,#N/A,VLOOKUP($B$2,Deaths_since_10!$H:$KU,Projections_Data!H$4+2-$C$9,FALSE)))</f>
        <v>#N/A</v>
      </c>
      <c r="I6" s="40" t="e">
        <f ca="1">IF(Projections_Data!I$4+2-$C$9&lt;2,#N/A,IF(VLOOKUP($B$2,Deaths_since_10!$H:$KU,Projections_Data!I$4+2-$C$9,FALSE)=0,#N/A,VLOOKUP($B$2,Deaths_since_10!$H:$KU,Projections_Data!I$4+2-$C$9,FALSE)))</f>
        <v>#N/A</v>
      </c>
      <c r="J6" s="40" t="e">
        <f ca="1">IF(Projections_Data!J$4+2-$C$9&lt;2,#N/A,IF(VLOOKUP($B$2,Deaths_since_10!$H:$KU,Projections_Data!J$4+2-$C$9,FALSE)=0,#N/A,VLOOKUP($B$2,Deaths_since_10!$H:$KU,Projections_Data!J$4+2-$C$9,FALSE)))</f>
        <v>#N/A</v>
      </c>
      <c r="K6" s="40" t="e">
        <f ca="1">IF(Projections_Data!K$4+2-$C$9&lt;2,#N/A,IF(VLOOKUP($B$2,Deaths_since_10!$H:$KU,Projections_Data!K$4+2-$C$9,FALSE)=0,#N/A,VLOOKUP($B$2,Deaths_since_10!$H:$KU,Projections_Data!K$4+2-$C$9,FALSE)))</f>
        <v>#N/A</v>
      </c>
      <c r="L6" s="40" t="e">
        <f ca="1">IF(Projections_Data!L$4+2-$C$9&lt;2,#N/A,IF(VLOOKUP($B$2,Deaths_since_10!$H:$KU,Projections_Data!L$4+2-$C$9,FALSE)=0,#N/A,VLOOKUP($B$2,Deaths_since_10!$H:$KU,Projections_Data!L$4+2-$C$9,FALSE)))</f>
        <v>#N/A</v>
      </c>
      <c r="M6" s="40">
        <f ca="1">IF(Projections_Data!M$4+2-$C$9&lt;2,#N/A,IF(VLOOKUP($B$2,Deaths_since_10!$H:$KU,Projections_Data!M$4+2-$C$9,FALSE)=0,#N/A,VLOOKUP($B$2,Deaths_since_10!$H:$KU,Projections_Data!M$4+2-$C$9,FALSE)))</f>
        <v>8</v>
      </c>
      <c r="N6" s="40">
        <f ca="1">IF(Projections_Data!N$4+2-$C$9&lt;2,#N/A,IF(VLOOKUP($B$2,Deaths_since_10!$H:$KU,Projections_Data!N$4+2-$C$9,FALSE)=0,#N/A,VLOOKUP($B$2,Deaths_since_10!$H:$KU,Projections_Data!N$4+2-$C$9,FALSE)))</f>
        <v>10</v>
      </c>
      <c r="O6" s="40">
        <f ca="1">IF(Projections_Data!O$4+2-$C$9&lt;2,#N/A,IF(VLOOKUP($B$2,Deaths_since_10!$H:$KU,Projections_Data!O$4+2-$C$9,FALSE)=0,#N/A,VLOOKUP($B$2,Deaths_since_10!$H:$KU,Projections_Data!O$4+2-$C$9,FALSE)))</f>
        <v>11</v>
      </c>
      <c r="P6" s="40">
        <f ca="1">IF(Projections_Data!P$4+2-$C$9&lt;2,#N/A,IF(VLOOKUP($B$2,Deaths_since_10!$H:$KU,Projections_Data!P$4+2-$C$9,FALSE)=0,#N/A,VLOOKUP($B$2,Deaths_since_10!$H:$KU,Projections_Data!P$4+2-$C$9,FALSE)))</f>
        <v>21</v>
      </c>
      <c r="Q6" s="40">
        <f ca="1">IF(Projections_Data!Q$4+2-$C$9&lt;2,#N/A,IF(VLOOKUP($B$2,Deaths_since_10!$H:$KU,Projections_Data!Q$4+2-$C$9,FALSE)=0,#N/A,VLOOKUP($B$2,Deaths_since_10!$H:$KU,Projections_Data!Q$4+2-$C$9,FALSE)))</f>
        <v>35</v>
      </c>
      <c r="R6" s="40">
        <f ca="1">IF(Projections_Data!R$4+2-$C$9&lt;2,#N/A,IF(VLOOKUP($B$2,Deaths_since_10!$H:$KU,Projections_Data!R$4+2-$C$9,FALSE)=0,#N/A,VLOOKUP($B$2,Deaths_since_10!$H:$KU,Projections_Data!R$4+2-$C$9,FALSE)))</f>
        <v>56</v>
      </c>
      <c r="S6" s="40">
        <f ca="1">IF(Projections_Data!S$4+2-$C$9&lt;2,#N/A,IF(VLOOKUP($B$2,Deaths_since_10!$H:$KU,Projections_Data!S$4+2-$C$9,FALSE)=0,#N/A,VLOOKUP($B$2,Deaths_since_10!$H:$KU,Projections_Data!S$4+2-$C$9,FALSE)))</f>
        <v>71</v>
      </c>
      <c r="T6" s="40">
        <f ca="1">IF(Projections_Data!T$4+2-$C$9&lt;2,#N/A,IF(VLOOKUP($B$2,Deaths_since_10!$H:$KU,Projections_Data!T$4+2-$C$9,FALSE)=0,#N/A,VLOOKUP($B$2,Deaths_since_10!$H:$KU,Projections_Data!T$4+2-$C$9,FALSE)))</f>
        <v>104</v>
      </c>
      <c r="U6" s="40">
        <f ca="1">IF(Projections_Data!U$4+2-$C$9&lt;2,#N/A,IF(VLOOKUP($B$2,Deaths_since_10!$H:$KU,Projections_Data!U$4+2-$C$9,FALSE)=0,#N/A,VLOOKUP($B$2,Deaths_since_10!$H:$KU,Projections_Data!U$4+2-$C$9,FALSE)))</f>
        <v>138</v>
      </c>
      <c r="V6" s="40">
        <f ca="1">IF(Projections_Data!V$4+2-$C$9&lt;2,#N/A,IF(VLOOKUP($B$2,Deaths_since_10!$H:$KU,Projections_Data!V$4+2-$C$9,FALSE)=0,#N/A,VLOOKUP($B$2,Deaths_since_10!$H:$KU,Projections_Data!V$4+2-$C$9,FALSE)))</f>
        <v>178</v>
      </c>
      <c r="W6" s="40">
        <f ca="1">IF(Projections_Data!W$4+2-$C$9&lt;2,#N/A,IF(VLOOKUP($B$2,Deaths_since_10!$H:$KU,Projections_Data!W$4+2-$C$9,FALSE)=0,#N/A,VLOOKUP($B$2,Deaths_since_10!$H:$KU,Projections_Data!W$4+2-$C$9,FALSE)))</f>
        <v>234</v>
      </c>
      <c r="X6" s="40">
        <f ca="1">IF(Projections_Data!X$4+2-$C$9&lt;2,#N/A,IF(VLOOKUP($B$2,Deaths_since_10!$H:$KU,Projections_Data!X$4+2-$C$9,FALSE)=0,#N/A,VLOOKUP($B$2,Deaths_since_10!$H:$KU,Projections_Data!X$4+2-$C$9,FALSE)))</f>
        <v>282</v>
      </c>
      <c r="Y6" s="40">
        <f ca="1">IF(Projections_Data!Y$4+2-$C$9&lt;2,#N/A,IF(VLOOKUP($B$2,Deaths_since_10!$H:$KU,Projections_Data!Y$4+2-$C$9,FALSE)=0,#N/A,VLOOKUP($B$2,Deaths_since_10!$H:$KU,Projections_Data!Y$4+2-$C$9,FALSE)))</f>
        <v>336</v>
      </c>
      <c r="Z6" s="40">
        <f ca="1">IF(Projections_Data!Z$4+2-$C$9&lt;2,#N/A,IF(VLOOKUP($B$2,Deaths_since_10!$H:$KU,Projections_Data!Z$4+2-$C$9,FALSE)=0,#N/A,VLOOKUP($B$2,Deaths_since_10!$H:$KU,Projections_Data!Z$4+2-$C$9,FALSE)))</f>
        <v>423</v>
      </c>
      <c r="AA6" s="40">
        <f ca="1">IF(Projections_Data!AA$4+2-$C$9&lt;2,#N/A,IF(VLOOKUP($B$2,Deaths_since_10!$H:$KU,Projections_Data!AA$4+2-$C$9,FALSE)=0,#N/A,VLOOKUP($B$2,Deaths_since_10!$H:$KU,Projections_Data!AA$4+2-$C$9,FALSE)))</f>
        <v>466</v>
      </c>
      <c r="AB6" s="40">
        <f ca="1">IF(Projections_Data!AB$4+2-$C$9&lt;2,#N/A,IF(VLOOKUP($B$2,Deaths_since_10!$H:$KU,Projections_Data!AB$4+2-$C$9,FALSE)=0,#N/A,VLOOKUP($B$2,Deaths_since_10!$H:$KU,Projections_Data!AB$4+2-$C$9,FALSE)))</f>
        <v>580</v>
      </c>
      <c r="AC6" s="40" t="e">
        <f ca="1">IF(Projections_Data!AC$4+2-$C$9&lt;2,#N/A,IF(VLOOKUP($B$2,Deaths_since_10!$H:$KU,Projections_Data!AC$4+2-$C$9,FALSE)=0,#N/A,VLOOKUP($B$2,Deaths_since_10!$H:$KU,Projections_Data!AC$4+2-$C$9,FALSE)))</f>
        <v>#N/A</v>
      </c>
      <c r="AD6" s="40" t="e">
        <f ca="1">IF(Projections_Data!AD$4+2-$C$9&lt;2,#N/A,IF(VLOOKUP($B$2,Deaths_since_10!$H:$KU,Projections_Data!AD$4+2-$C$9,FALSE)=0,#N/A,VLOOKUP($B$2,Deaths_since_10!$H:$KU,Projections_Data!AD$4+2-$C$9,FALSE)))</f>
        <v>#N/A</v>
      </c>
      <c r="AE6" s="40" t="e">
        <f ca="1">IF(Projections_Data!AE$4+2-$C$9&lt;2,#N/A,IF(VLOOKUP($B$2,Deaths_since_10!$H:$KU,Projections_Data!AE$4+2-$C$9,FALSE)=0,#N/A,VLOOKUP($B$2,Deaths_since_10!$H:$KU,Projections_Data!AE$4+2-$C$9,FALSE)))</f>
        <v>#N/A</v>
      </c>
      <c r="AF6" s="40" t="e">
        <f ca="1">IF(Projections_Data!AF$4+2-$C$9&lt;2,#N/A,IF(VLOOKUP($B$2,Deaths_since_10!$H:$KU,Projections_Data!AF$4+2-$C$9,FALSE)=0,#N/A,VLOOKUP($B$2,Deaths_since_10!$H:$KU,Projections_Data!AF$4+2-$C$9,FALSE)))</f>
        <v>#N/A</v>
      </c>
      <c r="AG6" s="40" t="e">
        <f ca="1">IF(Projections_Data!AG$4+2-$C$9&lt;2,#N/A,IF(VLOOKUP($B$2,Deaths_since_10!$H:$KU,Projections_Data!AG$4+2-$C$9,FALSE)=0,#N/A,VLOOKUP($B$2,Deaths_since_10!$H:$KU,Projections_Data!AG$4+2-$C$9,FALSE)))</f>
        <v>#N/A</v>
      </c>
      <c r="AH6" s="40" t="e">
        <f ca="1">IF(Projections_Data!AH$4+2-$C$9&lt;2,#N/A,IF(VLOOKUP($B$2,Deaths_since_10!$H:$KU,Projections_Data!AH$4+2-$C$9,FALSE)=0,#N/A,VLOOKUP($B$2,Deaths_since_10!$H:$KU,Projections_Data!AH$4+2-$C$9,FALSE)))</f>
        <v>#N/A</v>
      </c>
      <c r="AI6" s="40" t="e">
        <f ca="1">IF(Projections_Data!AI$4+2-$C$9&lt;2,#N/A,IF(VLOOKUP($B$2,Deaths_since_10!$H:$KU,Projections_Data!AI$4+2-$C$9,FALSE)=0,#N/A,VLOOKUP($B$2,Deaths_since_10!$H:$KU,Projections_Data!AI$4+2-$C$9,FALSE)))</f>
        <v>#N/A</v>
      </c>
      <c r="AJ6" s="40" t="e">
        <f ca="1">IF(Projections_Data!AJ$4+2-$C$9&lt;2,#N/A,IF(VLOOKUP($B$2,Deaths_since_10!$H:$KU,Projections_Data!AJ$4+2-$C$9,FALSE)=0,#N/A,VLOOKUP($B$2,Deaths_since_10!$H:$KU,Projections_Data!AJ$4+2-$C$9,FALSE)))</f>
        <v>#N/A</v>
      </c>
      <c r="AK6" s="40" t="e">
        <f ca="1">IF(Projections_Data!AK$4+2-$C$9&lt;2,#N/A,IF(VLOOKUP($B$2,Deaths_since_10!$H:$KU,Projections_Data!AK$4+2-$C$9,FALSE)=0,#N/A,VLOOKUP($B$2,Deaths_since_10!$H:$KU,Projections_Data!AK$4+2-$C$9,FALSE)))</f>
        <v>#N/A</v>
      </c>
      <c r="AL6" s="40" t="e">
        <f ca="1">IF(Projections_Data!AL$4+2-$C$9&lt;2,#N/A,IF(VLOOKUP($B$2,Deaths_since_10!$H:$KU,Projections_Data!AL$4+2-$C$9,FALSE)=0,#N/A,VLOOKUP($B$2,Deaths_since_10!$H:$KU,Projections_Data!AL$4+2-$C$9,FALSE)))</f>
        <v>#N/A</v>
      </c>
      <c r="AM6" s="40" t="e">
        <f ca="1">IF(Projections_Data!AM$4+2-$C$9&lt;2,#N/A,IF(VLOOKUP($B$2,Deaths_since_10!$H:$KU,Projections_Data!AM$4+2-$C$9,FALSE)=0,#N/A,VLOOKUP($B$2,Deaths_since_10!$H:$KU,Projections_Data!AM$4+2-$C$9,FALSE)))</f>
        <v>#N/A</v>
      </c>
      <c r="AN6" s="40" t="e">
        <f ca="1">IF(Projections_Data!AN$4+2-$C$9&lt;2,#N/A,IF(VLOOKUP($B$2,Deaths_since_10!$H:$KU,Projections_Data!AN$4+2-$C$9,FALSE)=0,#N/A,VLOOKUP($B$2,Deaths_since_10!$H:$KU,Projections_Data!AN$4+2-$C$9,FALSE)))</f>
        <v>#N/A</v>
      </c>
      <c r="AO6" s="40" t="e">
        <f ca="1">IF(Projections_Data!AO$4+2-$C$9&lt;2,#N/A,IF(VLOOKUP($B$2,Deaths_since_10!$H:$KU,Projections_Data!AO$4+2-$C$9,FALSE)=0,#N/A,VLOOKUP($B$2,Deaths_since_10!$H:$KU,Projections_Data!AO$4+2-$C$9,FALSE)))</f>
        <v>#N/A</v>
      </c>
      <c r="AP6" s="40" t="e">
        <f ca="1">IF(Projections_Data!AP$4+2-$C$9&lt;2,#N/A,IF(VLOOKUP($B$2,Deaths_since_10!$H:$KU,Projections_Data!AP$4+2-$C$9,FALSE)=0,#N/A,VLOOKUP($B$2,Deaths_since_10!$H:$KU,Projections_Data!AP$4+2-$C$9,FALSE)))</f>
        <v>#N/A</v>
      </c>
      <c r="AQ6" s="40" t="e">
        <f ca="1">IF(Projections_Data!AQ$4+2-$C$9&lt;2,#N/A,IF(VLOOKUP($B$2,Deaths_since_10!$H:$KU,Projections_Data!AQ$4+2-$C$9,FALSE)=0,#N/A,VLOOKUP($B$2,Deaths_since_10!$H:$KU,Projections_Data!AQ$4+2-$C$9,FALSE)))</f>
        <v>#N/A</v>
      </c>
      <c r="AR6" s="40" t="e">
        <f ca="1">IF(Projections_Data!AR$4+2-$C$9&lt;2,#N/A,IF(VLOOKUP($B$2,Deaths_since_10!$H:$KU,Projections_Data!AR$4+2-$C$9,FALSE)=0,#N/A,VLOOKUP($B$2,Deaths_since_10!$H:$KU,Projections_Data!AR$4+2-$C$9,FALSE)))</f>
        <v>#N/A</v>
      </c>
      <c r="AS6" s="40" t="e">
        <f ca="1">IF(Projections_Data!AS$4+2-$C$9&lt;2,#N/A,IF(VLOOKUP($B$2,Deaths_since_10!$H:$KU,Projections_Data!AS$4+2-$C$9,FALSE)=0,#N/A,VLOOKUP($B$2,Deaths_since_10!$H:$KU,Projections_Data!AS$4+2-$C$9,FALSE)))</f>
        <v>#N/A</v>
      </c>
      <c r="AT6" s="40" t="e">
        <f ca="1">IF(Projections_Data!AT$4+2-$C$9&lt;2,#N/A,IF(VLOOKUP($B$2,Deaths_since_10!$H:$KU,Projections_Data!AT$4+2-$C$9,FALSE)=0,#N/A,VLOOKUP($B$2,Deaths_since_10!$H:$KU,Projections_Data!AT$4+2-$C$9,FALSE)))</f>
        <v>#N/A</v>
      </c>
      <c r="AU6" s="40" t="e">
        <f ca="1">IF(Projections_Data!AU$4+2-$C$9&lt;2,#N/A,IF(VLOOKUP($B$2,Deaths_since_10!$H:$KU,Projections_Data!AU$4+2-$C$9,FALSE)=0,#N/A,VLOOKUP($B$2,Deaths_since_10!$H:$KU,Projections_Data!AU$4+2-$C$9,FALSE)))</f>
        <v>#N/A</v>
      </c>
      <c r="AV6" s="40" t="e">
        <f ca="1">IF(Projections_Data!AV$4+2-$C$9&lt;2,#N/A,IF(VLOOKUP($B$2,Deaths_since_10!$H:$KU,Projections_Data!AV$4+2-$C$9,FALSE)=0,#N/A,VLOOKUP($B$2,Deaths_since_10!$H:$KU,Projections_Data!AV$4+2-$C$9,FALSE)))</f>
        <v>#N/A</v>
      </c>
      <c r="AW6" s="40" t="e">
        <f ca="1">IF(Projections_Data!AW$4+2-$C$9&lt;2,#N/A,IF(VLOOKUP($B$2,Deaths_since_10!$H:$KU,Projections_Data!AW$4+2-$C$9,FALSE)=0,#N/A,VLOOKUP($B$2,Deaths_since_10!$H:$KU,Projections_Data!AW$4+2-$C$9,FALSE)))</f>
        <v>#N/A</v>
      </c>
      <c r="AX6" s="40" t="e">
        <f ca="1">IF(Projections_Data!AX$4+2-$C$9&lt;2,#N/A,IF(VLOOKUP($B$2,Deaths_since_10!$H:$KU,Projections_Data!AX$4+2-$C$9,FALSE)=0,#N/A,VLOOKUP($B$2,Deaths_since_10!$H:$KU,Projections_Data!AX$4+2-$C$9,FALSE)))</f>
        <v>#N/A</v>
      </c>
      <c r="AY6" s="40" t="e">
        <f ca="1">IF(Projections_Data!AY$4+2-$C$9&lt;2,#N/A,IF(VLOOKUP($B$2,Deaths_since_10!$H:$KU,Projections_Data!AY$4+2-$C$9,FALSE)=0,#N/A,VLOOKUP($B$2,Deaths_since_10!$H:$KU,Projections_Data!AY$4+2-$C$9,FALSE)))</f>
        <v>#N/A</v>
      </c>
      <c r="AZ6" s="40" t="e">
        <f ca="1">IF(Projections_Data!AZ$4+2-$C$9&lt;2,#N/A,IF(VLOOKUP($B$2,Deaths_since_10!$H:$KU,Projections_Data!AZ$4+2-$C$9,FALSE)=0,#N/A,VLOOKUP($B$2,Deaths_since_10!$H:$KU,Projections_Data!AZ$4+2-$C$9,FALSE)))</f>
        <v>#N/A</v>
      </c>
      <c r="BA6" s="40" t="e">
        <f ca="1">IF(Projections_Data!BA$4+2-$C$9&lt;2,#N/A,IF(VLOOKUP($B$2,Deaths_since_10!$H:$KU,Projections_Data!BA$4+2-$C$9,FALSE)=0,#N/A,VLOOKUP($B$2,Deaths_since_10!$H:$KU,Projections_Data!BA$4+2-$C$9,FALSE)))</f>
        <v>#N/A</v>
      </c>
      <c r="BB6" s="40" t="e">
        <f ca="1">IF(Projections_Data!BB$4+2-$C$9&lt;2,#N/A,IF(VLOOKUP($B$2,Deaths_since_10!$H:$KU,Projections_Data!BB$4+2-$C$9,FALSE)=0,#N/A,VLOOKUP($B$2,Deaths_since_10!$H:$KU,Projections_Data!BB$4+2-$C$9,FALSE)))</f>
        <v>#N/A</v>
      </c>
      <c r="BC6" s="40" t="e">
        <f ca="1">IF(Projections_Data!BC$4+2-$C$9&lt;2,#N/A,IF(VLOOKUP($B$2,Deaths_since_10!$H:$KU,Projections_Data!BC$4+2-$C$9,FALSE)=0,#N/A,VLOOKUP($B$2,Deaths_since_10!$H:$KU,Projections_Data!BC$4+2-$C$9,FALSE)))</f>
        <v>#N/A</v>
      </c>
      <c r="BD6" s="40" t="e">
        <f ca="1">IF(Projections_Data!BD$4+2-$C$9&lt;2,#N/A,IF(VLOOKUP($B$2,Deaths_since_10!$H:$KU,Projections_Data!BD$4+2-$C$9,FALSE)=0,#N/A,VLOOKUP($B$2,Deaths_since_10!$H:$KU,Projections_Data!BD$4+2-$C$9,FALSE)))</f>
        <v>#N/A</v>
      </c>
      <c r="BE6" s="40" t="e">
        <f ca="1">IF(Projections_Data!BE$4+2-$C$9&lt;2,#N/A,IF(VLOOKUP($B$2,Deaths_since_10!$H:$KU,Projections_Data!BE$4+2-$C$9,FALSE)=0,#N/A,VLOOKUP($B$2,Deaths_since_10!$H:$KU,Projections_Data!BE$4+2-$C$9,FALSE)))</f>
        <v>#N/A</v>
      </c>
      <c r="BF6" s="40" t="e">
        <f ca="1">IF(Projections_Data!BF$4+2-$C$9&lt;2,#N/A,IF(VLOOKUP($B$2,Deaths_since_10!$H:$KU,Projections_Data!BF$4+2-$C$9,FALSE)=0,#N/A,VLOOKUP($B$2,Deaths_since_10!$H:$KU,Projections_Data!BF$4+2-$C$9,FALSE)))</f>
        <v>#N/A</v>
      </c>
      <c r="BG6" s="40" t="e">
        <f ca="1">IF(Projections_Data!BG$4+2-$C$9&lt;2,#N/A,IF(VLOOKUP($B$2,Deaths_since_10!$H:$KU,Projections_Data!BG$4+2-$C$9,FALSE)=0,#N/A,VLOOKUP($B$2,Deaths_since_10!$H:$KU,Projections_Data!BG$4+2-$C$9,FALSE)))</f>
        <v>#N/A</v>
      </c>
      <c r="BH6" s="40" t="e">
        <f ca="1">IF(Projections_Data!BH$4+2-$C$9&lt;2,#N/A,IF(VLOOKUP($B$2,Deaths_since_10!$H:$KU,Projections_Data!BH$4+2-$C$9,FALSE)=0,#N/A,VLOOKUP($B$2,Deaths_since_10!$H:$KU,Projections_Data!BH$4+2-$C$9,FALSE)))</f>
        <v>#N/A</v>
      </c>
      <c r="BI6" s="40" t="e">
        <f ca="1">IF(Projections_Data!BI$4+2-$C$9&lt;2,#N/A,IF(VLOOKUP($B$2,Deaths_since_10!$H:$KU,Projections_Data!BI$4+2-$C$9,FALSE)=0,#N/A,VLOOKUP($B$2,Deaths_since_10!$H:$KU,Projections_Data!BI$4+2-$C$9,FALSE)))</f>
        <v>#N/A</v>
      </c>
      <c r="BJ6" s="40" t="e">
        <f ca="1">IF(Projections_Data!BJ$4+2-$C$9&lt;2,#N/A,IF(VLOOKUP($B$2,Deaths_since_10!$H:$KU,Projections_Data!BJ$4+2-$C$9,FALSE)=0,#N/A,VLOOKUP($B$2,Deaths_since_10!$H:$KU,Projections_Data!BJ$4+2-$C$9,FALSE)))</f>
        <v>#N/A</v>
      </c>
      <c r="BK6" s="40" t="e">
        <f ca="1">IF(Projections_Data!BK$4+2-$C$9&lt;2,#N/A,IF(VLOOKUP($B$2,Deaths_since_10!$H:$KU,Projections_Data!BK$4+2-$C$9,FALSE)=0,#N/A,VLOOKUP($B$2,Deaths_since_10!$H:$KU,Projections_Data!BK$4+2-$C$9,FALSE)))</f>
        <v>#N/A</v>
      </c>
      <c r="BL6" s="40" t="e">
        <f ca="1">IF(Projections_Data!BL$4+2-$C$9&lt;2,#N/A,IF(VLOOKUP($B$2,Deaths_since_10!$H:$KU,Projections_Data!BL$4+2-$C$9,FALSE)=0,#N/A,VLOOKUP($B$2,Deaths_since_10!$H:$KU,Projections_Data!BL$4+2-$C$9,FALSE)))</f>
        <v>#N/A</v>
      </c>
      <c r="BM6" s="40" t="e">
        <f ca="1">IF(Projections_Data!BM$4+2-$C$9&lt;2,#N/A,IF(VLOOKUP($B$2,Deaths_since_10!$H:$KU,Projections_Data!BM$4+2-$C$9,FALSE)=0,#N/A,VLOOKUP($B$2,Deaths_since_10!$H:$KU,Projections_Data!BM$4+2-$C$9,FALSE)))</f>
        <v>#N/A</v>
      </c>
      <c r="BN6" s="40" t="e">
        <f ca="1">IF(Projections_Data!BN$4+2-$C$9&lt;2,#N/A,IF(VLOOKUP($B$2,Deaths_since_10!$H:$KU,Projections_Data!BN$4+2-$C$9,FALSE)=0,#N/A,VLOOKUP($B$2,Deaths_since_10!$H:$KU,Projections_Data!BN$4+2-$C$9,FALSE)))</f>
        <v>#N/A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508</v>
      </c>
      <c r="C7" s="21">
        <f ca="1">C4-C6-C8</f>
        <v>1517</v>
      </c>
      <c r="F7" s="19" t="s">
        <v>589</v>
      </c>
      <c r="G7" s="40">
        <f ca="1">IFERROR((G5-F5)-(G6-F6),G5)</f>
        <v>116</v>
      </c>
      <c r="H7" s="40">
        <f ca="1">IFERROR((H5-G5)-(H6-G6),H5-G5)</f>
        <v>48</v>
      </c>
      <c r="I7" s="40">
        <f t="shared" ref="I7:O7" ca="1" si="11">IFERROR((I5-H5)-(I6-H6),I5-H5)</f>
        <v>43</v>
      </c>
      <c r="J7" s="40">
        <f t="shared" ca="1" si="11"/>
        <v>67</v>
      </c>
      <c r="K7" s="40">
        <f t="shared" ca="1" si="11"/>
        <v>48</v>
      </c>
      <c r="L7" s="40">
        <f t="shared" ca="1" si="11"/>
        <v>62</v>
      </c>
      <c r="M7" s="40">
        <f t="shared" ca="1" si="11"/>
        <v>75</v>
      </c>
      <c r="N7" s="40">
        <f t="shared" ca="1" si="11"/>
        <v>129</v>
      </c>
      <c r="O7" s="40">
        <f t="shared" ca="1" si="11"/>
        <v>211</v>
      </c>
      <c r="P7" s="40">
        <f t="shared" ref="P7" ca="1" si="12">IFERROR((P5-O5)-(P6-O6),P5-O5)</f>
        <v>332</v>
      </c>
      <c r="Q7" s="40">
        <f ca="1">IFERROR((Q5-P5)-(Q6-P6),Q5-P5)</f>
        <v>197</v>
      </c>
      <c r="R7" s="40">
        <f t="shared" ref="R7:T7" ca="1" si="13">IFERROR((R5-Q5)-(R6-Q6),R5-Q5)</f>
        <v>175</v>
      </c>
      <c r="S7" s="40">
        <f t="shared" ca="1" si="13"/>
        <v>394</v>
      </c>
      <c r="T7" s="40">
        <f t="shared" ca="1" si="13"/>
        <v>649</v>
      </c>
      <c r="U7" s="40">
        <f t="shared" ref="U7" ca="1" si="14">(U5-T5)-(U6-T6)</f>
        <v>40</v>
      </c>
      <c r="V7" s="40">
        <f t="shared" ref="V7" ca="1" si="15">(V5-U5)-(V6-U6)</f>
        <v>1258</v>
      </c>
      <c r="W7" s="40">
        <f t="shared" ref="W7" ca="1" si="16">(W5-V5)-(W6-V6)</f>
        <v>997</v>
      </c>
      <c r="X7" s="40">
        <f t="shared" ref="X7" ca="1" si="17">(X5-W5)-(X6-W6)</f>
        <v>630</v>
      </c>
      <c r="Y7" s="40">
        <f ca="1">(Y5-X5)-(Y6-X6)</f>
        <v>927</v>
      </c>
      <c r="Z7" s="40">
        <f t="shared" ref="Z7" ca="1" si="18">(Z5-Y5)-(Z6-Y6)</f>
        <v>1351</v>
      </c>
      <c r="AA7" s="40">
        <f t="shared" ref="AA7" ca="1" si="19">(AA5-Z5)-(AA6-Z6)</f>
        <v>1433</v>
      </c>
      <c r="AB7" s="40">
        <f t="shared" ref="AB7" ca="1" si="20">(AB5-AA5)-(AB6-AA6)</f>
        <v>2058</v>
      </c>
      <c r="AC7" s="40" t="e">
        <f t="shared" ref="AC7" ca="1" si="21">(AC5-AB5)-(AC6-AB6)</f>
        <v>#N/A</v>
      </c>
      <c r="AD7" s="40" t="e">
        <f t="shared" ref="AD7" ca="1" si="22">(AD5-AC5)-(AD6-AC6)</f>
        <v>#N/A</v>
      </c>
      <c r="AE7" s="40" t="e">
        <f t="shared" ref="AE7" ca="1" si="23">(AE5-AD5)-(AE6-AD6)</f>
        <v>#N/A</v>
      </c>
      <c r="AF7" s="40" t="e">
        <f t="shared" ref="AF7" ca="1" si="24">(AF5-AE5)-(AF6-AE6)</f>
        <v>#N/A</v>
      </c>
      <c r="AG7" s="40" t="e">
        <f t="shared" ref="AG7" ca="1" si="25">(AG5-AF5)-(AG6-AF6)</f>
        <v>#N/A</v>
      </c>
      <c r="AH7" s="40" t="e">
        <f t="shared" ref="AH7" ca="1" si="26">(AH5-AG5)-(AH6-AG6)</f>
        <v>#N/A</v>
      </c>
      <c r="AI7" s="40" t="e">
        <f t="shared" ref="AI7" ca="1" si="27">(AI5-AH5)-(AI6-AH6)</f>
        <v>#N/A</v>
      </c>
      <c r="AJ7" s="40" t="e">
        <f t="shared" ref="AJ7" ca="1" si="28">(AJ5-AI5)-(AJ6-AI6)</f>
        <v>#N/A</v>
      </c>
      <c r="AK7" s="40" t="e">
        <f t="shared" ref="AK7" ca="1" si="29">(AK5-AJ5)-(AK6-AJ6)</f>
        <v>#N/A</v>
      </c>
      <c r="AL7" s="40" t="e">
        <f t="shared" ref="AL7" ca="1" si="30">(AL5-AK5)-(AL6-AK6)</f>
        <v>#N/A</v>
      </c>
      <c r="AM7" s="40" t="e">
        <f t="shared" ref="AM7" ca="1" si="31">(AM5-AL5)-(AM6-AL6)</f>
        <v>#N/A</v>
      </c>
      <c r="AN7" s="40" t="e">
        <f t="shared" ref="AN7" ca="1" si="32">(AN5-AM5)-(AN6-AM6)</f>
        <v>#N/A</v>
      </c>
      <c r="AO7" s="40" t="e">
        <f t="shared" ref="AO7" ca="1" si="33">(AO5-AN5)-(AO6-AN6)</f>
        <v>#N/A</v>
      </c>
      <c r="AP7" s="40" t="e">
        <f t="shared" ref="AP7" ca="1" si="34">(AP5-AO5)-(AP6-AO6)</f>
        <v>#N/A</v>
      </c>
      <c r="AQ7" s="40" t="e">
        <f t="shared" ref="AQ7" ca="1" si="35">(AQ5-AP5)-(AQ6-AP6)</f>
        <v>#N/A</v>
      </c>
      <c r="AR7" s="40" t="e">
        <f t="shared" ref="AR7" ca="1" si="36">(AR5-AQ5)-(AR6-AQ6)</f>
        <v>#N/A</v>
      </c>
      <c r="AS7" s="40" t="e">
        <f t="shared" ref="AS7" ca="1" si="37">(AS5-AR5)-(AS6-AR6)</f>
        <v>#N/A</v>
      </c>
      <c r="AT7" s="40" t="e">
        <f t="shared" ref="AT7" ca="1" si="38">(AT5-AS5)-(AT6-AS6)</f>
        <v>#N/A</v>
      </c>
      <c r="AU7" s="40" t="e">
        <f t="shared" ref="AU7" ca="1" si="39">(AU5-AT5)-(AU6-AT6)</f>
        <v>#N/A</v>
      </c>
      <c r="AV7" s="40" t="e">
        <f t="shared" ref="AV7" ca="1" si="40">(AV5-AU5)-(AV6-AU6)</f>
        <v>#N/A</v>
      </c>
      <c r="AW7" s="40" t="e">
        <f t="shared" ref="AW7" ca="1" si="41">(AW5-AV5)-(AW6-AV6)</f>
        <v>#N/A</v>
      </c>
      <c r="AX7" s="40" t="e">
        <f t="shared" ref="AX7" ca="1" si="42">(AX5-AW5)-(AX6-AW6)</f>
        <v>#N/A</v>
      </c>
      <c r="AY7" s="40" t="e">
        <f t="shared" ref="AY7" ca="1" si="43">(AY5-AX5)-(AY6-AX6)</f>
        <v>#N/A</v>
      </c>
      <c r="AZ7" s="40" t="e">
        <f t="shared" ref="AZ7" ca="1" si="44">(AZ5-AY5)-(AZ6-AY6)</f>
        <v>#N/A</v>
      </c>
      <c r="BA7" s="40" t="e">
        <f t="shared" ref="BA7" ca="1" si="45">(BA5-AZ5)-(BA6-AZ6)</f>
        <v>#N/A</v>
      </c>
      <c r="BB7" s="40" t="e">
        <f t="shared" ref="BB7" ca="1" si="46">(BB5-BA5)-(BB6-BA6)</f>
        <v>#N/A</v>
      </c>
      <c r="BC7" s="40" t="e">
        <f t="shared" ref="BC7" ca="1" si="47">(BC5-BB5)-(BC6-BB6)</f>
        <v>#N/A</v>
      </c>
      <c r="BD7" s="40" t="e">
        <f t="shared" ref="BD7" ca="1" si="48">(BD5-BC5)-(BD6-BC6)</f>
        <v>#N/A</v>
      </c>
      <c r="BE7" s="40" t="e">
        <f t="shared" ref="BE7" ca="1" si="49">(BE5-BD5)-(BE6-BD6)</f>
        <v>#N/A</v>
      </c>
      <c r="BF7" s="40" t="e">
        <f t="shared" ref="BF7" ca="1" si="50">(BF5-BE5)-(BF6-BE6)</f>
        <v>#N/A</v>
      </c>
      <c r="BG7" s="40" t="e">
        <f t="shared" ref="BG7" ca="1" si="51">(BG5-BF5)-(BG6-BF6)</f>
        <v>#N/A</v>
      </c>
      <c r="BH7" s="40" t="e">
        <f t="shared" ref="BH7" ca="1" si="52">(BH5-BG5)-(BH6-BG6)</f>
        <v>#N/A</v>
      </c>
      <c r="BI7" s="40" t="e">
        <f t="shared" ref="BI7" ca="1" si="53">(BI5-BH5)-(BI6-BH6)</f>
        <v>#N/A</v>
      </c>
      <c r="BJ7" s="40" t="e">
        <f t="shared" ref="BJ7" ca="1" si="54">(BJ5-BI5)-(BJ6-BI6)</f>
        <v>#N/A</v>
      </c>
      <c r="BK7" s="40" t="e">
        <f t="shared" ref="BK7" ca="1" si="55">(BK5-BJ5)-(BK6-BJ6)</f>
        <v>#N/A</v>
      </c>
      <c r="BL7" s="40" t="e">
        <f t="shared" ref="BL7" ca="1" si="56">(BL5-BK5)-(BL6-BK6)</f>
        <v>#N/A</v>
      </c>
      <c r="BM7" s="40" t="e">
        <f t="shared" ref="BM7" ca="1" si="57">(BM5-BL5)-(BM6-BL6)</f>
        <v>#N/A</v>
      </c>
      <c r="BN7" s="40" t="e">
        <f t="shared" ref="BN7" ca="1" si="58">(BN5-BM5)-(BN6-BM6)</f>
        <v>#N/A</v>
      </c>
      <c r="BO7" s="40" t="e">
        <f t="shared" ref="BO7" ca="1" si="59">(BO5-BN5)-(BO6-BN6)</f>
        <v>#N/A</v>
      </c>
      <c r="BP7" s="40" t="e">
        <f t="shared" ref="BP7" ca="1" si="60">(BP5-BO5)-(BP6-BO6)</f>
        <v>#N/A</v>
      </c>
      <c r="BQ7" s="40" t="e">
        <f t="shared" ref="BQ7" ca="1" si="61">(BQ5-BP5)-(BQ6-BP6)</f>
        <v>#N/A</v>
      </c>
      <c r="BR7" s="40" t="e">
        <f t="shared" ref="BR7" ca="1" si="62">(BR5-BQ5)-(BR6-BQ6)</f>
        <v>#N/A</v>
      </c>
      <c r="BS7" s="40" t="e">
        <f t="shared" ref="BS7" ca="1" si="63">(BS5-BR5)-(BS6-BR6)</f>
        <v>#N/A</v>
      </c>
      <c r="BT7" s="40" t="e">
        <f t="shared" ref="BT7" ca="1" si="64">(BT5-BS5)-(BT6-BS6)</f>
        <v>#N/A</v>
      </c>
      <c r="BU7" s="40" t="e">
        <f t="shared" ref="BU7" ca="1" si="65">(BU5-BT5)-(BU6-BT6)</f>
        <v>#N/A</v>
      </c>
      <c r="BV7" s="40" t="e">
        <f t="shared" ref="BV7:EF7" si="66">BV5-BU5</f>
        <v>#N/A</v>
      </c>
      <c r="BW7" s="40" t="e">
        <f t="shared" si="66"/>
        <v>#N/A</v>
      </c>
      <c r="BX7" s="40" t="e">
        <f t="shared" si="66"/>
        <v>#N/A</v>
      </c>
      <c r="BY7" s="40" t="e">
        <f t="shared" si="66"/>
        <v>#N/A</v>
      </c>
      <c r="BZ7" s="40" t="e">
        <f t="shared" si="66"/>
        <v>#N/A</v>
      </c>
      <c r="CA7" s="40" t="e">
        <f t="shared" si="66"/>
        <v>#N/A</v>
      </c>
      <c r="CB7" s="40" t="e">
        <f t="shared" si="66"/>
        <v>#N/A</v>
      </c>
      <c r="CC7" s="40" t="e">
        <f t="shared" si="66"/>
        <v>#N/A</v>
      </c>
      <c r="CD7" s="40" t="e">
        <f t="shared" si="66"/>
        <v>#N/A</v>
      </c>
      <c r="CE7" s="40" t="e">
        <f t="shared" si="66"/>
        <v>#N/A</v>
      </c>
      <c r="CF7" s="40" t="e">
        <f t="shared" si="66"/>
        <v>#N/A</v>
      </c>
      <c r="CG7" s="40" t="e">
        <f t="shared" si="66"/>
        <v>#N/A</v>
      </c>
      <c r="CH7" s="40" t="e">
        <f t="shared" si="66"/>
        <v>#N/A</v>
      </c>
      <c r="CI7" s="40" t="e">
        <f t="shared" si="66"/>
        <v>#N/A</v>
      </c>
      <c r="CJ7" s="40" t="e">
        <f t="shared" si="66"/>
        <v>#N/A</v>
      </c>
      <c r="CK7" s="40" t="e">
        <f t="shared" si="66"/>
        <v>#N/A</v>
      </c>
      <c r="CL7" s="40" t="e">
        <f t="shared" si="66"/>
        <v>#N/A</v>
      </c>
      <c r="CM7" s="40" t="e">
        <f t="shared" si="66"/>
        <v>#N/A</v>
      </c>
      <c r="CN7" s="40" t="e">
        <f t="shared" si="66"/>
        <v>#N/A</v>
      </c>
      <c r="CO7" s="40" t="e">
        <f t="shared" si="66"/>
        <v>#N/A</v>
      </c>
      <c r="CP7" s="40" t="e">
        <f t="shared" si="66"/>
        <v>#N/A</v>
      </c>
      <c r="CQ7" s="40" t="e">
        <f t="shared" si="66"/>
        <v>#N/A</v>
      </c>
      <c r="CR7" s="40" t="e">
        <f t="shared" si="66"/>
        <v>#N/A</v>
      </c>
      <c r="CS7" s="40" t="e">
        <f t="shared" si="66"/>
        <v>#N/A</v>
      </c>
      <c r="CT7" s="40" t="e">
        <f t="shared" si="66"/>
        <v>#N/A</v>
      </c>
      <c r="CU7" s="40" t="e">
        <f t="shared" si="66"/>
        <v>#N/A</v>
      </c>
      <c r="CV7" s="40" t="e">
        <f t="shared" si="66"/>
        <v>#N/A</v>
      </c>
      <c r="CW7" s="40" t="e">
        <f t="shared" si="66"/>
        <v>#N/A</v>
      </c>
      <c r="CX7" s="40" t="e">
        <f t="shared" si="66"/>
        <v>#N/A</v>
      </c>
      <c r="CY7" s="40" t="e">
        <f t="shared" si="66"/>
        <v>#N/A</v>
      </c>
      <c r="CZ7" s="40" t="e">
        <f t="shared" si="66"/>
        <v>#N/A</v>
      </c>
      <c r="DA7" s="40" t="e">
        <f t="shared" si="66"/>
        <v>#N/A</v>
      </c>
      <c r="DB7" s="40" t="e">
        <f t="shared" si="66"/>
        <v>#N/A</v>
      </c>
      <c r="DC7" s="40" t="e">
        <f t="shared" si="66"/>
        <v>#N/A</v>
      </c>
      <c r="DD7" s="40" t="e">
        <f t="shared" si="66"/>
        <v>#N/A</v>
      </c>
      <c r="DE7" s="40" t="e">
        <f t="shared" si="66"/>
        <v>#N/A</v>
      </c>
      <c r="DF7" s="40" t="e">
        <f t="shared" si="66"/>
        <v>#N/A</v>
      </c>
      <c r="DG7" s="40" t="e">
        <f t="shared" si="66"/>
        <v>#N/A</v>
      </c>
      <c r="DH7" s="40" t="e">
        <f t="shared" si="66"/>
        <v>#N/A</v>
      </c>
      <c r="DI7" s="40" t="e">
        <f t="shared" si="66"/>
        <v>#N/A</v>
      </c>
      <c r="DJ7" s="40" t="e">
        <f t="shared" si="66"/>
        <v>#N/A</v>
      </c>
      <c r="DK7" s="40" t="e">
        <f t="shared" si="66"/>
        <v>#N/A</v>
      </c>
      <c r="DL7" s="40" t="e">
        <f t="shared" si="66"/>
        <v>#N/A</v>
      </c>
      <c r="DM7" s="40" t="e">
        <f t="shared" si="66"/>
        <v>#N/A</v>
      </c>
      <c r="DN7" s="40" t="e">
        <f t="shared" si="66"/>
        <v>#N/A</v>
      </c>
      <c r="DO7" s="40" t="e">
        <f t="shared" si="66"/>
        <v>#N/A</v>
      </c>
      <c r="DP7" s="40" t="e">
        <f t="shared" si="66"/>
        <v>#N/A</v>
      </c>
      <c r="DQ7" s="40" t="e">
        <f t="shared" si="66"/>
        <v>#N/A</v>
      </c>
      <c r="DR7" s="40" t="e">
        <f t="shared" si="66"/>
        <v>#N/A</v>
      </c>
      <c r="DS7" s="40" t="e">
        <f t="shared" si="66"/>
        <v>#N/A</v>
      </c>
      <c r="DT7" s="40" t="e">
        <f t="shared" si="66"/>
        <v>#N/A</v>
      </c>
      <c r="DU7" s="40" t="e">
        <f t="shared" si="66"/>
        <v>#N/A</v>
      </c>
      <c r="DV7" s="40" t="e">
        <f t="shared" si="66"/>
        <v>#N/A</v>
      </c>
      <c r="DW7" s="40" t="e">
        <f t="shared" si="66"/>
        <v>#N/A</v>
      </c>
      <c r="DX7" s="40" t="e">
        <f t="shared" si="66"/>
        <v>#N/A</v>
      </c>
      <c r="DY7" s="40" t="e">
        <f t="shared" si="66"/>
        <v>#N/A</v>
      </c>
      <c r="DZ7" s="40" t="e">
        <f t="shared" si="66"/>
        <v>#N/A</v>
      </c>
      <c r="EA7" s="40" t="e">
        <f t="shared" si="66"/>
        <v>#N/A</v>
      </c>
      <c r="EB7" s="40" t="e">
        <f t="shared" si="66"/>
        <v>#N/A</v>
      </c>
      <c r="EC7" s="40" t="e">
        <f t="shared" si="66"/>
        <v>#N/A</v>
      </c>
      <c r="ED7" s="40" t="e">
        <f t="shared" si="66"/>
        <v>#N/A</v>
      </c>
      <c r="EE7" s="40" t="e">
        <f t="shared" si="66"/>
        <v>#N/A</v>
      </c>
      <c r="EF7" s="40" t="e">
        <f t="shared" si="66"/>
        <v>#N/A</v>
      </c>
      <c r="EG7" s="40" t="e">
        <f t="shared" ref="EG7:GR7" si="67">EG5-EF5</f>
        <v>#N/A</v>
      </c>
      <c r="EH7" s="40" t="e">
        <f t="shared" si="67"/>
        <v>#N/A</v>
      </c>
      <c r="EI7" s="40" t="e">
        <f t="shared" si="67"/>
        <v>#N/A</v>
      </c>
      <c r="EJ7" s="40" t="e">
        <f t="shared" si="67"/>
        <v>#N/A</v>
      </c>
      <c r="EK7" s="40" t="e">
        <f t="shared" si="67"/>
        <v>#N/A</v>
      </c>
      <c r="EL7" s="40" t="e">
        <f t="shared" si="67"/>
        <v>#N/A</v>
      </c>
      <c r="EM7" s="40" t="e">
        <f t="shared" si="67"/>
        <v>#N/A</v>
      </c>
      <c r="EN7" s="40" t="e">
        <f t="shared" si="67"/>
        <v>#N/A</v>
      </c>
      <c r="EO7" s="40" t="e">
        <f t="shared" si="67"/>
        <v>#N/A</v>
      </c>
      <c r="EP7" s="40" t="e">
        <f t="shared" si="67"/>
        <v>#N/A</v>
      </c>
      <c r="EQ7" s="40" t="e">
        <f t="shared" si="67"/>
        <v>#N/A</v>
      </c>
      <c r="ER7" s="40" t="e">
        <f t="shared" si="67"/>
        <v>#N/A</v>
      </c>
      <c r="ES7" s="40" t="e">
        <f t="shared" si="67"/>
        <v>#N/A</v>
      </c>
      <c r="ET7" s="40" t="e">
        <f t="shared" si="67"/>
        <v>#N/A</v>
      </c>
      <c r="EU7" s="40" t="e">
        <f t="shared" si="67"/>
        <v>#N/A</v>
      </c>
      <c r="EV7" s="40" t="e">
        <f t="shared" si="67"/>
        <v>#N/A</v>
      </c>
      <c r="EW7" s="40" t="e">
        <f t="shared" si="67"/>
        <v>#N/A</v>
      </c>
      <c r="EX7" s="40" t="e">
        <f t="shared" si="67"/>
        <v>#N/A</v>
      </c>
      <c r="EY7" s="40" t="e">
        <f t="shared" si="67"/>
        <v>#N/A</v>
      </c>
      <c r="EZ7" s="40" t="e">
        <f t="shared" si="67"/>
        <v>#N/A</v>
      </c>
      <c r="FA7" s="40" t="e">
        <f t="shared" si="67"/>
        <v>#N/A</v>
      </c>
      <c r="FB7" s="40" t="e">
        <f t="shared" si="67"/>
        <v>#N/A</v>
      </c>
      <c r="FC7" s="40" t="e">
        <f t="shared" si="67"/>
        <v>#N/A</v>
      </c>
      <c r="FD7" s="40" t="e">
        <f t="shared" si="67"/>
        <v>#N/A</v>
      </c>
      <c r="FE7" s="40" t="e">
        <f t="shared" si="67"/>
        <v>#N/A</v>
      </c>
      <c r="FF7" s="40" t="e">
        <f t="shared" si="67"/>
        <v>#N/A</v>
      </c>
      <c r="FG7" s="40" t="e">
        <f t="shared" si="67"/>
        <v>#N/A</v>
      </c>
      <c r="FH7" s="40" t="e">
        <f t="shared" si="67"/>
        <v>#N/A</v>
      </c>
      <c r="FI7" s="40" t="e">
        <f t="shared" si="67"/>
        <v>#N/A</v>
      </c>
      <c r="FJ7" s="40" t="e">
        <f t="shared" si="67"/>
        <v>#N/A</v>
      </c>
      <c r="FK7" s="40" t="e">
        <f t="shared" si="67"/>
        <v>#N/A</v>
      </c>
      <c r="FL7" s="40" t="e">
        <f t="shared" si="67"/>
        <v>#N/A</v>
      </c>
      <c r="FM7" s="40" t="e">
        <f t="shared" si="67"/>
        <v>#N/A</v>
      </c>
      <c r="FN7" s="40" t="e">
        <f t="shared" si="67"/>
        <v>#N/A</v>
      </c>
      <c r="FO7" s="40" t="e">
        <f t="shared" si="67"/>
        <v>#N/A</v>
      </c>
      <c r="FP7" s="40" t="e">
        <f t="shared" si="67"/>
        <v>#N/A</v>
      </c>
      <c r="FQ7" s="40" t="e">
        <f t="shared" si="67"/>
        <v>#N/A</v>
      </c>
      <c r="FR7" s="40" t="e">
        <f t="shared" si="67"/>
        <v>#N/A</v>
      </c>
      <c r="FS7" s="40" t="e">
        <f t="shared" si="67"/>
        <v>#N/A</v>
      </c>
      <c r="FT7" s="40" t="e">
        <f t="shared" si="67"/>
        <v>#N/A</v>
      </c>
      <c r="FU7" s="40" t="e">
        <f t="shared" si="67"/>
        <v>#N/A</v>
      </c>
      <c r="FV7" s="40" t="e">
        <f t="shared" si="67"/>
        <v>#N/A</v>
      </c>
      <c r="FW7" s="40" t="e">
        <f t="shared" si="67"/>
        <v>#N/A</v>
      </c>
      <c r="FX7" s="40" t="e">
        <f t="shared" si="67"/>
        <v>#N/A</v>
      </c>
      <c r="FY7" s="40" t="e">
        <f t="shared" si="67"/>
        <v>#N/A</v>
      </c>
      <c r="FZ7" s="40" t="e">
        <f t="shared" si="67"/>
        <v>#N/A</v>
      </c>
      <c r="GA7" s="40" t="e">
        <f t="shared" si="67"/>
        <v>#N/A</v>
      </c>
      <c r="GB7" s="40" t="e">
        <f t="shared" si="67"/>
        <v>#N/A</v>
      </c>
      <c r="GC7" s="40" t="e">
        <f t="shared" si="67"/>
        <v>#N/A</v>
      </c>
      <c r="GD7" s="40" t="e">
        <f t="shared" si="67"/>
        <v>#N/A</v>
      </c>
      <c r="GE7" s="40" t="e">
        <f t="shared" si="67"/>
        <v>#N/A</v>
      </c>
      <c r="GF7" s="40" t="e">
        <f t="shared" si="67"/>
        <v>#N/A</v>
      </c>
      <c r="GG7" s="40" t="e">
        <f t="shared" si="67"/>
        <v>#N/A</v>
      </c>
      <c r="GH7" s="40" t="e">
        <f t="shared" si="67"/>
        <v>#N/A</v>
      </c>
      <c r="GI7" s="40" t="e">
        <f t="shared" si="67"/>
        <v>#N/A</v>
      </c>
      <c r="GJ7" s="40" t="e">
        <f t="shared" si="67"/>
        <v>#N/A</v>
      </c>
      <c r="GK7" s="40" t="e">
        <f t="shared" si="67"/>
        <v>#N/A</v>
      </c>
      <c r="GL7" s="40" t="e">
        <f t="shared" si="67"/>
        <v>#N/A</v>
      </c>
      <c r="GM7" s="40" t="e">
        <f t="shared" si="67"/>
        <v>#N/A</v>
      </c>
      <c r="GN7" s="40" t="e">
        <f t="shared" si="67"/>
        <v>#N/A</v>
      </c>
      <c r="GO7" s="40" t="e">
        <f t="shared" si="67"/>
        <v>#N/A</v>
      </c>
      <c r="GP7" s="40" t="e">
        <f t="shared" si="67"/>
        <v>#N/A</v>
      </c>
      <c r="GQ7" s="40" t="e">
        <f t="shared" si="67"/>
        <v>#N/A</v>
      </c>
      <c r="GR7" s="40" t="e">
        <f t="shared" si="67"/>
        <v>#N/A</v>
      </c>
      <c r="GS7" s="40" t="e">
        <f t="shared" ref="GS7:IN7" si="68">GS5-GR5</f>
        <v>#N/A</v>
      </c>
      <c r="GT7" s="40" t="e">
        <f t="shared" si="68"/>
        <v>#N/A</v>
      </c>
      <c r="GU7" s="40" t="e">
        <f t="shared" si="68"/>
        <v>#N/A</v>
      </c>
      <c r="GV7" s="40" t="e">
        <f t="shared" si="68"/>
        <v>#N/A</v>
      </c>
      <c r="GW7" s="40" t="e">
        <f t="shared" si="68"/>
        <v>#N/A</v>
      </c>
      <c r="GX7" s="40" t="e">
        <f t="shared" si="68"/>
        <v>#N/A</v>
      </c>
      <c r="GY7" s="40" t="e">
        <f t="shared" si="68"/>
        <v>#N/A</v>
      </c>
      <c r="GZ7" s="40" t="e">
        <f t="shared" si="68"/>
        <v>#N/A</v>
      </c>
      <c r="HA7" s="40" t="e">
        <f t="shared" si="68"/>
        <v>#N/A</v>
      </c>
      <c r="HB7" s="40" t="e">
        <f t="shared" si="68"/>
        <v>#N/A</v>
      </c>
      <c r="HC7" s="40" t="e">
        <f t="shared" si="68"/>
        <v>#N/A</v>
      </c>
      <c r="HD7" s="40" t="e">
        <f t="shared" si="68"/>
        <v>#N/A</v>
      </c>
      <c r="HE7" s="40" t="e">
        <f t="shared" si="68"/>
        <v>#N/A</v>
      </c>
      <c r="HF7" s="40" t="e">
        <f t="shared" si="68"/>
        <v>#N/A</v>
      </c>
      <c r="HG7" s="40" t="e">
        <f t="shared" si="68"/>
        <v>#N/A</v>
      </c>
      <c r="HH7" s="40" t="e">
        <f t="shared" si="68"/>
        <v>#N/A</v>
      </c>
      <c r="HI7" s="40" t="e">
        <f t="shared" si="68"/>
        <v>#N/A</v>
      </c>
      <c r="HJ7" s="40" t="e">
        <f t="shared" si="68"/>
        <v>#N/A</v>
      </c>
      <c r="HK7" s="40" t="e">
        <f t="shared" si="68"/>
        <v>#N/A</v>
      </c>
      <c r="HL7" s="40" t="e">
        <f t="shared" si="68"/>
        <v>#N/A</v>
      </c>
      <c r="HM7" s="40" t="e">
        <f t="shared" si="68"/>
        <v>#N/A</v>
      </c>
      <c r="HN7" s="40" t="e">
        <f t="shared" si="68"/>
        <v>#N/A</v>
      </c>
      <c r="HO7" s="40" t="e">
        <f t="shared" si="68"/>
        <v>#N/A</v>
      </c>
      <c r="HP7" s="40" t="e">
        <f t="shared" si="68"/>
        <v>#N/A</v>
      </c>
      <c r="HQ7" s="40" t="e">
        <f t="shared" si="68"/>
        <v>#N/A</v>
      </c>
      <c r="HR7" s="40" t="e">
        <f t="shared" si="68"/>
        <v>#N/A</v>
      </c>
      <c r="HS7" s="40" t="e">
        <f t="shared" si="68"/>
        <v>#N/A</v>
      </c>
      <c r="HT7" s="40" t="e">
        <f t="shared" si="68"/>
        <v>#N/A</v>
      </c>
      <c r="HU7" s="40" t="e">
        <f t="shared" si="68"/>
        <v>#N/A</v>
      </c>
      <c r="HV7" s="40" t="e">
        <f t="shared" si="68"/>
        <v>#N/A</v>
      </c>
      <c r="HW7" s="40" t="e">
        <f t="shared" si="68"/>
        <v>#N/A</v>
      </c>
      <c r="HX7" s="40" t="e">
        <f t="shared" si="68"/>
        <v>#N/A</v>
      </c>
      <c r="HY7" s="40" t="e">
        <f t="shared" si="68"/>
        <v>#N/A</v>
      </c>
      <c r="HZ7" s="40" t="e">
        <f t="shared" si="68"/>
        <v>#N/A</v>
      </c>
      <c r="IA7" s="40" t="e">
        <f t="shared" si="68"/>
        <v>#N/A</v>
      </c>
      <c r="IB7" s="40" t="e">
        <f t="shared" si="68"/>
        <v>#N/A</v>
      </c>
      <c r="IC7" s="40" t="e">
        <f t="shared" si="68"/>
        <v>#N/A</v>
      </c>
      <c r="ID7" s="40" t="e">
        <f t="shared" si="68"/>
        <v>#N/A</v>
      </c>
      <c r="IE7" s="40" t="e">
        <f t="shared" si="68"/>
        <v>#N/A</v>
      </c>
      <c r="IF7" s="40" t="e">
        <f t="shared" si="68"/>
        <v>#N/A</v>
      </c>
      <c r="IG7" s="40" t="e">
        <f t="shared" si="68"/>
        <v>#N/A</v>
      </c>
      <c r="IH7" s="40" t="e">
        <f t="shared" si="68"/>
        <v>#N/A</v>
      </c>
      <c r="II7" s="40" t="e">
        <f t="shared" si="68"/>
        <v>#N/A</v>
      </c>
      <c r="IJ7" s="40" t="e">
        <f t="shared" si="68"/>
        <v>#N/A</v>
      </c>
      <c r="IK7" s="40" t="e">
        <f t="shared" si="68"/>
        <v>#N/A</v>
      </c>
      <c r="IL7" s="40" t="e">
        <f t="shared" si="68"/>
        <v>#N/A</v>
      </c>
      <c r="IM7" s="40" t="e">
        <f t="shared" si="68"/>
        <v>#N/A</v>
      </c>
      <c r="IN7" s="40" t="e">
        <f t="shared" si="68"/>
        <v>#N/A</v>
      </c>
    </row>
    <row r="8" spans="2:248" x14ac:dyDescent="0.3">
      <c r="B8" s="19" t="s">
        <v>509</v>
      </c>
      <c r="C8" s="21">
        <f>VLOOKUP(B2,Country_Data!C:G,5,FALSE)</f>
        <v>580</v>
      </c>
      <c r="F8" s="19" t="s">
        <v>506</v>
      </c>
      <c r="G8" s="40">
        <f>G5</f>
        <v>116</v>
      </c>
      <c r="H8" s="40">
        <f ca="1">SUM($G$7:H7)</f>
        <v>164</v>
      </c>
      <c r="I8" s="40">
        <f ca="1">SUM($G$7:I7)</f>
        <v>207</v>
      </c>
      <c r="J8" s="40">
        <f ca="1">SUM($G$7:J7)</f>
        <v>274</v>
      </c>
      <c r="K8" s="40">
        <f ca="1">SUM($G$7:K7)</f>
        <v>322</v>
      </c>
      <c r="L8" s="40">
        <f ca="1">SUM($G$7:L7)</f>
        <v>384</v>
      </c>
      <c r="M8" s="40">
        <f ca="1">SUM($G$7:M7)</f>
        <v>459</v>
      </c>
      <c r="N8" s="40">
        <f ca="1">SUM($G$7:N7)</f>
        <v>588</v>
      </c>
      <c r="O8" s="40">
        <f ca="1">SUM($G$7:O7)</f>
        <v>799</v>
      </c>
      <c r="P8" s="40">
        <f ca="1">SUM($G$7:P7)</f>
        <v>1131</v>
      </c>
      <c r="Q8" s="40">
        <f ca="1">SUM($G$7:Q7)</f>
        <v>1328</v>
      </c>
      <c r="R8" s="40">
        <f ca="1">SUM(H7:R7)-G7</f>
        <v>1271</v>
      </c>
      <c r="S8" s="40">
        <f t="shared" ref="S8:CD8" ca="1" si="69">SUM(I7:S7)-H7</f>
        <v>1685</v>
      </c>
      <c r="T8" s="40">
        <f t="shared" ca="1" si="69"/>
        <v>2296</v>
      </c>
      <c r="U8" s="40">
        <f t="shared" ca="1" si="69"/>
        <v>2245</v>
      </c>
      <c r="V8" s="40">
        <f t="shared" ca="1" si="69"/>
        <v>3474</v>
      </c>
      <c r="W8" s="40">
        <f t="shared" ca="1" si="69"/>
        <v>4395</v>
      </c>
      <c r="X8" s="40">
        <f t="shared" ca="1" si="69"/>
        <v>4937</v>
      </c>
      <c r="Y8" s="40">
        <f t="shared" ca="1" si="69"/>
        <v>5681</v>
      </c>
      <c r="Z8" s="40">
        <f t="shared" ca="1" si="69"/>
        <v>6739</v>
      </c>
      <c r="AA8" s="40">
        <f t="shared" ca="1" si="69"/>
        <v>7719</v>
      </c>
      <c r="AB8" s="40">
        <f t="shared" ca="1" si="69"/>
        <v>9715</v>
      </c>
      <c r="AC8" s="40" t="e">
        <f t="shared" ca="1" si="69"/>
        <v>#N/A</v>
      </c>
      <c r="AD8" s="40" t="e">
        <f t="shared" ca="1" si="69"/>
        <v>#N/A</v>
      </c>
      <c r="AE8" s="40" t="e">
        <f t="shared" ca="1" si="69"/>
        <v>#N/A</v>
      </c>
      <c r="AF8" s="40" t="e">
        <f t="shared" ca="1" si="69"/>
        <v>#N/A</v>
      </c>
      <c r="AG8" s="40" t="e">
        <f t="shared" ca="1" si="69"/>
        <v>#N/A</v>
      </c>
      <c r="AH8" s="40" t="e">
        <f t="shared" ca="1" si="69"/>
        <v>#N/A</v>
      </c>
      <c r="AI8" s="40" t="e">
        <f t="shared" ca="1" si="69"/>
        <v>#N/A</v>
      </c>
      <c r="AJ8" s="40" t="e">
        <f t="shared" ca="1" si="69"/>
        <v>#N/A</v>
      </c>
      <c r="AK8" s="40" t="e">
        <f ca="1">SUM(AA7:AK7)-Z7</f>
        <v>#N/A</v>
      </c>
      <c r="AL8" s="40" t="e">
        <f t="shared" ca="1" si="69"/>
        <v>#N/A</v>
      </c>
      <c r="AM8" s="40" t="e">
        <f ca="1">SUM(AC7:AM7)-AB7</f>
        <v>#N/A</v>
      </c>
      <c r="AN8" s="40" t="e">
        <f ca="1">SUM(AD7:AN7)-AC7</f>
        <v>#N/A</v>
      </c>
      <c r="AO8" s="40" t="e">
        <f t="shared" ca="1" si="69"/>
        <v>#N/A</v>
      </c>
      <c r="AP8" s="40" t="e">
        <f t="shared" ca="1" si="69"/>
        <v>#N/A</v>
      </c>
      <c r="AQ8" s="40" t="e">
        <f t="shared" ca="1" si="69"/>
        <v>#N/A</v>
      </c>
      <c r="AR8" s="40" t="e">
        <f t="shared" ca="1" si="69"/>
        <v>#N/A</v>
      </c>
      <c r="AS8" s="40" t="e">
        <f t="shared" ca="1" si="69"/>
        <v>#N/A</v>
      </c>
      <c r="AT8" s="40" t="e">
        <f t="shared" ca="1" si="69"/>
        <v>#N/A</v>
      </c>
      <c r="AU8" s="40" t="e">
        <f t="shared" ca="1" si="69"/>
        <v>#N/A</v>
      </c>
      <c r="AV8" s="40" t="e">
        <f t="shared" ca="1" si="69"/>
        <v>#N/A</v>
      </c>
      <c r="AW8" s="40" t="e">
        <f t="shared" ca="1" si="69"/>
        <v>#N/A</v>
      </c>
      <c r="AX8" s="40" t="e">
        <f t="shared" ca="1" si="69"/>
        <v>#N/A</v>
      </c>
      <c r="AY8" s="40" t="e">
        <f t="shared" ca="1" si="69"/>
        <v>#N/A</v>
      </c>
      <c r="AZ8" s="40" t="e">
        <f t="shared" ca="1" si="69"/>
        <v>#N/A</v>
      </c>
      <c r="BA8" s="40" t="e">
        <f t="shared" ca="1" si="69"/>
        <v>#N/A</v>
      </c>
      <c r="BB8" s="40" t="e">
        <f t="shared" ca="1" si="69"/>
        <v>#N/A</v>
      </c>
      <c r="BC8" s="40" t="e">
        <f t="shared" ca="1" si="69"/>
        <v>#N/A</v>
      </c>
      <c r="BD8" s="40" t="e">
        <f t="shared" ca="1" si="69"/>
        <v>#N/A</v>
      </c>
      <c r="BE8" s="40" t="e">
        <f t="shared" ca="1" si="69"/>
        <v>#N/A</v>
      </c>
      <c r="BF8" s="40" t="e">
        <f t="shared" ca="1" si="69"/>
        <v>#N/A</v>
      </c>
      <c r="BG8" s="40" t="e">
        <f t="shared" ca="1" si="69"/>
        <v>#N/A</v>
      </c>
      <c r="BH8" s="40" t="e">
        <f t="shared" ca="1" si="69"/>
        <v>#N/A</v>
      </c>
      <c r="BI8" s="40" t="e">
        <f t="shared" ca="1" si="69"/>
        <v>#N/A</v>
      </c>
      <c r="BJ8" s="40" t="e">
        <f t="shared" ca="1" si="69"/>
        <v>#N/A</v>
      </c>
      <c r="BK8" s="40" t="e">
        <f t="shared" ca="1" si="69"/>
        <v>#N/A</v>
      </c>
      <c r="BL8" s="40" t="e">
        <f t="shared" ca="1" si="69"/>
        <v>#N/A</v>
      </c>
      <c r="BM8" s="40" t="e">
        <f t="shared" ca="1" si="69"/>
        <v>#N/A</v>
      </c>
      <c r="BN8" s="40" t="e">
        <f t="shared" ca="1" si="69"/>
        <v>#N/A</v>
      </c>
      <c r="BO8" s="40" t="e">
        <f t="shared" ca="1" si="69"/>
        <v>#N/A</v>
      </c>
      <c r="BP8" s="40" t="e">
        <f t="shared" ca="1" si="69"/>
        <v>#N/A</v>
      </c>
      <c r="BQ8" s="40" t="e">
        <f t="shared" ca="1" si="69"/>
        <v>#N/A</v>
      </c>
      <c r="BR8" s="40" t="e">
        <f t="shared" ca="1" si="69"/>
        <v>#N/A</v>
      </c>
      <c r="BS8" s="40" t="e">
        <f t="shared" ca="1" si="69"/>
        <v>#N/A</v>
      </c>
      <c r="BT8" s="40" t="e">
        <f t="shared" ca="1" si="69"/>
        <v>#N/A</v>
      </c>
      <c r="BU8" s="40" t="e">
        <f t="shared" ca="1" si="69"/>
        <v>#N/A</v>
      </c>
      <c r="BV8" s="40" t="e">
        <f t="shared" ca="1" si="69"/>
        <v>#N/A</v>
      </c>
      <c r="BW8" s="40" t="e">
        <f t="shared" ca="1" si="69"/>
        <v>#N/A</v>
      </c>
      <c r="BX8" s="40" t="e">
        <f t="shared" ca="1" si="69"/>
        <v>#N/A</v>
      </c>
      <c r="BY8" s="40" t="e">
        <f t="shared" ca="1" si="69"/>
        <v>#N/A</v>
      </c>
      <c r="BZ8" s="40" t="e">
        <f t="shared" ca="1" si="69"/>
        <v>#N/A</v>
      </c>
      <c r="CA8" s="40" t="e">
        <f t="shared" ca="1" si="69"/>
        <v>#N/A</v>
      </c>
      <c r="CB8" s="40" t="e">
        <f t="shared" ca="1" si="69"/>
        <v>#N/A</v>
      </c>
      <c r="CC8" s="40" t="e">
        <f t="shared" ca="1" si="69"/>
        <v>#N/A</v>
      </c>
      <c r="CD8" s="40" t="e">
        <f t="shared" ca="1" si="69"/>
        <v>#N/A</v>
      </c>
      <c r="CE8" s="40" t="e">
        <f t="shared" ref="CE8:EP8" ca="1" si="70">SUM(BU7:CE7)-BT7</f>
        <v>#N/A</v>
      </c>
      <c r="CF8" s="40" t="e">
        <f t="shared" ca="1" si="70"/>
        <v>#N/A</v>
      </c>
      <c r="CG8" s="40" t="e">
        <f t="shared" si="70"/>
        <v>#N/A</v>
      </c>
      <c r="CH8" s="40" t="e">
        <f t="shared" si="70"/>
        <v>#N/A</v>
      </c>
      <c r="CI8" s="40" t="e">
        <f t="shared" si="70"/>
        <v>#N/A</v>
      </c>
      <c r="CJ8" s="40" t="e">
        <f t="shared" si="70"/>
        <v>#N/A</v>
      </c>
      <c r="CK8" s="40" t="e">
        <f t="shared" si="70"/>
        <v>#N/A</v>
      </c>
      <c r="CL8" s="40" t="e">
        <f t="shared" si="70"/>
        <v>#N/A</v>
      </c>
      <c r="CM8" s="40" t="e">
        <f t="shared" si="70"/>
        <v>#N/A</v>
      </c>
      <c r="CN8" s="40" t="e">
        <f t="shared" si="70"/>
        <v>#N/A</v>
      </c>
      <c r="CO8" s="40" t="e">
        <f t="shared" si="70"/>
        <v>#N/A</v>
      </c>
      <c r="CP8" s="40" t="e">
        <f t="shared" si="70"/>
        <v>#N/A</v>
      </c>
      <c r="CQ8" s="40" t="e">
        <f t="shared" si="70"/>
        <v>#N/A</v>
      </c>
      <c r="CR8" s="40" t="e">
        <f t="shared" si="70"/>
        <v>#N/A</v>
      </c>
      <c r="CS8" s="40" t="e">
        <f t="shared" si="70"/>
        <v>#N/A</v>
      </c>
      <c r="CT8" s="40" t="e">
        <f t="shared" si="70"/>
        <v>#N/A</v>
      </c>
      <c r="CU8" s="40" t="e">
        <f t="shared" si="70"/>
        <v>#N/A</v>
      </c>
      <c r="CV8" s="40" t="e">
        <f t="shared" si="70"/>
        <v>#N/A</v>
      </c>
      <c r="CW8" s="40" t="e">
        <f t="shared" si="70"/>
        <v>#N/A</v>
      </c>
      <c r="CX8" s="40" t="e">
        <f t="shared" si="70"/>
        <v>#N/A</v>
      </c>
      <c r="CY8" s="40" t="e">
        <f t="shared" si="70"/>
        <v>#N/A</v>
      </c>
      <c r="CZ8" s="40" t="e">
        <f t="shared" si="70"/>
        <v>#N/A</v>
      </c>
      <c r="DA8" s="40" t="e">
        <f t="shared" si="70"/>
        <v>#N/A</v>
      </c>
      <c r="DB8" s="40" t="e">
        <f t="shared" si="70"/>
        <v>#N/A</v>
      </c>
      <c r="DC8" s="40" t="e">
        <f t="shared" si="70"/>
        <v>#N/A</v>
      </c>
      <c r="DD8" s="40" t="e">
        <f t="shared" si="70"/>
        <v>#N/A</v>
      </c>
      <c r="DE8" s="40" t="e">
        <f t="shared" si="70"/>
        <v>#N/A</v>
      </c>
      <c r="DF8" s="40" t="e">
        <f t="shared" si="70"/>
        <v>#N/A</v>
      </c>
      <c r="DG8" s="40" t="e">
        <f t="shared" si="70"/>
        <v>#N/A</v>
      </c>
      <c r="DH8" s="40" t="e">
        <f t="shared" si="70"/>
        <v>#N/A</v>
      </c>
      <c r="DI8" s="40" t="e">
        <f t="shared" si="70"/>
        <v>#N/A</v>
      </c>
      <c r="DJ8" s="40" t="e">
        <f t="shared" si="70"/>
        <v>#N/A</v>
      </c>
      <c r="DK8" s="40" t="e">
        <f t="shared" si="70"/>
        <v>#N/A</v>
      </c>
      <c r="DL8" s="40" t="e">
        <f t="shared" si="70"/>
        <v>#N/A</v>
      </c>
      <c r="DM8" s="40" t="e">
        <f t="shared" si="70"/>
        <v>#N/A</v>
      </c>
      <c r="DN8" s="40" t="e">
        <f t="shared" si="70"/>
        <v>#N/A</v>
      </c>
      <c r="DO8" s="40" t="e">
        <f t="shared" si="70"/>
        <v>#N/A</v>
      </c>
      <c r="DP8" s="40" t="e">
        <f t="shared" si="70"/>
        <v>#N/A</v>
      </c>
      <c r="DQ8" s="40" t="e">
        <f t="shared" si="70"/>
        <v>#N/A</v>
      </c>
      <c r="DR8" s="40" t="e">
        <f t="shared" si="70"/>
        <v>#N/A</v>
      </c>
      <c r="DS8" s="40" t="e">
        <f t="shared" si="70"/>
        <v>#N/A</v>
      </c>
      <c r="DT8" s="40" t="e">
        <f t="shared" si="70"/>
        <v>#N/A</v>
      </c>
      <c r="DU8" s="40" t="e">
        <f t="shared" si="70"/>
        <v>#N/A</v>
      </c>
      <c r="DV8" s="40" t="e">
        <f t="shared" si="70"/>
        <v>#N/A</v>
      </c>
      <c r="DW8" s="40" t="e">
        <f t="shared" si="70"/>
        <v>#N/A</v>
      </c>
      <c r="DX8" s="40" t="e">
        <f t="shared" si="70"/>
        <v>#N/A</v>
      </c>
      <c r="DY8" s="40" t="e">
        <f t="shared" si="70"/>
        <v>#N/A</v>
      </c>
      <c r="DZ8" s="40" t="e">
        <f t="shared" si="70"/>
        <v>#N/A</v>
      </c>
      <c r="EA8" s="40" t="e">
        <f t="shared" si="70"/>
        <v>#N/A</v>
      </c>
      <c r="EB8" s="40" t="e">
        <f t="shared" si="70"/>
        <v>#N/A</v>
      </c>
      <c r="EC8" s="40" t="e">
        <f t="shared" si="70"/>
        <v>#N/A</v>
      </c>
      <c r="ED8" s="40" t="e">
        <f t="shared" si="70"/>
        <v>#N/A</v>
      </c>
      <c r="EE8" s="40" t="e">
        <f t="shared" si="70"/>
        <v>#N/A</v>
      </c>
      <c r="EF8" s="40" t="e">
        <f t="shared" si="70"/>
        <v>#N/A</v>
      </c>
      <c r="EG8" s="40" t="e">
        <f t="shared" si="70"/>
        <v>#N/A</v>
      </c>
      <c r="EH8" s="40" t="e">
        <f t="shared" si="70"/>
        <v>#N/A</v>
      </c>
      <c r="EI8" s="40" t="e">
        <f t="shared" si="70"/>
        <v>#N/A</v>
      </c>
      <c r="EJ8" s="40" t="e">
        <f t="shared" si="70"/>
        <v>#N/A</v>
      </c>
      <c r="EK8" s="40" t="e">
        <f t="shared" si="70"/>
        <v>#N/A</v>
      </c>
      <c r="EL8" s="40" t="e">
        <f t="shared" si="70"/>
        <v>#N/A</v>
      </c>
      <c r="EM8" s="40" t="e">
        <f t="shared" si="70"/>
        <v>#N/A</v>
      </c>
      <c r="EN8" s="40" t="e">
        <f t="shared" si="70"/>
        <v>#N/A</v>
      </c>
      <c r="EO8" s="40" t="e">
        <f t="shared" si="70"/>
        <v>#N/A</v>
      </c>
      <c r="EP8" s="40" t="e">
        <f t="shared" si="70"/>
        <v>#N/A</v>
      </c>
      <c r="EQ8" s="40" t="e">
        <f t="shared" ref="EQ8:HB8" si="71">SUM(EG7:EQ7)-EF7</f>
        <v>#N/A</v>
      </c>
      <c r="ER8" s="40" t="e">
        <f t="shared" si="71"/>
        <v>#N/A</v>
      </c>
      <c r="ES8" s="40" t="e">
        <f t="shared" si="71"/>
        <v>#N/A</v>
      </c>
      <c r="ET8" s="40" t="e">
        <f t="shared" si="71"/>
        <v>#N/A</v>
      </c>
      <c r="EU8" s="40" t="e">
        <f t="shared" si="71"/>
        <v>#N/A</v>
      </c>
      <c r="EV8" s="40" t="e">
        <f t="shared" si="71"/>
        <v>#N/A</v>
      </c>
      <c r="EW8" s="40" t="e">
        <f t="shared" si="71"/>
        <v>#N/A</v>
      </c>
      <c r="EX8" s="40" t="e">
        <f t="shared" si="71"/>
        <v>#N/A</v>
      </c>
      <c r="EY8" s="40" t="e">
        <f t="shared" si="71"/>
        <v>#N/A</v>
      </c>
      <c r="EZ8" s="40" t="e">
        <f t="shared" si="71"/>
        <v>#N/A</v>
      </c>
      <c r="FA8" s="40" t="e">
        <f t="shared" si="71"/>
        <v>#N/A</v>
      </c>
      <c r="FB8" s="40" t="e">
        <f t="shared" si="71"/>
        <v>#N/A</v>
      </c>
      <c r="FC8" s="40" t="e">
        <f t="shared" si="71"/>
        <v>#N/A</v>
      </c>
      <c r="FD8" s="40" t="e">
        <f t="shared" si="71"/>
        <v>#N/A</v>
      </c>
      <c r="FE8" s="40" t="e">
        <f t="shared" si="71"/>
        <v>#N/A</v>
      </c>
      <c r="FF8" s="40" t="e">
        <f t="shared" si="71"/>
        <v>#N/A</v>
      </c>
      <c r="FG8" s="40" t="e">
        <f t="shared" si="71"/>
        <v>#N/A</v>
      </c>
      <c r="FH8" s="40" t="e">
        <f t="shared" si="71"/>
        <v>#N/A</v>
      </c>
      <c r="FI8" s="40" t="e">
        <f t="shared" si="71"/>
        <v>#N/A</v>
      </c>
      <c r="FJ8" s="40" t="e">
        <f t="shared" si="71"/>
        <v>#N/A</v>
      </c>
      <c r="FK8" s="40" t="e">
        <f t="shared" si="71"/>
        <v>#N/A</v>
      </c>
      <c r="FL8" s="40" t="e">
        <f t="shared" si="71"/>
        <v>#N/A</v>
      </c>
      <c r="FM8" s="40" t="e">
        <f t="shared" si="71"/>
        <v>#N/A</v>
      </c>
      <c r="FN8" s="40" t="e">
        <f t="shared" si="71"/>
        <v>#N/A</v>
      </c>
      <c r="FO8" s="40" t="e">
        <f t="shared" si="71"/>
        <v>#N/A</v>
      </c>
      <c r="FP8" s="40" t="e">
        <f t="shared" si="71"/>
        <v>#N/A</v>
      </c>
      <c r="FQ8" s="40" t="e">
        <f t="shared" si="71"/>
        <v>#N/A</v>
      </c>
      <c r="FR8" s="40" t="e">
        <f t="shared" si="71"/>
        <v>#N/A</v>
      </c>
      <c r="FS8" s="40" t="e">
        <f t="shared" si="71"/>
        <v>#N/A</v>
      </c>
      <c r="FT8" s="40" t="e">
        <f t="shared" si="71"/>
        <v>#N/A</v>
      </c>
      <c r="FU8" s="40" t="e">
        <f t="shared" si="71"/>
        <v>#N/A</v>
      </c>
      <c r="FV8" s="40" t="e">
        <f t="shared" si="71"/>
        <v>#N/A</v>
      </c>
      <c r="FW8" s="40" t="e">
        <f t="shared" si="71"/>
        <v>#N/A</v>
      </c>
      <c r="FX8" s="40" t="e">
        <f t="shared" si="71"/>
        <v>#N/A</v>
      </c>
      <c r="FY8" s="40" t="e">
        <f t="shared" si="71"/>
        <v>#N/A</v>
      </c>
      <c r="FZ8" s="40" t="e">
        <f t="shared" si="71"/>
        <v>#N/A</v>
      </c>
      <c r="GA8" s="40" t="e">
        <f t="shared" si="71"/>
        <v>#N/A</v>
      </c>
      <c r="GB8" s="40" t="e">
        <f t="shared" si="71"/>
        <v>#N/A</v>
      </c>
      <c r="GC8" s="40" t="e">
        <f t="shared" si="71"/>
        <v>#N/A</v>
      </c>
      <c r="GD8" s="40" t="e">
        <f t="shared" si="71"/>
        <v>#N/A</v>
      </c>
      <c r="GE8" s="40" t="e">
        <f t="shared" si="71"/>
        <v>#N/A</v>
      </c>
      <c r="GF8" s="40" t="e">
        <f t="shared" si="71"/>
        <v>#N/A</v>
      </c>
      <c r="GG8" s="40" t="e">
        <f t="shared" si="71"/>
        <v>#N/A</v>
      </c>
      <c r="GH8" s="40" t="e">
        <f t="shared" si="71"/>
        <v>#N/A</v>
      </c>
      <c r="GI8" s="40" t="e">
        <f t="shared" si="71"/>
        <v>#N/A</v>
      </c>
      <c r="GJ8" s="40" t="e">
        <f t="shared" si="71"/>
        <v>#N/A</v>
      </c>
      <c r="GK8" s="40" t="e">
        <f t="shared" si="71"/>
        <v>#N/A</v>
      </c>
      <c r="GL8" s="40" t="e">
        <f t="shared" si="71"/>
        <v>#N/A</v>
      </c>
      <c r="GM8" s="40" t="e">
        <f t="shared" si="71"/>
        <v>#N/A</v>
      </c>
      <c r="GN8" s="40" t="e">
        <f t="shared" si="71"/>
        <v>#N/A</v>
      </c>
      <c r="GO8" s="40" t="e">
        <f t="shared" si="71"/>
        <v>#N/A</v>
      </c>
      <c r="GP8" s="40" t="e">
        <f t="shared" si="71"/>
        <v>#N/A</v>
      </c>
      <c r="GQ8" s="40" t="e">
        <f t="shared" si="71"/>
        <v>#N/A</v>
      </c>
      <c r="GR8" s="40" t="e">
        <f t="shared" si="71"/>
        <v>#N/A</v>
      </c>
      <c r="GS8" s="40" t="e">
        <f t="shared" si="71"/>
        <v>#N/A</v>
      </c>
      <c r="GT8" s="40" t="e">
        <f t="shared" si="71"/>
        <v>#N/A</v>
      </c>
      <c r="GU8" s="40" t="e">
        <f t="shared" si="71"/>
        <v>#N/A</v>
      </c>
      <c r="GV8" s="40" t="e">
        <f t="shared" si="71"/>
        <v>#N/A</v>
      </c>
      <c r="GW8" s="40" t="e">
        <f t="shared" si="71"/>
        <v>#N/A</v>
      </c>
      <c r="GX8" s="40" t="e">
        <f t="shared" si="71"/>
        <v>#N/A</v>
      </c>
      <c r="GY8" s="40" t="e">
        <f t="shared" si="71"/>
        <v>#N/A</v>
      </c>
      <c r="GZ8" s="40" t="e">
        <f t="shared" si="71"/>
        <v>#N/A</v>
      </c>
      <c r="HA8" s="40" t="e">
        <f t="shared" si="71"/>
        <v>#N/A</v>
      </c>
      <c r="HB8" s="40" t="e">
        <f t="shared" si="71"/>
        <v>#N/A</v>
      </c>
      <c r="HC8" s="40" t="e">
        <f t="shared" ref="HC8:IN8" si="72">SUM(GS7:HC7)-GR7</f>
        <v>#N/A</v>
      </c>
      <c r="HD8" s="40" t="e">
        <f t="shared" si="72"/>
        <v>#N/A</v>
      </c>
      <c r="HE8" s="40" t="e">
        <f t="shared" si="72"/>
        <v>#N/A</v>
      </c>
      <c r="HF8" s="40" t="e">
        <f t="shared" si="72"/>
        <v>#N/A</v>
      </c>
      <c r="HG8" s="40" t="e">
        <f t="shared" si="72"/>
        <v>#N/A</v>
      </c>
      <c r="HH8" s="40" t="e">
        <f t="shared" si="72"/>
        <v>#N/A</v>
      </c>
      <c r="HI8" s="40" t="e">
        <f t="shared" si="72"/>
        <v>#N/A</v>
      </c>
      <c r="HJ8" s="40" t="e">
        <f t="shared" si="72"/>
        <v>#N/A</v>
      </c>
      <c r="HK8" s="40" t="e">
        <f t="shared" si="72"/>
        <v>#N/A</v>
      </c>
      <c r="HL8" s="40" t="e">
        <f t="shared" si="72"/>
        <v>#N/A</v>
      </c>
      <c r="HM8" s="40" t="e">
        <f t="shared" si="72"/>
        <v>#N/A</v>
      </c>
      <c r="HN8" s="40" t="e">
        <f t="shared" si="72"/>
        <v>#N/A</v>
      </c>
      <c r="HO8" s="40" t="e">
        <f t="shared" si="72"/>
        <v>#N/A</v>
      </c>
      <c r="HP8" s="40" t="e">
        <f t="shared" si="72"/>
        <v>#N/A</v>
      </c>
      <c r="HQ8" s="40" t="e">
        <f t="shared" si="72"/>
        <v>#N/A</v>
      </c>
      <c r="HR8" s="40" t="e">
        <f t="shared" si="72"/>
        <v>#N/A</v>
      </c>
      <c r="HS8" s="40" t="e">
        <f t="shared" si="72"/>
        <v>#N/A</v>
      </c>
      <c r="HT8" s="40" t="e">
        <f t="shared" si="72"/>
        <v>#N/A</v>
      </c>
      <c r="HU8" s="40" t="e">
        <f t="shared" si="72"/>
        <v>#N/A</v>
      </c>
      <c r="HV8" s="40" t="e">
        <f t="shared" si="72"/>
        <v>#N/A</v>
      </c>
      <c r="HW8" s="40" t="e">
        <f t="shared" si="72"/>
        <v>#N/A</v>
      </c>
      <c r="HX8" s="40" t="e">
        <f t="shared" si="72"/>
        <v>#N/A</v>
      </c>
      <c r="HY8" s="40" t="e">
        <f t="shared" si="72"/>
        <v>#N/A</v>
      </c>
      <c r="HZ8" s="40" t="e">
        <f t="shared" si="72"/>
        <v>#N/A</v>
      </c>
      <c r="IA8" s="40" t="e">
        <f t="shared" si="72"/>
        <v>#N/A</v>
      </c>
      <c r="IB8" s="40" t="e">
        <f t="shared" si="72"/>
        <v>#N/A</v>
      </c>
      <c r="IC8" s="40" t="e">
        <f t="shared" si="72"/>
        <v>#N/A</v>
      </c>
      <c r="ID8" s="40" t="e">
        <f t="shared" si="72"/>
        <v>#N/A</v>
      </c>
      <c r="IE8" s="40" t="e">
        <f t="shared" si="72"/>
        <v>#N/A</v>
      </c>
      <c r="IF8" s="40" t="e">
        <f t="shared" si="72"/>
        <v>#N/A</v>
      </c>
      <c r="IG8" s="40" t="e">
        <f t="shared" si="72"/>
        <v>#N/A</v>
      </c>
      <c r="IH8" s="40" t="e">
        <f t="shared" si="72"/>
        <v>#N/A</v>
      </c>
      <c r="II8" s="40" t="e">
        <f t="shared" si="72"/>
        <v>#N/A</v>
      </c>
      <c r="IJ8" s="40" t="e">
        <f t="shared" si="72"/>
        <v>#N/A</v>
      </c>
      <c r="IK8" s="40" t="e">
        <f t="shared" si="72"/>
        <v>#N/A</v>
      </c>
      <c r="IL8" s="40" t="e">
        <f t="shared" si="72"/>
        <v>#N/A</v>
      </c>
      <c r="IM8" s="40" t="e">
        <f t="shared" si="72"/>
        <v>#N/A</v>
      </c>
      <c r="IN8" s="40" t="e">
        <f t="shared" si="72"/>
        <v>#N/A</v>
      </c>
    </row>
    <row r="9" spans="2:248" x14ac:dyDescent="0.3">
      <c r="B9" s="19" t="s">
        <v>574</v>
      </c>
      <c r="C9" s="85">
        <f ca="1">VLOOKUP(B2,Country_Data!C:P,14,FALSE)</f>
        <v>6</v>
      </c>
      <c r="F9" s="19" t="s">
        <v>585</v>
      </c>
      <c r="G9" s="40">
        <f t="shared" ref="G9:BP9" si="73">IF(IF(AND(ISNA(G$8),ISNA(F$8)),F9*(1+$C$11),IF(AND(F$8&gt;0,ISNA(G$8)),F9*(1+$C$11),G$8))&gt;$C$21,$C$21,IF(AND(ISNA(G$8),ISNA(F$8)),F9*(1+$C$11),IF(AND(F$8&gt;0,ISNA(G$8)),F9*(1+$C$11),G$8)))</f>
        <v>116</v>
      </c>
      <c r="H9" s="40">
        <f t="shared" ca="1" si="73"/>
        <v>164</v>
      </c>
      <c r="I9" s="40">
        <f t="shared" ca="1" si="73"/>
        <v>207</v>
      </c>
      <c r="J9" s="40">
        <f t="shared" ca="1" si="73"/>
        <v>274</v>
      </c>
      <c r="K9" s="40">
        <f t="shared" ca="1" si="73"/>
        <v>322</v>
      </c>
      <c r="L9" s="40">
        <f t="shared" ca="1" si="73"/>
        <v>384</v>
      </c>
      <c r="M9" s="40">
        <f t="shared" ca="1" si="73"/>
        <v>459</v>
      </c>
      <c r="N9" s="40">
        <f t="shared" ca="1" si="73"/>
        <v>588</v>
      </c>
      <c r="O9" s="40">
        <f t="shared" ca="1" si="73"/>
        <v>799</v>
      </c>
      <c r="P9" s="40">
        <f t="shared" ca="1" si="73"/>
        <v>1131</v>
      </c>
      <c r="Q9" s="40">
        <f t="shared" ca="1" si="73"/>
        <v>1328</v>
      </c>
      <c r="R9" s="40">
        <f t="shared" ca="1" si="73"/>
        <v>1271</v>
      </c>
      <c r="S9" s="40">
        <f t="shared" ref="S9" ca="1" si="74">IF(IF(AND(ISNA(R8),ISNA(R$8)),R9*(1+$C$11),IF(AND(R$8&gt;0,ISNA(S$8)),R9*(1+$C$11),S$8))&gt;$C$21,$C$21,IF(AND(ISNA(S$8),ISNA(R$8)),R9*(1+$C$11),IF(AND(R$8&gt;0,ISNA(S$8)),R9*(1+$C$11),S$8)))</f>
        <v>1685</v>
      </c>
      <c r="T9" s="40">
        <f ca="1">IF(IF(AND(ISNA(S8),ISNA(S$8)),S9*(1+$C$11),IF(AND(S$8&gt;0,ISNA(T$8)),S9*(1+$C$11),T$8))&gt;$C$21,$C$21,IF(AND(ISNA(T$8),ISNA(S$8)),S9*(1+$C$11),IF(AND(S$8&gt;0,ISNA(T$8)),S9*(1+$C$11),T$8)))</f>
        <v>2296</v>
      </c>
      <c r="U9" s="40">
        <f ca="1">IF(IF(AND(ISNA(T8),ISNA(T$8)),T9*(1+$C$11),IF(AND(T$8&gt;0,ISNA(U$8)),T9*(1+$C$11),U$8))&gt;$C$21,$C$21,IF(AND(ISNA(U$8),ISNA(T$8)),T9*(1+$C$11),IF(AND(T$8&gt;0,ISNA(U$8)),T9*(1+$C$11),U$8)))</f>
        <v>2245</v>
      </c>
      <c r="V9" s="40">
        <f t="shared" ca="1" si="73"/>
        <v>3474</v>
      </c>
      <c r="W9" s="40">
        <f t="shared" ca="1" si="73"/>
        <v>4395</v>
      </c>
      <c r="X9" s="40">
        <f t="shared" ca="1" si="73"/>
        <v>4937</v>
      </c>
      <c r="Y9" s="40">
        <f ca="1">IF(IF(AND(ISNA(Y$8),ISNA(X$8)),X9*(1+$C$11),IF(AND(X$8&gt;0,ISNA(Y$8)),X9*(1+$C$11),Y$8))&gt;$C$21,$C$21,IF(AND(ISNA(Y$8),ISNA(X$8)),X9*(1+$C$11),IF(AND(X$8&gt;0,ISNA(Y$8)),X9*(1+$C$11),Y$8)))</f>
        <v>5681</v>
      </c>
      <c r="Z9" s="40">
        <f t="shared" ca="1" si="73"/>
        <v>6739</v>
      </c>
      <c r="AA9" s="40">
        <f t="shared" ca="1" si="73"/>
        <v>7719</v>
      </c>
      <c r="AB9" s="40">
        <f t="shared" ca="1" si="73"/>
        <v>9715</v>
      </c>
      <c r="AC9" s="40">
        <f t="shared" ca="1" si="73"/>
        <v>11385.171842526624</v>
      </c>
      <c r="AD9" s="40">
        <f t="shared" ca="1" si="73"/>
        <v>13342.474306110253</v>
      </c>
      <c r="AE9" s="40">
        <f t="shared" ca="1" si="73"/>
        <v>15636.269972162781</v>
      </c>
      <c r="AF9" s="40">
        <f t="shared" ca="1" si="73"/>
        <v>18324.407679795397</v>
      </c>
      <c r="AG9" s="40">
        <f t="shared" ca="1" si="73"/>
        <v>21474.681456200226</v>
      </c>
      <c r="AH9" s="40">
        <f t="shared" ca="1" si="73"/>
        <v>25166.540261694234</v>
      </c>
      <c r="AI9" s="40">
        <f t="shared" ca="1" si="73"/>
        <v>29493.091668682842</v>
      </c>
      <c r="AJ9" s="40">
        <f t="shared" ca="1" si="73"/>
        <v>34563.450006726147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40505.488193222358</v>
      </c>
      <c r="AL9" s="40">
        <f t="shared" ca="1" si="73"/>
        <v>47469.062650053507</v>
      </c>
      <c r="AM9" s="40">
        <f t="shared" ca="1" si="73"/>
        <v>55629.792637624443</v>
      </c>
      <c r="AN9" s="40">
        <f t="shared" ca="1" si="73"/>
        <v>65193.489319966728</v>
      </c>
      <c r="AO9" s="40">
        <f t="shared" ca="1" si="73"/>
        <v>76401.346260601684</v>
      </c>
      <c r="AP9" s="40">
        <f t="shared" ca="1" si="73"/>
        <v>89536.022251912422</v>
      </c>
      <c r="AQ9" s="40">
        <f t="shared" ca="1" si="73"/>
        <v>104928.76988515806</v>
      </c>
      <c r="AR9" s="40">
        <f t="shared" ca="1" si="73"/>
        <v>122967.78964152931</v>
      </c>
      <c r="AS9" s="40">
        <f t="shared" ca="1" si="73"/>
        <v>144108.02019191731</v>
      </c>
      <c r="AT9" s="40">
        <f t="shared" ca="1" si="73"/>
        <v>168882.61181382145</v>
      </c>
      <c r="AU9" s="40">
        <f t="shared" ca="1" si="73"/>
        <v>197916.37228153108</v>
      </c>
      <c r="AV9" s="40">
        <f t="shared" ca="1" si="73"/>
        <v>231941.52433090113</v>
      </c>
      <c r="AW9" s="40">
        <f t="shared" ca="1" si="73"/>
        <v>271816.17209725984</v>
      </c>
      <c r="AX9" s="40">
        <f t="shared" ca="1" si="73"/>
        <v>318545.94224447699</v>
      </c>
      <c r="AY9" s="40">
        <f t="shared" ca="1" si="73"/>
        <v>373309.34556798066</v>
      </c>
      <c r="AZ9" s="40">
        <f t="shared" ca="1" si="73"/>
        <v>437487.4986837483</v>
      </c>
      <c r="BA9" s="40">
        <f t="shared" ca="1" si="73"/>
        <v>512698.95537535922</v>
      </c>
      <c r="BB9" s="40">
        <f t="shared" ca="1" si="73"/>
        <v>600840.5260352398</v>
      </c>
      <c r="BC9" s="40">
        <f t="shared" ca="1" si="73"/>
        <v>704135.11465417373</v>
      </c>
      <c r="BD9" s="40">
        <f t="shared" ca="1" si="73"/>
        <v>825187.77979361347</v>
      </c>
      <c r="BE9" s="40">
        <f t="shared" ca="1" si="73"/>
        <v>967051.43338170962</v>
      </c>
      <c r="BF9" s="40">
        <f t="shared" ca="1" si="73"/>
        <v>1133303.8342369997</v>
      </c>
      <c r="BG9" s="40">
        <f t="shared" ca="1" si="73"/>
        <v>1328137.8180733453</v>
      </c>
      <c r="BH9" s="40">
        <f t="shared" ca="1" si="73"/>
        <v>1556467.0395597941</v>
      </c>
      <c r="BI9" s="40">
        <f t="shared" ca="1" si="73"/>
        <v>1824049.8932184193</v>
      </c>
      <c r="BJ9" s="40">
        <f t="shared" ca="1" si="73"/>
        <v>2137634.7384080333</v>
      </c>
      <c r="BK9" s="40">
        <f t="shared" ca="1" si="73"/>
        <v>2505130.0909243342</v>
      </c>
      <c r="BL9" s="40">
        <f t="shared" ca="1" si="73"/>
        <v>2935804.0733976215</v>
      </c>
      <c r="BM9" s="40">
        <f t="shared" ca="1" si="73"/>
        <v>3440518.1545673255</v>
      </c>
      <c r="BN9" s="40">
        <f t="shared" ca="1" si="73"/>
        <v>4032001.0722677899</v>
      </c>
      <c r="BO9" s="40">
        <f t="shared" ca="1" si="73"/>
        <v>4725169.8483808953</v>
      </c>
      <c r="BP9" s="40">
        <f t="shared" ca="1" si="73"/>
        <v>5537505.9916564049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6489496.3761223853</v>
      </c>
      <c r="BR9" s="40">
        <f t="shared" ref="BR9:EC9" ca="1" si="75">IF(IF(AND(ISNA(BR$8),ISNA(BQ$8)),BQ9*(1+$C$11),IF(AND(BQ$8&gt;0,ISNA(BR$8)),BQ9*(1+$C$11),BR$8))&gt;$C$21,$C$21,IF(AND(ISNA(BR$8),ISNA(BQ$8)),BQ9*(1+$C$11),IF(AND(BQ$8&gt;0,ISNA(BR$8)),BQ9*(1+$C$11),BR$8)))</f>
        <v>7605149.9139070669</v>
      </c>
      <c r="BS9" s="40">
        <f t="shared" ca="1" si="75"/>
        <v>8912603.0528058186</v>
      </c>
      <c r="BT9" s="40">
        <f t="shared" ca="1" si="75"/>
        <v>10444829.369060386</v>
      </c>
      <c r="BU9" s="40">
        <f t="shared" ca="1" si="75"/>
        <v>12240471.15106757</v>
      </c>
      <c r="BV9" s="40">
        <f t="shared" ca="1" si="75"/>
        <v>14344813.946309209</v>
      </c>
      <c r="BW9" s="40">
        <f t="shared" ca="1" si="75"/>
        <v>16810928.649284903</v>
      </c>
      <c r="BX9" s="40">
        <f t="shared" ca="1" si="75"/>
        <v>19701009.933562804</v>
      </c>
      <c r="BY9" s="40">
        <f t="shared" ca="1" si="75"/>
        <v>23087944.782803558</v>
      </c>
      <c r="BZ9" s="40">
        <f t="shared" ca="1" si="75"/>
        <v>27057150.678639688</v>
      </c>
      <c r="CA9" s="40">
        <f t="shared" ca="1" si="75"/>
        <v>27154404.400000002</v>
      </c>
      <c r="CB9" s="40">
        <f t="shared" ca="1" si="75"/>
        <v>27154404.400000002</v>
      </c>
      <c r="CC9" s="40">
        <f t="shared" ca="1" si="75"/>
        <v>27154404.400000002</v>
      </c>
      <c r="CD9" s="40">
        <f t="shared" ca="1" si="75"/>
        <v>27154404.400000002</v>
      </c>
      <c r="CE9" s="40">
        <f t="shared" ca="1" si="75"/>
        <v>27154404.400000002</v>
      </c>
      <c r="CF9" s="40">
        <f t="shared" ca="1" si="75"/>
        <v>27154404.400000002</v>
      </c>
      <c r="CG9" s="40">
        <f t="shared" ca="1" si="75"/>
        <v>27154404.400000002</v>
      </c>
      <c r="CH9" s="40">
        <f t="shared" ca="1" si="75"/>
        <v>27154404.400000002</v>
      </c>
      <c r="CI9" s="40">
        <f t="shared" ca="1" si="75"/>
        <v>27154404.400000002</v>
      </c>
      <c r="CJ9" s="40">
        <f t="shared" ca="1" si="75"/>
        <v>27154404.400000002</v>
      </c>
      <c r="CK9" s="40">
        <f t="shared" ca="1" si="75"/>
        <v>27154404.400000002</v>
      </c>
      <c r="CL9" s="40">
        <f t="shared" ca="1" si="75"/>
        <v>27154404.400000002</v>
      </c>
      <c r="CM9" s="40">
        <f t="shared" ca="1" si="75"/>
        <v>27154404.400000002</v>
      </c>
      <c r="CN9" s="40">
        <f t="shared" ca="1" si="75"/>
        <v>27154404.400000002</v>
      </c>
      <c r="CO9" s="40">
        <f t="shared" ca="1" si="75"/>
        <v>27154404.400000002</v>
      </c>
      <c r="CP9" s="40">
        <f t="shared" ca="1" si="75"/>
        <v>27154404.400000002</v>
      </c>
      <c r="CQ9" s="40">
        <f t="shared" ca="1" si="75"/>
        <v>27154404.400000002</v>
      </c>
      <c r="CR9" s="40">
        <f t="shared" ca="1" si="75"/>
        <v>27154404.400000002</v>
      </c>
      <c r="CS9" s="40">
        <f t="shared" ca="1" si="75"/>
        <v>27154404.400000002</v>
      </c>
      <c r="CT9" s="40">
        <f t="shared" ca="1" si="75"/>
        <v>27154404.400000002</v>
      </c>
      <c r="CU9" s="40">
        <f t="shared" ca="1" si="75"/>
        <v>27154404.400000002</v>
      </c>
      <c r="CV9" s="40">
        <f t="shared" ca="1" si="75"/>
        <v>27154404.400000002</v>
      </c>
      <c r="CW9" s="40">
        <f t="shared" ca="1" si="75"/>
        <v>27154404.400000002</v>
      </c>
      <c r="CX9" s="40">
        <f t="shared" ca="1" si="75"/>
        <v>27154404.400000002</v>
      </c>
      <c r="CY9" s="40">
        <f t="shared" ca="1" si="75"/>
        <v>27154404.400000002</v>
      </c>
      <c r="CZ9" s="40">
        <f t="shared" ca="1" si="75"/>
        <v>27154404.400000002</v>
      </c>
      <c r="DA9" s="40">
        <f t="shared" ca="1" si="75"/>
        <v>27154404.400000002</v>
      </c>
      <c r="DB9" s="40">
        <f t="shared" ca="1" si="75"/>
        <v>27154404.400000002</v>
      </c>
      <c r="DC9" s="40">
        <f t="shared" ca="1" si="75"/>
        <v>27154404.400000002</v>
      </c>
      <c r="DD9" s="40">
        <f t="shared" ca="1" si="75"/>
        <v>27154404.400000002</v>
      </c>
      <c r="DE9" s="40">
        <f t="shared" ca="1" si="75"/>
        <v>27154404.400000002</v>
      </c>
      <c r="DF9" s="40">
        <f t="shared" ca="1" si="75"/>
        <v>27154404.400000002</v>
      </c>
      <c r="DG9" s="40">
        <f t="shared" ca="1" si="75"/>
        <v>27154404.400000002</v>
      </c>
      <c r="DH9" s="40">
        <f t="shared" ca="1" si="75"/>
        <v>27154404.400000002</v>
      </c>
      <c r="DI9" s="40">
        <f t="shared" ca="1" si="75"/>
        <v>27154404.400000002</v>
      </c>
      <c r="DJ9" s="40">
        <f t="shared" ca="1" si="75"/>
        <v>27154404.400000002</v>
      </c>
      <c r="DK9" s="40">
        <f t="shared" ca="1" si="75"/>
        <v>27154404.400000002</v>
      </c>
      <c r="DL9" s="40">
        <f t="shared" ca="1" si="75"/>
        <v>27154404.400000002</v>
      </c>
      <c r="DM9" s="40">
        <f t="shared" ca="1" si="75"/>
        <v>27154404.400000002</v>
      </c>
      <c r="DN9" s="40">
        <f t="shared" ca="1" si="75"/>
        <v>27154404.400000002</v>
      </c>
      <c r="DO9" s="40">
        <f t="shared" ca="1" si="75"/>
        <v>27154404.400000002</v>
      </c>
      <c r="DP9" s="40">
        <f t="shared" ca="1" si="75"/>
        <v>27154404.400000002</v>
      </c>
      <c r="DQ9" s="40">
        <f t="shared" ca="1" si="75"/>
        <v>27154404.400000002</v>
      </c>
      <c r="DR9" s="40">
        <f t="shared" ca="1" si="75"/>
        <v>27154404.400000002</v>
      </c>
      <c r="DS9" s="40">
        <f t="shared" ca="1" si="75"/>
        <v>27154404.400000002</v>
      </c>
      <c r="DT9" s="40">
        <f t="shared" ca="1" si="75"/>
        <v>27154404.400000002</v>
      </c>
      <c r="DU9" s="40">
        <f t="shared" ca="1" si="75"/>
        <v>27154404.400000002</v>
      </c>
      <c r="DV9" s="40">
        <f t="shared" ca="1" si="75"/>
        <v>27154404.400000002</v>
      </c>
      <c r="DW9" s="40">
        <f t="shared" ca="1" si="75"/>
        <v>27154404.400000002</v>
      </c>
      <c r="DX9" s="40">
        <f t="shared" ca="1" si="75"/>
        <v>27154404.400000002</v>
      </c>
      <c r="DY9" s="40">
        <f t="shared" ca="1" si="75"/>
        <v>27154404.400000002</v>
      </c>
      <c r="DZ9" s="40">
        <f t="shared" ca="1" si="75"/>
        <v>27154404.400000002</v>
      </c>
      <c r="EA9" s="40">
        <f t="shared" ca="1" si="75"/>
        <v>27154404.400000002</v>
      </c>
      <c r="EB9" s="40">
        <f t="shared" ca="1" si="75"/>
        <v>27154404.400000002</v>
      </c>
      <c r="EC9" s="40">
        <f t="shared" ca="1" si="75"/>
        <v>27154404.400000002</v>
      </c>
      <c r="ED9" s="40">
        <f t="shared" ref="ED9:GO9" ca="1" si="76">IF(IF(AND(ISNA(ED$8),ISNA(EC$8)),EC9*(1+$C$11),IF(AND(EC$8&gt;0,ISNA(ED$8)),EC9*(1+$C$11),ED$8))&gt;$C$21,$C$21,IF(AND(ISNA(ED$8),ISNA(EC$8)),EC9*(1+$C$11),IF(AND(EC$8&gt;0,ISNA(ED$8)),EC9*(1+$C$11),ED$8)))</f>
        <v>27154404.400000002</v>
      </c>
      <c r="EE9" s="40">
        <f t="shared" ca="1" si="76"/>
        <v>27154404.400000002</v>
      </c>
      <c r="EF9" s="40">
        <f t="shared" ca="1" si="76"/>
        <v>27154404.400000002</v>
      </c>
      <c r="EG9" s="40">
        <f t="shared" ca="1" si="76"/>
        <v>27154404.400000002</v>
      </c>
      <c r="EH9" s="40">
        <f t="shared" ca="1" si="76"/>
        <v>27154404.400000002</v>
      </c>
      <c r="EI9" s="40">
        <f t="shared" ca="1" si="76"/>
        <v>27154404.400000002</v>
      </c>
      <c r="EJ9" s="40">
        <f t="shared" ca="1" si="76"/>
        <v>27154404.400000002</v>
      </c>
      <c r="EK9" s="40">
        <f t="shared" ca="1" si="76"/>
        <v>27154404.400000002</v>
      </c>
      <c r="EL9" s="40">
        <f t="shared" ca="1" si="76"/>
        <v>27154404.400000002</v>
      </c>
      <c r="EM9" s="40">
        <f t="shared" ca="1" si="76"/>
        <v>27154404.400000002</v>
      </c>
      <c r="EN9" s="40">
        <f t="shared" ca="1" si="76"/>
        <v>27154404.400000002</v>
      </c>
      <c r="EO9" s="40">
        <f t="shared" ca="1" si="76"/>
        <v>27154404.400000002</v>
      </c>
      <c r="EP9" s="40">
        <f t="shared" ca="1" si="76"/>
        <v>27154404.400000002</v>
      </c>
      <c r="EQ9" s="40">
        <f t="shared" ca="1" si="76"/>
        <v>27154404.400000002</v>
      </c>
      <c r="ER9" s="40">
        <f t="shared" ca="1" si="76"/>
        <v>27154404.400000002</v>
      </c>
      <c r="ES9" s="40">
        <f t="shared" ca="1" si="76"/>
        <v>27154404.400000002</v>
      </c>
      <c r="ET9" s="40">
        <f t="shared" ca="1" si="76"/>
        <v>27154404.400000002</v>
      </c>
      <c r="EU9" s="40">
        <f t="shared" ca="1" si="76"/>
        <v>27154404.400000002</v>
      </c>
      <c r="EV9" s="40">
        <f t="shared" ca="1" si="76"/>
        <v>27154404.400000002</v>
      </c>
      <c r="EW9" s="40">
        <f t="shared" ca="1" si="76"/>
        <v>27154404.400000002</v>
      </c>
      <c r="EX9" s="40">
        <f t="shared" ca="1" si="76"/>
        <v>27154404.400000002</v>
      </c>
      <c r="EY9" s="40">
        <f t="shared" ca="1" si="76"/>
        <v>27154404.400000002</v>
      </c>
      <c r="EZ9" s="40">
        <f t="shared" ca="1" si="76"/>
        <v>27154404.400000002</v>
      </c>
      <c r="FA9" s="40">
        <f t="shared" ca="1" si="76"/>
        <v>27154404.400000002</v>
      </c>
      <c r="FB9" s="40">
        <f t="shared" ca="1" si="76"/>
        <v>27154404.400000002</v>
      </c>
      <c r="FC9" s="40">
        <f t="shared" ca="1" si="76"/>
        <v>27154404.400000002</v>
      </c>
      <c r="FD9" s="40">
        <f t="shared" ca="1" si="76"/>
        <v>27154404.400000002</v>
      </c>
      <c r="FE9" s="40">
        <f t="shared" ca="1" si="76"/>
        <v>27154404.400000002</v>
      </c>
      <c r="FF9" s="40">
        <f t="shared" ca="1" si="76"/>
        <v>27154404.400000002</v>
      </c>
      <c r="FG9" s="40">
        <f t="shared" ca="1" si="76"/>
        <v>27154404.400000002</v>
      </c>
      <c r="FH9" s="40">
        <f t="shared" ca="1" si="76"/>
        <v>27154404.400000002</v>
      </c>
      <c r="FI9" s="40">
        <f t="shared" ca="1" si="76"/>
        <v>27154404.400000002</v>
      </c>
      <c r="FJ9" s="40">
        <f t="shared" ca="1" si="76"/>
        <v>27154404.400000002</v>
      </c>
      <c r="FK9" s="40">
        <f t="shared" ca="1" si="76"/>
        <v>27154404.400000002</v>
      </c>
      <c r="FL9" s="40">
        <f t="shared" ca="1" si="76"/>
        <v>27154404.400000002</v>
      </c>
      <c r="FM9" s="40">
        <f t="shared" ca="1" si="76"/>
        <v>27154404.400000002</v>
      </c>
      <c r="FN9" s="40">
        <f t="shared" ca="1" si="76"/>
        <v>27154404.400000002</v>
      </c>
      <c r="FO9" s="40">
        <f t="shared" ca="1" si="76"/>
        <v>27154404.400000002</v>
      </c>
      <c r="FP9" s="40">
        <f t="shared" ca="1" si="76"/>
        <v>27154404.400000002</v>
      </c>
      <c r="FQ9" s="40">
        <f t="shared" ca="1" si="76"/>
        <v>27154404.400000002</v>
      </c>
      <c r="FR9" s="40">
        <f t="shared" ca="1" si="76"/>
        <v>27154404.400000002</v>
      </c>
      <c r="FS9" s="40">
        <f t="shared" ca="1" si="76"/>
        <v>27154404.400000002</v>
      </c>
      <c r="FT9" s="40">
        <f t="shared" ca="1" si="76"/>
        <v>27154404.400000002</v>
      </c>
      <c r="FU9" s="40">
        <f t="shared" ca="1" si="76"/>
        <v>27154404.400000002</v>
      </c>
      <c r="FV9" s="40">
        <f t="shared" ca="1" si="76"/>
        <v>27154404.400000002</v>
      </c>
      <c r="FW9" s="40">
        <f t="shared" ca="1" si="76"/>
        <v>27154404.400000002</v>
      </c>
      <c r="FX9" s="40">
        <f t="shared" ca="1" si="76"/>
        <v>27154404.400000002</v>
      </c>
      <c r="FY9" s="40">
        <f t="shared" ca="1" si="76"/>
        <v>27154404.400000002</v>
      </c>
      <c r="FZ9" s="40">
        <f t="shared" ca="1" si="76"/>
        <v>27154404.400000002</v>
      </c>
      <c r="GA9" s="40">
        <f t="shared" ca="1" si="76"/>
        <v>27154404.400000002</v>
      </c>
      <c r="GB9" s="40">
        <f t="shared" ca="1" si="76"/>
        <v>27154404.400000002</v>
      </c>
      <c r="GC9" s="40">
        <f t="shared" ca="1" si="76"/>
        <v>27154404.400000002</v>
      </c>
      <c r="GD9" s="40">
        <f t="shared" ca="1" si="76"/>
        <v>27154404.400000002</v>
      </c>
      <c r="GE9" s="40">
        <f t="shared" ca="1" si="76"/>
        <v>27154404.400000002</v>
      </c>
      <c r="GF9" s="40">
        <f t="shared" ca="1" si="76"/>
        <v>27154404.400000002</v>
      </c>
      <c r="GG9" s="40">
        <f t="shared" ca="1" si="76"/>
        <v>27154404.400000002</v>
      </c>
      <c r="GH9" s="40">
        <f t="shared" ca="1" si="76"/>
        <v>27154404.400000002</v>
      </c>
      <c r="GI9" s="40">
        <f t="shared" ca="1" si="76"/>
        <v>27154404.400000002</v>
      </c>
      <c r="GJ9" s="40">
        <f t="shared" ca="1" si="76"/>
        <v>27154404.400000002</v>
      </c>
      <c r="GK9" s="40">
        <f t="shared" ca="1" si="76"/>
        <v>27154404.400000002</v>
      </c>
      <c r="GL9" s="40">
        <f t="shared" ca="1" si="76"/>
        <v>27154404.400000002</v>
      </c>
      <c r="GM9" s="40">
        <f t="shared" ca="1" si="76"/>
        <v>27154404.400000002</v>
      </c>
      <c r="GN9" s="40">
        <f t="shared" ca="1" si="76"/>
        <v>27154404.400000002</v>
      </c>
      <c r="GO9" s="40">
        <f t="shared" ca="1" si="76"/>
        <v>27154404.400000002</v>
      </c>
      <c r="GP9" s="40">
        <f t="shared" ref="GP9:IN9" ca="1" si="77">IF(IF(AND(ISNA(GP$8),ISNA(GO$8)),GO9*(1+$C$11),IF(AND(GO$8&gt;0,ISNA(GP$8)),GO9*(1+$C$11),GP$8))&gt;$C$21,$C$21,IF(AND(ISNA(GP$8),ISNA(GO$8)),GO9*(1+$C$11),IF(AND(GO$8&gt;0,ISNA(GP$8)),GO9*(1+$C$11),GP$8)))</f>
        <v>27154404.400000002</v>
      </c>
      <c r="GQ9" s="40">
        <f t="shared" ca="1" si="77"/>
        <v>27154404.400000002</v>
      </c>
      <c r="GR9" s="40">
        <f t="shared" ca="1" si="77"/>
        <v>27154404.400000002</v>
      </c>
      <c r="GS9" s="40">
        <f t="shared" ca="1" si="77"/>
        <v>27154404.400000002</v>
      </c>
      <c r="GT9" s="40">
        <f t="shared" ca="1" si="77"/>
        <v>27154404.400000002</v>
      </c>
      <c r="GU9" s="40">
        <f t="shared" ca="1" si="77"/>
        <v>27154404.400000002</v>
      </c>
      <c r="GV9" s="40">
        <f t="shared" ca="1" si="77"/>
        <v>27154404.400000002</v>
      </c>
      <c r="GW9" s="40">
        <f t="shared" ca="1" si="77"/>
        <v>27154404.400000002</v>
      </c>
      <c r="GX9" s="40">
        <f t="shared" ca="1" si="77"/>
        <v>27154404.400000002</v>
      </c>
      <c r="GY9" s="40">
        <f t="shared" ca="1" si="77"/>
        <v>27154404.400000002</v>
      </c>
      <c r="GZ9" s="40">
        <f t="shared" ca="1" si="77"/>
        <v>27154404.400000002</v>
      </c>
      <c r="HA9" s="40">
        <f t="shared" ca="1" si="77"/>
        <v>27154404.400000002</v>
      </c>
      <c r="HB9" s="40">
        <f t="shared" ca="1" si="77"/>
        <v>27154404.400000002</v>
      </c>
      <c r="HC9" s="40">
        <f t="shared" ca="1" si="77"/>
        <v>27154404.400000002</v>
      </c>
      <c r="HD9" s="40">
        <f t="shared" ca="1" si="77"/>
        <v>27154404.400000002</v>
      </c>
      <c r="HE9" s="40">
        <f t="shared" ca="1" si="77"/>
        <v>27154404.400000002</v>
      </c>
      <c r="HF9" s="40">
        <f t="shared" ca="1" si="77"/>
        <v>27154404.400000002</v>
      </c>
      <c r="HG9" s="40">
        <f t="shared" ca="1" si="77"/>
        <v>27154404.400000002</v>
      </c>
      <c r="HH9" s="40">
        <f t="shared" ca="1" si="77"/>
        <v>27154404.400000002</v>
      </c>
      <c r="HI9" s="40">
        <f t="shared" ca="1" si="77"/>
        <v>27154404.400000002</v>
      </c>
      <c r="HJ9" s="40">
        <f t="shared" ca="1" si="77"/>
        <v>27154404.400000002</v>
      </c>
      <c r="HK9" s="40">
        <f t="shared" ca="1" si="77"/>
        <v>27154404.400000002</v>
      </c>
      <c r="HL9" s="40">
        <f t="shared" ca="1" si="77"/>
        <v>27154404.400000002</v>
      </c>
      <c r="HM9" s="40">
        <f t="shared" ca="1" si="77"/>
        <v>27154404.400000002</v>
      </c>
      <c r="HN9" s="40">
        <f t="shared" ca="1" si="77"/>
        <v>27154404.400000002</v>
      </c>
      <c r="HO9" s="40">
        <f t="shared" ca="1" si="77"/>
        <v>27154404.400000002</v>
      </c>
      <c r="HP9" s="40">
        <f t="shared" ca="1" si="77"/>
        <v>27154404.400000002</v>
      </c>
      <c r="HQ9" s="40">
        <f t="shared" ca="1" si="77"/>
        <v>27154404.400000002</v>
      </c>
      <c r="HR9" s="40">
        <f t="shared" ca="1" si="77"/>
        <v>27154404.400000002</v>
      </c>
      <c r="HS9" s="40">
        <f t="shared" ca="1" si="77"/>
        <v>27154404.400000002</v>
      </c>
      <c r="HT9" s="40">
        <f t="shared" ca="1" si="77"/>
        <v>27154404.400000002</v>
      </c>
      <c r="HU9" s="40">
        <f t="shared" ca="1" si="77"/>
        <v>27154404.400000002</v>
      </c>
      <c r="HV9" s="40">
        <f t="shared" ca="1" si="77"/>
        <v>27154404.400000002</v>
      </c>
      <c r="HW9" s="40">
        <f t="shared" ca="1" si="77"/>
        <v>27154404.400000002</v>
      </c>
      <c r="HX9" s="40">
        <f t="shared" ca="1" si="77"/>
        <v>27154404.400000002</v>
      </c>
      <c r="HY9" s="40">
        <f t="shared" ca="1" si="77"/>
        <v>27154404.400000002</v>
      </c>
      <c r="HZ9" s="40">
        <f t="shared" ca="1" si="77"/>
        <v>27154404.400000002</v>
      </c>
      <c r="IA9" s="40">
        <f t="shared" ca="1" si="77"/>
        <v>27154404.400000002</v>
      </c>
      <c r="IB9" s="40">
        <f t="shared" ca="1" si="77"/>
        <v>27154404.400000002</v>
      </c>
      <c r="IC9" s="40">
        <f t="shared" ca="1" si="77"/>
        <v>27154404.400000002</v>
      </c>
      <c r="ID9" s="40">
        <f t="shared" ca="1" si="77"/>
        <v>27154404.400000002</v>
      </c>
      <c r="IE9" s="40">
        <f t="shared" ca="1" si="77"/>
        <v>27154404.400000002</v>
      </c>
      <c r="IF9" s="40">
        <f t="shared" ca="1" si="77"/>
        <v>27154404.400000002</v>
      </c>
      <c r="IG9" s="40">
        <f t="shared" ca="1" si="77"/>
        <v>27154404.400000002</v>
      </c>
      <c r="IH9" s="40">
        <f t="shared" ca="1" si="77"/>
        <v>27154404.400000002</v>
      </c>
      <c r="II9" s="40">
        <f t="shared" ca="1" si="77"/>
        <v>27154404.400000002</v>
      </c>
      <c r="IJ9" s="40">
        <f t="shared" ca="1" si="77"/>
        <v>27154404.400000002</v>
      </c>
      <c r="IK9" s="40">
        <f t="shared" ca="1" si="77"/>
        <v>27154404.400000002</v>
      </c>
      <c r="IL9" s="40">
        <f t="shared" ca="1" si="77"/>
        <v>27154404.400000002</v>
      </c>
      <c r="IM9" s="40">
        <f t="shared" ca="1" si="77"/>
        <v>27154404.400000002</v>
      </c>
      <c r="IN9" s="40">
        <f t="shared" ca="1" si="77"/>
        <v>27154404.400000002</v>
      </c>
    </row>
    <row r="10" spans="2:248" x14ac:dyDescent="0.3">
      <c r="B10" s="19" t="s">
        <v>451</v>
      </c>
      <c r="C10" s="19">
        <v>5</v>
      </c>
      <c r="E10" s="19">
        <v>0.1</v>
      </c>
      <c r="F10" s="19" t="s">
        <v>492</v>
      </c>
      <c r="G10" s="40">
        <f>IF(IF(AND(ISNA(G$8),ISNA(F$8)),F10*(1+$E$10),IF(AND(F$8&gt;0,ISNA(G$8)),F10*(1+$E$10),G$8))&gt;$C$21,$C$21,IF(AND(ISNA(G$8),ISNA(F$8)),F10*(1+$E$10),IF(AND(F$8&gt;0,ISNA(G$8)),F10*(1+$E$10),G$8)))</f>
        <v>116</v>
      </c>
      <c r="H10" s="40">
        <f t="shared" ref="H10" ca="1" si="78">IF(IF(AND(ISNA(H$8),ISNA(G$8)),G10*(1+$E$10),IF(AND(G$8&gt;0,ISNA(H$8)),G10*(1+$E$10),H$8))&gt;$C$21,$C$21,IF(AND(ISNA(H$8),ISNA(G$8)),G10*(1+$E$10),IF(AND(G$8&gt;0,ISNA(H$8)),G10*(1+$E$10),H$8)))</f>
        <v>164</v>
      </c>
      <c r="I10" s="40">
        <f t="shared" ref="I10:BT10" ca="1" si="79">IF(IF(AND(ISNA(I$8),ISNA(H$8)),H10*(1+$E$10),IF(AND(H$8&gt;0,ISNA(I$8)),H10*(1+$E$10),I$8))&gt;$C$21,$C$21,IF(AND(ISNA(I$8),ISNA(H$8)),H10*(1+$E$10),IF(AND(H$8&gt;0,ISNA(I$8)),H10*(1+$E$10),I$8)))</f>
        <v>207</v>
      </c>
      <c r="J10" s="40">
        <f t="shared" ca="1" si="79"/>
        <v>274</v>
      </c>
      <c r="K10" s="40">
        <f t="shared" ca="1" si="79"/>
        <v>322</v>
      </c>
      <c r="L10" s="40">
        <f t="shared" ca="1" si="79"/>
        <v>384</v>
      </c>
      <c r="M10" s="40">
        <f t="shared" ca="1" si="79"/>
        <v>459</v>
      </c>
      <c r="N10" s="40">
        <f t="shared" ca="1" si="79"/>
        <v>588</v>
      </c>
      <c r="O10" s="40">
        <f t="shared" ca="1" si="79"/>
        <v>799</v>
      </c>
      <c r="P10" s="40">
        <f t="shared" ca="1" si="79"/>
        <v>1131</v>
      </c>
      <c r="Q10" s="40">
        <f t="shared" ca="1" si="79"/>
        <v>1328</v>
      </c>
      <c r="R10" s="40">
        <f t="shared" ca="1" si="79"/>
        <v>1271</v>
      </c>
      <c r="S10" s="40">
        <f t="shared" ca="1" si="79"/>
        <v>1685</v>
      </c>
      <c r="T10" s="40">
        <f t="shared" ca="1" si="79"/>
        <v>2296</v>
      </c>
      <c r="U10" s="40">
        <f t="shared" ca="1" si="79"/>
        <v>2245</v>
      </c>
      <c r="V10" s="40">
        <f t="shared" ca="1" si="79"/>
        <v>3474</v>
      </c>
      <c r="W10" s="40">
        <f t="shared" ca="1" si="79"/>
        <v>4395</v>
      </c>
      <c r="X10" s="40">
        <f t="shared" ca="1" si="79"/>
        <v>4937</v>
      </c>
      <c r="Y10" s="40">
        <f t="shared" ca="1" si="79"/>
        <v>5681</v>
      </c>
      <c r="Z10" s="40">
        <f t="shared" ca="1" si="79"/>
        <v>6739</v>
      </c>
      <c r="AA10" s="40">
        <f t="shared" ca="1" si="79"/>
        <v>7719</v>
      </c>
      <c r="AB10" s="40">
        <f t="shared" ca="1" si="79"/>
        <v>9715</v>
      </c>
      <c r="AC10" s="40">
        <f t="shared" ca="1" si="79"/>
        <v>10686.5</v>
      </c>
      <c r="AD10" s="40">
        <f t="shared" ca="1" si="79"/>
        <v>11755.150000000001</v>
      </c>
      <c r="AE10" s="40">
        <f t="shared" ca="1" si="79"/>
        <v>12930.665000000003</v>
      </c>
      <c r="AF10" s="40">
        <f t="shared" ca="1" si="79"/>
        <v>14223.731500000004</v>
      </c>
      <c r="AG10" s="40">
        <f t="shared" ca="1" si="79"/>
        <v>15646.104650000005</v>
      </c>
      <c r="AH10" s="40">
        <f t="shared" ca="1" si="79"/>
        <v>17210.715115000006</v>
      </c>
      <c r="AI10" s="40">
        <f t="shared" ca="1" si="79"/>
        <v>18931.786626500008</v>
      </c>
      <c r="AJ10" s="40">
        <f t="shared" ca="1" si="79"/>
        <v>20824.965289150012</v>
      </c>
      <c r="AK10" s="40">
        <f t="shared" ca="1" si="79"/>
        <v>22907.461818065014</v>
      </c>
      <c r="AL10" s="40">
        <f t="shared" ca="1" si="79"/>
        <v>25198.207999871516</v>
      </c>
      <c r="AM10" s="40">
        <f t="shared" ca="1" si="79"/>
        <v>27718.028799858672</v>
      </c>
      <c r="AN10" s="40">
        <f t="shared" ca="1" si="79"/>
        <v>30489.831679844541</v>
      </c>
      <c r="AO10" s="40">
        <f t="shared" ca="1" si="79"/>
        <v>33538.814847828995</v>
      </c>
      <c r="AP10" s="40">
        <f t="shared" ca="1" si="79"/>
        <v>36892.6963326119</v>
      </c>
      <c r="AQ10" s="40">
        <f t="shared" ca="1" si="79"/>
        <v>40581.965965873096</v>
      </c>
      <c r="AR10" s="40">
        <f t="shared" ca="1" si="79"/>
        <v>44640.162562460406</v>
      </c>
      <c r="AS10" s="40">
        <f t="shared" ca="1" si="79"/>
        <v>49104.178818706452</v>
      </c>
      <c r="AT10" s="40">
        <f t="shared" ca="1" si="79"/>
        <v>54014.596700577102</v>
      </c>
      <c r="AU10" s="40">
        <f t="shared" ca="1" si="79"/>
        <v>59416.056370634818</v>
      </c>
      <c r="AV10" s="40">
        <f t="shared" ca="1" si="79"/>
        <v>65357.662007698309</v>
      </c>
      <c r="AW10" s="40">
        <f t="shared" ca="1" si="79"/>
        <v>71893.428208468147</v>
      </c>
      <c r="AX10" s="40">
        <f t="shared" ca="1" si="79"/>
        <v>79082.771029314972</v>
      </c>
      <c r="AY10" s="40">
        <f t="shared" ca="1" si="79"/>
        <v>86991.048132246477</v>
      </c>
      <c r="AZ10" s="40">
        <f t="shared" ca="1" si="79"/>
        <v>95690.152945471127</v>
      </c>
      <c r="BA10" s="40">
        <f t="shared" ca="1" si="79"/>
        <v>105259.16824001825</v>
      </c>
      <c r="BB10" s="40">
        <f t="shared" ca="1" si="79"/>
        <v>115785.08506402008</v>
      </c>
      <c r="BC10" s="40">
        <f t="shared" ca="1" si="79"/>
        <v>127363.5935704221</v>
      </c>
      <c r="BD10" s="40">
        <f t="shared" ca="1" si="79"/>
        <v>140099.95292746433</v>
      </c>
      <c r="BE10" s="40">
        <f t="shared" ca="1" si="79"/>
        <v>154109.94822021076</v>
      </c>
      <c r="BF10" s="40">
        <f t="shared" ca="1" si="79"/>
        <v>169520.94304223184</v>
      </c>
      <c r="BG10" s="40">
        <f t="shared" ca="1" si="79"/>
        <v>186473.03734645504</v>
      </c>
      <c r="BH10" s="40">
        <f t="shared" ca="1" si="79"/>
        <v>205120.34108110055</v>
      </c>
      <c r="BI10" s="40">
        <f t="shared" ca="1" si="79"/>
        <v>225632.37518921061</v>
      </c>
      <c r="BJ10" s="40">
        <f t="shared" ca="1" si="79"/>
        <v>248195.6127081317</v>
      </c>
      <c r="BK10" s="40">
        <f t="shared" ca="1" si="79"/>
        <v>273015.17397894489</v>
      </c>
      <c r="BL10" s="40">
        <f t="shared" ca="1" si="79"/>
        <v>300316.69137683942</v>
      </c>
      <c r="BM10" s="40">
        <f t="shared" ca="1" si="79"/>
        <v>330348.3605145234</v>
      </c>
      <c r="BN10" s="40">
        <f t="shared" ca="1" si="79"/>
        <v>363383.19656597578</v>
      </c>
      <c r="BO10" s="40">
        <f t="shared" ca="1" si="79"/>
        <v>399721.51622257341</v>
      </c>
      <c r="BP10" s="40">
        <f t="shared" ca="1" si="79"/>
        <v>439693.66784483078</v>
      </c>
      <c r="BQ10" s="40">
        <f t="shared" ca="1" si="79"/>
        <v>483663.03462931392</v>
      </c>
      <c r="BR10" s="40">
        <f t="shared" ca="1" si="79"/>
        <v>532029.33809224539</v>
      </c>
      <c r="BS10" s="40">
        <f t="shared" ca="1" si="79"/>
        <v>585232.27190147003</v>
      </c>
      <c r="BT10" s="40">
        <f t="shared" ca="1" si="79"/>
        <v>643755.49909161706</v>
      </c>
      <c r="BU10" s="40">
        <f t="shared" ref="BU10:EF10" ca="1" si="80">IF(IF(AND(ISNA(BU$8),ISNA(BT$8)),BT10*(1+$E$10),IF(AND(BT$8&gt;0,ISNA(BU$8)),BT10*(1+$E$10),BU$8))&gt;$C$21,$C$21,IF(AND(ISNA(BU$8),ISNA(BT$8)),BT10*(1+$E$10),IF(AND(BT$8&gt;0,ISNA(BU$8)),BT10*(1+$E$10),BU$8)))</f>
        <v>708131.04900077882</v>
      </c>
      <c r="BV10" s="40">
        <f t="shared" ca="1" si="80"/>
        <v>778944.15390085673</v>
      </c>
      <c r="BW10" s="40">
        <f t="shared" ca="1" si="80"/>
        <v>856838.56929094251</v>
      </c>
      <c r="BX10" s="40">
        <f t="shared" ca="1" si="80"/>
        <v>942522.42622003681</v>
      </c>
      <c r="BY10" s="40">
        <f t="shared" ca="1" si="80"/>
        <v>1036774.6688420406</v>
      </c>
      <c r="BZ10" s="40">
        <f t="shared" ca="1" si="80"/>
        <v>1140452.1357262447</v>
      </c>
      <c r="CA10" s="40">
        <f t="shared" ca="1" si="80"/>
        <v>1254497.3492988693</v>
      </c>
      <c r="CB10" s="40">
        <f t="shared" ca="1" si="80"/>
        <v>1379947.0842287564</v>
      </c>
      <c r="CC10" s="40">
        <f t="shared" ca="1" si="80"/>
        <v>1517941.7926516321</v>
      </c>
      <c r="CD10" s="40">
        <f t="shared" ca="1" si="80"/>
        <v>1669735.9719167955</v>
      </c>
      <c r="CE10" s="40">
        <f t="shared" ca="1" si="80"/>
        <v>1836709.5691084752</v>
      </c>
      <c r="CF10" s="40">
        <f t="shared" ca="1" si="80"/>
        <v>2020380.5260193229</v>
      </c>
      <c r="CG10" s="40">
        <f t="shared" ca="1" si="80"/>
        <v>2222418.5786212552</v>
      </c>
      <c r="CH10" s="40">
        <f t="shared" ca="1" si="80"/>
        <v>2444660.4364833809</v>
      </c>
      <c r="CI10" s="40">
        <f t="shared" ca="1" si="80"/>
        <v>2689126.4801317193</v>
      </c>
      <c r="CJ10" s="40">
        <f t="shared" ca="1" si="80"/>
        <v>2958039.1281448915</v>
      </c>
      <c r="CK10" s="40">
        <f t="shared" ca="1" si="80"/>
        <v>3253843.040959381</v>
      </c>
      <c r="CL10" s="40">
        <f t="shared" ca="1" si="80"/>
        <v>3579227.3450553194</v>
      </c>
      <c r="CM10" s="40">
        <f t="shared" ca="1" si="80"/>
        <v>3937150.0795608517</v>
      </c>
      <c r="CN10" s="40">
        <f t="shared" ca="1" si="80"/>
        <v>4330865.0875169374</v>
      </c>
      <c r="CO10" s="40">
        <f t="shared" ca="1" si="80"/>
        <v>4763951.5962686315</v>
      </c>
      <c r="CP10" s="40">
        <f t="shared" ca="1" si="80"/>
        <v>5240346.7558954954</v>
      </c>
      <c r="CQ10" s="40">
        <f t="shared" ca="1" si="80"/>
        <v>5764381.4314850457</v>
      </c>
      <c r="CR10" s="40">
        <f t="shared" ca="1" si="80"/>
        <v>6340819.5746335508</v>
      </c>
      <c r="CS10" s="40">
        <f t="shared" ca="1" si="80"/>
        <v>6974901.5320969066</v>
      </c>
      <c r="CT10" s="40">
        <f t="shared" ca="1" si="80"/>
        <v>7672391.6853065975</v>
      </c>
      <c r="CU10" s="40">
        <f t="shared" ca="1" si="80"/>
        <v>8439630.8538372573</v>
      </c>
      <c r="CV10" s="40">
        <f t="shared" ca="1" si="80"/>
        <v>9283593.9392209835</v>
      </c>
      <c r="CW10" s="40">
        <f t="shared" ca="1" si="80"/>
        <v>10211953.333143083</v>
      </c>
      <c r="CX10" s="40">
        <f t="shared" ca="1" si="80"/>
        <v>11233148.666457392</v>
      </c>
      <c r="CY10" s="40">
        <f t="shared" ca="1" si="80"/>
        <v>12356463.533103133</v>
      </c>
      <c r="CZ10" s="40">
        <f t="shared" ca="1" si="80"/>
        <v>13592109.886413448</v>
      </c>
      <c r="DA10" s="40">
        <f t="shared" ca="1" si="80"/>
        <v>14951320.875054793</v>
      </c>
      <c r="DB10" s="40">
        <f t="shared" ca="1" si="80"/>
        <v>16446452.962560274</v>
      </c>
      <c r="DC10" s="40">
        <f t="shared" ca="1" si="80"/>
        <v>18091098.258816302</v>
      </c>
      <c r="DD10" s="40">
        <f t="shared" ca="1" si="80"/>
        <v>19900208.084697932</v>
      </c>
      <c r="DE10" s="40">
        <f t="shared" ca="1" si="80"/>
        <v>21890228.893167727</v>
      </c>
      <c r="DF10" s="40">
        <f t="shared" ca="1" si="80"/>
        <v>24079251.782484502</v>
      </c>
      <c r="DG10" s="40">
        <f t="shared" ca="1" si="80"/>
        <v>26487176.960732955</v>
      </c>
      <c r="DH10" s="40">
        <f t="shared" ca="1" si="80"/>
        <v>27154404.400000002</v>
      </c>
      <c r="DI10" s="40">
        <f t="shared" ca="1" si="80"/>
        <v>27154404.400000002</v>
      </c>
      <c r="DJ10" s="40">
        <f t="shared" ca="1" si="80"/>
        <v>27154404.400000002</v>
      </c>
      <c r="DK10" s="40">
        <f t="shared" ca="1" si="80"/>
        <v>27154404.400000002</v>
      </c>
      <c r="DL10" s="40">
        <f t="shared" ca="1" si="80"/>
        <v>27154404.400000002</v>
      </c>
      <c r="DM10" s="40">
        <f t="shared" ca="1" si="80"/>
        <v>27154404.400000002</v>
      </c>
      <c r="DN10" s="40">
        <f t="shared" ca="1" si="80"/>
        <v>27154404.400000002</v>
      </c>
      <c r="DO10" s="40">
        <f t="shared" ca="1" si="80"/>
        <v>27154404.400000002</v>
      </c>
      <c r="DP10" s="40">
        <f t="shared" ca="1" si="80"/>
        <v>27154404.400000002</v>
      </c>
      <c r="DQ10" s="40">
        <f t="shared" ca="1" si="80"/>
        <v>27154404.400000002</v>
      </c>
      <c r="DR10" s="40">
        <f t="shared" ca="1" si="80"/>
        <v>27154404.400000002</v>
      </c>
      <c r="DS10" s="40">
        <f t="shared" ca="1" si="80"/>
        <v>27154404.400000002</v>
      </c>
      <c r="DT10" s="40">
        <f t="shared" ca="1" si="80"/>
        <v>27154404.400000002</v>
      </c>
      <c r="DU10" s="40">
        <f t="shared" ca="1" si="80"/>
        <v>27154404.400000002</v>
      </c>
      <c r="DV10" s="40">
        <f t="shared" ca="1" si="80"/>
        <v>27154404.400000002</v>
      </c>
      <c r="DW10" s="40">
        <f t="shared" ca="1" si="80"/>
        <v>27154404.400000002</v>
      </c>
      <c r="DX10" s="40">
        <f t="shared" ca="1" si="80"/>
        <v>27154404.400000002</v>
      </c>
      <c r="DY10" s="40">
        <f t="shared" ca="1" si="80"/>
        <v>27154404.400000002</v>
      </c>
      <c r="DZ10" s="40">
        <f t="shared" ca="1" si="80"/>
        <v>27154404.400000002</v>
      </c>
      <c r="EA10" s="40">
        <f t="shared" ca="1" si="80"/>
        <v>27154404.400000002</v>
      </c>
      <c r="EB10" s="40">
        <f t="shared" ca="1" si="80"/>
        <v>27154404.400000002</v>
      </c>
      <c r="EC10" s="40">
        <f t="shared" ca="1" si="80"/>
        <v>27154404.400000002</v>
      </c>
      <c r="ED10" s="40">
        <f t="shared" ca="1" si="80"/>
        <v>27154404.400000002</v>
      </c>
      <c r="EE10" s="40">
        <f t="shared" ca="1" si="80"/>
        <v>27154404.400000002</v>
      </c>
      <c r="EF10" s="40">
        <f t="shared" ca="1" si="80"/>
        <v>27154404.400000002</v>
      </c>
      <c r="EG10" s="40">
        <f t="shared" ref="EG10:GR10" ca="1" si="81">IF(IF(AND(ISNA(EG$8),ISNA(EF$8)),EF10*(1+$E$10),IF(AND(EF$8&gt;0,ISNA(EG$8)),EF10*(1+$E$10),EG$8))&gt;$C$21,$C$21,IF(AND(ISNA(EG$8),ISNA(EF$8)),EF10*(1+$E$10),IF(AND(EF$8&gt;0,ISNA(EG$8)),EF10*(1+$E$10),EG$8)))</f>
        <v>27154404.400000002</v>
      </c>
      <c r="EH10" s="40">
        <f t="shared" ca="1" si="81"/>
        <v>27154404.400000002</v>
      </c>
      <c r="EI10" s="40">
        <f t="shared" ca="1" si="81"/>
        <v>27154404.400000002</v>
      </c>
      <c r="EJ10" s="40">
        <f t="shared" ca="1" si="81"/>
        <v>27154404.400000002</v>
      </c>
      <c r="EK10" s="40">
        <f t="shared" ca="1" si="81"/>
        <v>27154404.400000002</v>
      </c>
      <c r="EL10" s="40">
        <f t="shared" ca="1" si="81"/>
        <v>27154404.400000002</v>
      </c>
      <c r="EM10" s="40">
        <f t="shared" ca="1" si="81"/>
        <v>27154404.400000002</v>
      </c>
      <c r="EN10" s="40">
        <f t="shared" ca="1" si="81"/>
        <v>27154404.400000002</v>
      </c>
      <c r="EO10" s="40">
        <f t="shared" ca="1" si="81"/>
        <v>27154404.400000002</v>
      </c>
      <c r="EP10" s="40">
        <f t="shared" ca="1" si="81"/>
        <v>27154404.400000002</v>
      </c>
      <c r="EQ10" s="40">
        <f t="shared" ca="1" si="81"/>
        <v>27154404.400000002</v>
      </c>
      <c r="ER10" s="40">
        <f t="shared" ca="1" si="81"/>
        <v>27154404.400000002</v>
      </c>
      <c r="ES10" s="40">
        <f t="shared" ca="1" si="81"/>
        <v>27154404.400000002</v>
      </c>
      <c r="ET10" s="40">
        <f t="shared" ca="1" si="81"/>
        <v>27154404.400000002</v>
      </c>
      <c r="EU10" s="40">
        <f t="shared" ca="1" si="81"/>
        <v>27154404.400000002</v>
      </c>
      <c r="EV10" s="40">
        <f t="shared" ca="1" si="81"/>
        <v>27154404.400000002</v>
      </c>
      <c r="EW10" s="40">
        <f t="shared" ca="1" si="81"/>
        <v>27154404.400000002</v>
      </c>
      <c r="EX10" s="40">
        <f t="shared" ca="1" si="81"/>
        <v>27154404.400000002</v>
      </c>
      <c r="EY10" s="40">
        <f t="shared" ca="1" si="81"/>
        <v>27154404.400000002</v>
      </c>
      <c r="EZ10" s="40">
        <f t="shared" ca="1" si="81"/>
        <v>27154404.400000002</v>
      </c>
      <c r="FA10" s="40">
        <f t="shared" ca="1" si="81"/>
        <v>27154404.400000002</v>
      </c>
      <c r="FB10" s="40">
        <f t="shared" ca="1" si="81"/>
        <v>27154404.400000002</v>
      </c>
      <c r="FC10" s="40">
        <f t="shared" ca="1" si="81"/>
        <v>27154404.400000002</v>
      </c>
      <c r="FD10" s="40">
        <f t="shared" ca="1" si="81"/>
        <v>27154404.400000002</v>
      </c>
      <c r="FE10" s="40">
        <f t="shared" ca="1" si="81"/>
        <v>27154404.400000002</v>
      </c>
      <c r="FF10" s="40">
        <f t="shared" ca="1" si="81"/>
        <v>27154404.400000002</v>
      </c>
      <c r="FG10" s="40">
        <f t="shared" ca="1" si="81"/>
        <v>27154404.400000002</v>
      </c>
      <c r="FH10" s="40">
        <f t="shared" ca="1" si="81"/>
        <v>27154404.400000002</v>
      </c>
      <c r="FI10" s="40">
        <f t="shared" ca="1" si="81"/>
        <v>27154404.400000002</v>
      </c>
      <c r="FJ10" s="40">
        <f t="shared" ca="1" si="81"/>
        <v>27154404.400000002</v>
      </c>
      <c r="FK10" s="40">
        <f t="shared" ca="1" si="81"/>
        <v>27154404.400000002</v>
      </c>
      <c r="FL10" s="40">
        <f t="shared" ca="1" si="81"/>
        <v>27154404.400000002</v>
      </c>
      <c r="FM10" s="40">
        <f t="shared" ca="1" si="81"/>
        <v>27154404.400000002</v>
      </c>
      <c r="FN10" s="40">
        <f t="shared" ca="1" si="81"/>
        <v>27154404.400000002</v>
      </c>
      <c r="FO10" s="40">
        <f t="shared" ca="1" si="81"/>
        <v>27154404.400000002</v>
      </c>
      <c r="FP10" s="40">
        <f t="shared" ca="1" si="81"/>
        <v>27154404.400000002</v>
      </c>
      <c r="FQ10" s="40">
        <f t="shared" ca="1" si="81"/>
        <v>27154404.400000002</v>
      </c>
      <c r="FR10" s="40">
        <f t="shared" ca="1" si="81"/>
        <v>27154404.400000002</v>
      </c>
      <c r="FS10" s="40">
        <f t="shared" ca="1" si="81"/>
        <v>27154404.400000002</v>
      </c>
      <c r="FT10" s="40">
        <f t="shared" ca="1" si="81"/>
        <v>27154404.400000002</v>
      </c>
      <c r="FU10" s="40">
        <f t="shared" ca="1" si="81"/>
        <v>27154404.400000002</v>
      </c>
      <c r="FV10" s="40">
        <f t="shared" ca="1" si="81"/>
        <v>27154404.400000002</v>
      </c>
      <c r="FW10" s="40">
        <f t="shared" ca="1" si="81"/>
        <v>27154404.400000002</v>
      </c>
      <c r="FX10" s="40">
        <f t="shared" ca="1" si="81"/>
        <v>27154404.400000002</v>
      </c>
      <c r="FY10" s="40">
        <f t="shared" ca="1" si="81"/>
        <v>27154404.400000002</v>
      </c>
      <c r="FZ10" s="40">
        <f t="shared" ca="1" si="81"/>
        <v>27154404.400000002</v>
      </c>
      <c r="GA10" s="40">
        <f t="shared" ca="1" si="81"/>
        <v>27154404.400000002</v>
      </c>
      <c r="GB10" s="40">
        <f t="shared" ca="1" si="81"/>
        <v>27154404.400000002</v>
      </c>
      <c r="GC10" s="40">
        <f t="shared" ca="1" si="81"/>
        <v>27154404.400000002</v>
      </c>
      <c r="GD10" s="40">
        <f t="shared" ca="1" si="81"/>
        <v>27154404.400000002</v>
      </c>
      <c r="GE10" s="40">
        <f t="shared" ca="1" si="81"/>
        <v>27154404.400000002</v>
      </c>
      <c r="GF10" s="40">
        <f t="shared" ca="1" si="81"/>
        <v>27154404.400000002</v>
      </c>
      <c r="GG10" s="40">
        <f t="shared" ca="1" si="81"/>
        <v>27154404.400000002</v>
      </c>
      <c r="GH10" s="40">
        <f t="shared" ca="1" si="81"/>
        <v>27154404.400000002</v>
      </c>
      <c r="GI10" s="40">
        <f t="shared" ca="1" si="81"/>
        <v>27154404.400000002</v>
      </c>
      <c r="GJ10" s="40">
        <f t="shared" ca="1" si="81"/>
        <v>27154404.400000002</v>
      </c>
      <c r="GK10" s="40">
        <f t="shared" ca="1" si="81"/>
        <v>27154404.400000002</v>
      </c>
      <c r="GL10" s="40">
        <f t="shared" ca="1" si="81"/>
        <v>27154404.400000002</v>
      </c>
      <c r="GM10" s="40">
        <f t="shared" ca="1" si="81"/>
        <v>27154404.400000002</v>
      </c>
      <c r="GN10" s="40">
        <f t="shared" ca="1" si="81"/>
        <v>27154404.400000002</v>
      </c>
      <c r="GO10" s="40">
        <f t="shared" ca="1" si="81"/>
        <v>27154404.400000002</v>
      </c>
      <c r="GP10" s="40">
        <f t="shared" ca="1" si="81"/>
        <v>27154404.400000002</v>
      </c>
      <c r="GQ10" s="40">
        <f t="shared" ca="1" si="81"/>
        <v>27154404.400000002</v>
      </c>
      <c r="GR10" s="40">
        <f t="shared" ca="1" si="81"/>
        <v>27154404.400000002</v>
      </c>
      <c r="GS10" s="40">
        <f t="shared" ref="GS10:IN10" ca="1" si="82">IF(IF(AND(ISNA(GS$8),ISNA(GR$8)),GR10*(1+$E$10),IF(AND(GR$8&gt;0,ISNA(GS$8)),GR10*(1+$E$10),GS$8))&gt;$C$21,$C$21,IF(AND(ISNA(GS$8),ISNA(GR$8)),GR10*(1+$E$10),IF(AND(GR$8&gt;0,ISNA(GS$8)),GR10*(1+$E$10),GS$8)))</f>
        <v>27154404.400000002</v>
      </c>
      <c r="GT10" s="40">
        <f t="shared" ca="1" si="82"/>
        <v>27154404.400000002</v>
      </c>
      <c r="GU10" s="40">
        <f t="shared" ca="1" si="82"/>
        <v>27154404.400000002</v>
      </c>
      <c r="GV10" s="40">
        <f t="shared" ca="1" si="82"/>
        <v>27154404.400000002</v>
      </c>
      <c r="GW10" s="40">
        <f t="shared" ca="1" si="82"/>
        <v>27154404.400000002</v>
      </c>
      <c r="GX10" s="40">
        <f t="shared" ca="1" si="82"/>
        <v>27154404.400000002</v>
      </c>
      <c r="GY10" s="40">
        <f t="shared" ca="1" si="82"/>
        <v>27154404.400000002</v>
      </c>
      <c r="GZ10" s="40">
        <f t="shared" ca="1" si="82"/>
        <v>27154404.400000002</v>
      </c>
      <c r="HA10" s="40">
        <f t="shared" ca="1" si="82"/>
        <v>27154404.400000002</v>
      </c>
      <c r="HB10" s="40">
        <f t="shared" ca="1" si="82"/>
        <v>27154404.400000002</v>
      </c>
      <c r="HC10" s="40">
        <f t="shared" ca="1" si="82"/>
        <v>27154404.400000002</v>
      </c>
      <c r="HD10" s="40">
        <f t="shared" ca="1" si="82"/>
        <v>27154404.400000002</v>
      </c>
      <c r="HE10" s="40">
        <f t="shared" ca="1" si="82"/>
        <v>27154404.400000002</v>
      </c>
      <c r="HF10" s="40">
        <f t="shared" ca="1" si="82"/>
        <v>27154404.400000002</v>
      </c>
      <c r="HG10" s="40">
        <f t="shared" ca="1" si="82"/>
        <v>27154404.400000002</v>
      </c>
      <c r="HH10" s="40">
        <f t="shared" ca="1" si="82"/>
        <v>27154404.400000002</v>
      </c>
      <c r="HI10" s="40">
        <f t="shared" ca="1" si="82"/>
        <v>27154404.400000002</v>
      </c>
      <c r="HJ10" s="40">
        <f t="shared" ca="1" si="82"/>
        <v>27154404.400000002</v>
      </c>
      <c r="HK10" s="40">
        <f t="shared" ca="1" si="82"/>
        <v>27154404.400000002</v>
      </c>
      <c r="HL10" s="40">
        <f t="shared" ca="1" si="82"/>
        <v>27154404.400000002</v>
      </c>
      <c r="HM10" s="40">
        <f t="shared" ca="1" si="82"/>
        <v>27154404.400000002</v>
      </c>
      <c r="HN10" s="40">
        <f t="shared" ca="1" si="82"/>
        <v>27154404.400000002</v>
      </c>
      <c r="HO10" s="40">
        <f t="shared" ca="1" si="82"/>
        <v>27154404.400000002</v>
      </c>
      <c r="HP10" s="40">
        <f t="shared" ca="1" si="82"/>
        <v>27154404.400000002</v>
      </c>
      <c r="HQ10" s="40">
        <f t="shared" ca="1" si="82"/>
        <v>27154404.400000002</v>
      </c>
      <c r="HR10" s="40">
        <f t="shared" ca="1" si="82"/>
        <v>27154404.400000002</v>
      </c>
      <c r="HS10" s="40">
        <f t="shared" ca="1" si="82"/>
        <v>27154404.400000002</v>
      </c>
      <c r="HT10" s="40">
        <f t="shared" ca="1" si="82"/>
        <v>27154404.400000002</v>
      </c>
      <c r="HU10" s="40">
        <f t="shared" ca="1" si="82"/>
        <v>27154404.400000002</v>
      </c>
      <c r="HV10" s="40">
        <f t="shared" ca="1" si="82"/>
        <v>27154404.400000002</v>
      </c>
      <c r="HW10" s="40">
        <f t="shared" ca="1" si="82"/>
        <v>27154404.400000002</v>
      </c>
      <c r="HX10" s="40">
        <f t="shared" ca="1" si="82"/>
        <v>27154404.400000002</v>
      </c>
      <c r="HY10" s="40">
        <f t="shared" ca="1" si="82"/>
        <v>27154404.400000002</v>
      </c>
      <c r="HZ10" s="40">
        <f t="shared" ca="1" si="82"/>
        <v>27154404.400000002</v>
      </c>
      <c r="IA10" s="40">
        <f t="shared" ca="1" si="82"/>
        <v>27154404.400000002</v>
      </c>
      <c r="IB10" s="40">
        <f t="shared" ca="1" si="82"/>
        <v>27154404.400000002</v>
      </c>
      <c r="IC10" s="40">
        <f t="shared" ca="1" si="82"/>
        <v>27154404.400000002</v>
      </c>
      <c r="ID10" s="40">
        <f t="shared" ca="1" si="82"/>
        <v>27154404.400000002</v>
      </c>
      <c r="IE10" s="40">
        <f t="shared" ca="1" si="82"/>
        <v>27154404.400000002</v>
      </c>
      <c r="IF10" s="40">
        <f t="shared" ca="1" si="82"/>
        <v>27154404.400000002</v>
      </c>
      <c r="IG10" s="40">
        <f t="shared" ca="1" si="82"/>
        <v>27154404.400000002</v>
      </c>
      <c r="IH10" s="40">
        <f t="shared" ca="1" si="82"/>
        <v>27154404.400000002</v>
      </c>
      <c r="II10" s="40">
        <f t="shared" ca="1" si="82"/>
        <v>27154404.400000002</v>
      </c>
      <c r="IJ10" s="40">
        <f t="shared" ca="1" si="82"/>
        <v>27154404.400000002</v>
      </c>
      <c r="IK10" s="40">
        <f t="shared" ca="1" si="82"/>
        <v>27154404.400000002</v>
      </c>
      <c r="IL10" s="40">
        <f t="shared" ca="1" si="82"/>
        <v>27154404.400000002</v>
      </c>
      <c r="IM10" s="40">
        <f t="shared" ca="1" si="82"/>
        <v>27154404.400000002</v>
      </c>
      <c r="IN10" s="40">
        <f t="shared" ca="1" si="82"/>
        <v>27154404.400000002</v>
      </c>
    </row>
    <row r="11" spans="2:248" x14ac:dyDescent="0.3">
      <c r="B11" s="19" t="s">
        <v>527</v>
      </c>
      <c r="C11" s="53">
        <f ca="1">(HLOOKUP(C5-1,G4:IN8,5,FALSE)/HLOOKUP(C5-1-C10,G4:IN8,5,FALSE))^(1/C10)-1</f>
        <v>0.17191681343557641</v>
      </c>
      <c r="E11" s="19">
        <v>0.25</v>
      </c>
      <c r="F11" s="19" t="s">
        <v>495</v>
      </c>
      <c r="G11" s="40">
        <f t="shared" ref="G11" si="83">IF(IF(AND(ISNA(G$8),ISNA(F$8)),F11*(1+$E$11),IF(AND(F$8&gt;0,ISNA(G$8)),F11*(1+$E$11),G$8))&gt;$C$21,$C$21,IF(AND(ISNA(G$8),ISNA(F$8)),F11*(1+$E$11),IF(AND(F$8&gt;0,ISNA(G$8)),F11*(1+$E$11),G$8)))</f>
        <v>116</v>
      </c>
      <c r="H11" s="40">
        <f t="shared" ref="H11" ca="1" si="84">IF(IF(AND(ISNA(H$8),ISNA(G$8)),G11*(1+$E$11),IF(AND(G$8&gt;0,ISNA(H$8)),G11*(1+$E$11),H$8))&gt;$C$21,$C$21,IF(AND(ISNA(H$8),ISNA(G$8)),G11*(1+$E$11),IF(AND(G$8&gt;0,ISNA(H$8)),G11*(1+$E$11),H$8)))</f>
        <v>164</v>
      </c>
      <c r="I11" s="40">
        <f t="shared" ref="I11:BT11" ca="1" si="85">IF(IF(AND(ISNA(I$8),ISNA(H$8)),H11*(1+$E$11),IF(AND(H$8&gt;0,ISNA(I$8)),H11*(1+$E$11),I$8))&gt;$C$21,$C$21,IF(AND(ISNA(I$8),ISNA(H$8)),H11*(1+$E$11),IF(AND(H$8&gt;0,ISNA(I$8)),H11*(1+$E$11),I$8)))</f>
        <v>207</v>
      </c>
      <c r="J11" s="40">
        <f t="shared" ca="1" si="85"/>
        <v>274</v>
      </c>
      <c r="K11" s="40">
        <f t="shared" ca="1" si="85"/>
        <v>322</v>
      </c>
      <c r="L11" s="40">
        <f t="shared" ca="1" si="85"/>
        <v>384</v>
      </c>
      <c r="M11" s="40">
        <f t="shared" ca="1" si="85"/>
        <v>459</v>
      </c>
      <c r="N11" s="40">
        <f t="shared" ca="1" si="85"/>
        <v>588</v>
      </c>
      <c r="O11" s="40">
        <f t="shared" ca="1" si="85"/>
        <v>799</v>
      </c>
      <c r="P11" s="40">
        <f t="shared" ca="1" si="85"/>
        <v>1131</v>
      </c>
      <c r="Q11" s="40">
        <f t="shared" ca="1" si="85"/>
        <v>1328</v>
      </c>
      <c r="R11" s="40">
        <f t="shared" ca="1" si="85"/>
        <v>1271</v>
      </c>
      <c r="S11" s="40">
        <f t="shared" ca="1" si="85"/>
        <v>1685</v>
      </c>
      <c r="T11" s="40">
        <f t="shared" ca="1" si="85"/>
        <v>2296</v>
      </c>
      <c r="U11" s="40">
        <f t="shared" ca="1" si="85"/>
        <v>2245</v>
      </c>
      <c r="V11" s="40">
        <f t="shared" ca="1" si="85"/>
        <v>3474</v>
      </c>
      <c r="W11" s="40">
        <f t="shared" ca="1" si="85"/>
        <v>4395</v>
      </c>
      <c r="X11" s="40">
        <f t="shared" ca="1" si="85"/>
        <v>4937</v>
      </c>
      <c r="Y11" s="40">
        <f t="shared" ca="1" si="85"/>
        <v>5681</v>
      </c>
      <c r="Z11" s="40">
        <f t="shared" ca="1" si="85"/>
        <v>6739</v>
      </c>
      <c r="AA11" s="40">
        <f t="shared" ca="1" si="85"/>
        <v>7719</v>
      </c>
      <c r="AB11" s="40">
        <f t="shared" ca="1" si="85"/>
        <v>9715</v>
      </c>
      <c r="AC11" s="40">
        <f t="shared" ca="1" si="85"/>
        <v>12143.75</v>
      </c>
      <c r="AD11" s="40">
        <f t="shared" ca="1" si="85"/>
        <v>15179.6875</v>
      </c>
      <c r="AE11" s="40">
        <f t="shared" ca="1" si="85"/>
        <v>18974.609375</v>
      </c>
      <c r="AF11" s="40">
        <f t="shared" ca="1" si="85"/>
        <v>23718.26171875</v>
      </c>
      <c r="AG11" s="40">
        <f t="shared" ca="1" si="85"/>
        <v>29647.8271484375</v>
      </c>
      <c r="AH11" s="40">
        <f t="shared" ca="1" si="85"/>
        <v>37059.783935546875</v>
      </c>
      <c r="AI11" s="40">
        <f t="shared" ca="1" si="85"/>
        <v>46324.729919433594</v>
      </c>
      <c r="AJ11" s="40">
        <f t="shared" ca="1" si="85"/>
        <v>57905.912399291992</v>
      </c>
      <c r="AK11" s="40">
        <f t="shared" ca="1" si="85"/>
        <v>72382.39049911499</v>
      </c>
      <c r="AL11" s="40">
        <f t="shared" ca="1" si="85"/>
        <v>90477.988123893738</v>
      </c>
      <c r="AM11" s="40">
        <f t="shared" ca="1" si="85"/>
        <v>113097.48515486717</v>
      </c>
      <c r="AN11" s="40">
        <f t="shared" ca="1" si="85"/>
        <v>141371.85644358397</v>
      </c>
      <c r="AO11" s="40">
        <f t="shared" ca="1" si="85"/>
        <v>176714.82055447996</v>
      </c>
      <c r="AP11" s="40">
        <f t="shared" ca="1" si="85"/>
        <v>220893.52569309995</v>
      </c>
      <c r="AQ11" s="40">
        <f t="shared" ca="1" si="85"/>
        <v>276116.90711637493</v>
      </c>
      <c r="AR11" s="40">
        <f t="shared" ca="1" si="85"/>
        <v>345146.13389546867</v>
      </c>
      <c r="AS11" s="40">
        <f t="shared" ca="1" si="85"/>
        <v>431432.66736933583</v>
      </c>
      <c r="AT11" s="40">
        <f t="shared" ca="1" si="85"/>
        <v>539290.83421166975</v>
      </c>
      <c r="AU11" s="40">
        <f t="shared" ca="1" si="85"/>
        <v>674113.54276458721</v>
      </c>
      <c r="AV11" s="40">
        <f t="shared" ca="1" si="85"/>
        <v>842641.92845573404</v>
      </c>
      <c r="AW11" s="40">
        <f t="shared" ca="1" si="85"/>
        <v>1053302.4105696676</v>
      </c>
      <c r="AX11" s="40">
        <f t="shared" ca="1" si="85"/>
        <v>1316628.0132120845</v>
      </c>
      <c r="AY11" s="40">
        <f t="shared" ca="1" si="85"/>
        <v>1645785.0165151057</v>
      </c>
      <c r="AZ11" s="40">
        <f t="shared" ca="1" si="85"/>
        <v>2057231.2706438822</v>
      </c>
      <c r="BA11" s="40">
        <f t="shared" ca="1" si="85"/>
        <v>2571539.0883048526</v>
      </c>
      <c r="BB11" s="40">
        <f t="shared" ca="1" si="85"/>
        <v>3214423.8603810659</v>
      </c>
      <c r="BC11" s="40">
        <f t="shared" ca="1" si="85"/>
        <v>4018029.8254763326</v>
      </c>
      <c r="BD11" s="40">
        <f t="shared" ca="1" si="85"/>
        <v>5022537.2818454159</v>
      </c>
      <c r="BE11" s="40">
        <f t="shared" ca="1" si="85"/>
        <v>6278171.6023067702</v>
      </c>
      <c r="BF11" s="40">
        <f t="shared" ca="1" si="85"/>
        <v>7847714.5028834622</v>
      </c>
      <c r="BG11" s="40">
        <f t="shared" ca="1" si="85"/>
        <v>9809643.1286043283</v>
      </c>
      <c r="BH11" s="40">
        <f t="shared" ca="1" si="85"/>
        <v>12262053.910755411</v>
      </c>
      <c r="BI11" s="40">
        <f t="shared" ca="1" si="85"/>
        <v>15327567.388444263</v>
      </c>
      <c r="BJ11" s="40">
        <f t="shared" ca="1" si="85"/>
        <v>19159459.235555328</v>
      </c>
      <c r="BK11" s="40">
        <f t="shared" ca="1" si="85"/>
        <v>23949324.044444159</v>
      </c>
      <c r="BL11" s="40">
        <f t="shared" ca="1" si="85"/>
        <v>27154404.400000002</v>
      </c>
      <c r="BM11" s="40">
        <f t="shared" ca="1" si="85"/>
        <v>27154404.400000002</v>
      </c>
      <c r="BN11" s="40">
        <f t="shared" ca="1" si="85"/>
        <v>27154404.400000002</v>
      </c>
      <c r="BO11" s="40">
        <f t="shared" ca="1" si="85"/>
        <v>27154404.400000002</v>
      </c>
      <c r="BP11" s="40">
        <f t="shared" ca="1" si="85"/>
        <v>27154404.400000002</v>
      </c>
      <c r="BQ11" s="40">
        <f t="shared" ca="1" si="85"/>
        <v>27154404.400000002</v>
      </c>
      <c r="BR11" s="40">
        <f t="shared" ca="1" si="85"/>
        <v>27154404.400000002</v>
      </c>
      <c r="BS11" s="40">
        <f t="shared" ca="1" si="85"/>
        <v>27154404.400000002</v>
      </c>
      <c r="BT11" s="40">
        <f t="shared" ca="1" si="85"/>
        <v>27154404.400000002</v>
      </c>
      <c r="BU11" s="40">
        <f t="shared" ref="BU11:EF11" ca="1" si="86">IF(IF(AND(ISNA(BU$8),ISNA(BT$8)),BT11*(1+$E$11),IF(AND(BT$8&gt;0,ISNA(BU$8)),BT11*(1+$E$11),BU$8))&gt;$C$21,$C$21,IF(AND(ISNA(BU$8),ISNA(BT$8)),BT11*(1+$E$11),IF(AND(BT$8&gt;0,ISNA(BU$8)),BT11*(1+$E$11),BU$8)))</f>
        <v>27154404.400000002</v>
      </c>
      <c r="BV11" s="40">
        <f t="shared" ca="1" si="86"/>
        <v>27154404.400000002</v>
      </c>
      <c r="BW11" s="40">
        <f t="shared" ca="1" si="86"/>
        <v>27154404.400000002</v>
      </c>
      <c r="BX11" s="40">
        <f t="shared" ca="1" si="86"/>
        <v>27154404.400000002</v>
      </c>
      <c r="BY11" s="40">
        <f t="shared" ca="1" si="86"/>
        <v>27154404.400000002</v>
      </c>
      <c r="BZ11" s="40">
        <f t="shared" ca="1" si="86"/>
        <v>27154404.400000002</v>
      </c>
      <c r="CA11" s="40">
        <f t="shared" ca="1" si="86"/>
        <v>27154404.400000002</v>
      </c>
      <c r="CB11" s="40">
        <f t="shared" ca="1" si="86"/>
        <v>27154404.400000002</v>
      </c>
      <c r="CC11" s="40">
        <f t="shared" ca="1" si="86"/>
        <v>27154404.400000002</v>
      </c>
      <c r="CD11" s="40">
        <f t="shared" ca="1" si="86"/>
        <v>27154404.400000002</v>
      </c>
      <c r="CE11" s="40">
        <f t="shared" ca="1" si="86"/>
        <v>27154404.400000002</v>
      </c>
      <c r="CF11" s="40">
        <f t="shared" ca="1" si="86"/>
        <v>27154404.400000002</v>
      </c>
      <c r="CG11" s="40">
        <f t="shared" ca="1" si="86"/>
        <v>27154404.400000002</v>
      </c>
      <c r="CH11" s="40">
        <f t="shared" ca="1" si="86"/>
        <v>27154404.400000002</v>
      </c>
      <c r="CI11" s="40">
        <f t="shared" ca="1" si="86"/>
        <v>27154404.400000002</v>
      </c>
      <c r="CJ11" s="40">
        <f t="shared" ca="1" si="86"/>
        <v>27154404.400000002</v>
      </c>
      <c r="CK11" s="40">
        <f t="shared" ca="1" si="86"/>
        <v>27154404.400000002</v>
      </c>
      <c r="CL11" s="40">
        <f t="shared" ca="1" si="86"/>
        <v>27154404.400000002</v>
      </c>
      <c r="CM11" s="40">
        <f t="shared" ca="1" si="86"/>
        <v>27154404.400000002</v>
      </c>
      <c r="CN11" s="40">
        <f t="shared" ca="1" si="86"/>
        <v>27154404.400000002</v>
      </c>
      <c r="CO11" s="40">
        <f t="shared" ca="1" si="86"/>
        <v>27154404.400000002</v>
      </c>
      <c r="CP11" s="40">
        <f t="shared" ca="1" si="86"/>
        <v>27154404.400000002</v>
      </c>
      <c r="CQ11" s="40">
        <f t="shared" ca="1" si="86"/>
        <v>27154404.400000002</v>
      </c>
      <c r="CR11" s="40">
        <f t="shared" ca="1" si="86"/>
        <v>27154404.400000002</v>
      </c>
      <c r="CS11" s="40">
        <f t="shared" ca="1" si="86"/>
        <v>27154404.400000002</v>
      </c>
      <c r="CT11" s="40">
        <f t="shared" ca="1" si="86"/>
        <v>27154404.400000002</v>
      </c>
      <c r="CU11" s="40">
        <f t="shared" ca="1" si="86"/>
        <v>27154404.400000002</v>
      </c>
      <c r="CV11" s="40">
        <f t="shared" ca="1" si="86"/>
        <v>27154404.400000002</v>
      </c>
      <c r="CW11" s="40">
        <f t="shared" ca="1" si="86"/>
        <v>27154404.400000002</v>
      </c>
      <c r="CX11" s="40">
        <f t="shared" ca="1" si="86"/>
        <v>27154404.400000002</v>
      </c>
      <c r="CY11" s="40">
        <f t="shared" ca="1" si="86"/>
        <v>27154404.400000002</v>
      </c>
      <c r="CZ11" s="40">
        <f t="shared" ca="1" si="86"/>
        <v>27154404.400000002</v>
      </c>
      <c r="DA11" s="40">
        <f t="shared" ca="1" si="86"/>
        <v>27154404.400000002</v>
      </c>
      <c r="DB11" s="40">
        <f t="shared" ca="1" si="86"/>
        <v>27154404.400000002</v>
      </c>
      <c r="DC11" s="40">
        <f t="shared" ca="1" si="86"/>
        <v>27154404.400000002</v>
      </c>
      <c r="DD11" s="40">
        <f t="shared" ca="1" si="86"/>
        <v>27154404.400000002</v>
      </c>
      <c r="DE11" s="40">
        <f t="shared" ca="1" si="86"/>
        <v>27154404.400000002</v>
      </c>
      <c r="DF11" s="40">
        <f t="shared" ca="1" si="86"/>
        <v>27154404.400000002</v>
      </c>
      <c r="DG11" s="40">
        <f t="shared" ca="1" si="86"/>
        <v>27154404.400000002</v>
      </c>
      <c r="DH11" s="40">
        <f t="shared" ca="1" si="86"/>
        <v>27154404.400000002</v>
      </c>
      <c r="DI11" s="40">
        <f t="shared" ca="1" si="86"/>
        <v>27154404.400000002</v>
      </c>
      <c r="DJ11" s="40">
        <f t="shared" ca="1" si="86"/>
        <v>27154404.400000002</v>
      </c>
      <c r="DK11" s="40">
        <f t="shared" ca="1" si="86"/>
        <v>27154404.400000002</v>
      </c>
      <c r="DL11" s="40">
        <f t="shared" ca="1" si="86"/>
        <v>27154404.400000002</v>
      </c>
      <c r="DM11" s="40">
        <f t="shared" ca="1" si="86"/>
        <v>27154404.400000002</v>
      </c>
      <c r="DN11" s="40">
        <f t="shared" ca="1" si="86"/>
        <v>27154404.400000002</v>
      </c>
      <c r="DO11" s="40">
        <f t="shared" ca="1" si="86"/>
        <v>27154404.400000002</v>
      </c>
      <c r="DP11" s="40">
        <f t="shared" ca="1" si="86"/>
        <v>27154404.400000002</v>
      </c>
      <c r="DQ11" s="40">
        <f t="shared" ca="1" si="86"/>
        <v>27154404.400000002</v>
      </c>
      <c r="DR11" s="40">
        <f t="shared" ca="1" si="86"/>
        <v>27154404.400000002</v>
      </c>
      <c r="DS11" s="40">
        <f t="shared" ca="1" si="86"/>
        <v>27154404.400000002</v>
      </c>
      <c r="DT11" s="40">
        <f t="shared" ca="1" si="86"/>
        <v>27154404.400000002</v>
      </c>
      <c r="DU11" s="40">
        <f t="shared" ca="1" si="86"/>
        <v>27154404.400000002</v>
      </c>
      <c r="DV11" s="40">
        <f t="shared" ca="1" si="86"/>
        <v>27154404.400000002</v>
      </c>
      <c r="DW11" s="40">
        <f t="shared" ca="1" si="86"/>
        <v>27154404.400000002</v>
      </c>
      <c r="DX11" s="40">
        <f t="shared" ca="1" si="86"/>
        <v>27154404.400000002</v>
      </c>
      <c r="DY11" s="40">
        <f t="shared" ca="1" si="86"/>
        <v>27154404.400000002</v>
      </c>
      <c r="DZ11" s="40">
        <f t="shared" ca="1" si="86"/>
        <v>27154404.400000002</v>
      </c>
      <c r="EA11" s="40">
        <f t="shared" ca="1" si="86"/>
        <v>27154404.400000002</v>
      </c>
      <c r="EB11" s="40">
        <f t="shared" ca="1" si="86"/>
        <v>27154404.400000002</v>
      </c>
      <c r="EC11" s="40">
        <f t="shared" ca="1" si="86"/>
        <v>27154404.400000002</v>
      </c>
      <c r="ED11" s="40">
        <f t="shared" ca="1" si="86"/>
        <v>27154404.400000002</v>
      </c>
      <c r="EE11" s="40">
        <f t="shared" ca="1" si="86"/>
        <v>27154404.400000002</v>
      </c>
      <c r="EF11" s="40">
        <f t="shared" ca="1" si="86"/>
        <v>27154404.400000002</v>
      </c>
      <c r="EG11" s="40">
        <f t="shared" ref="EG11:GR11" ca="1" si="87">IF(IF(AND(ISNA(EG$8),ISNA(EF$8)),EF11*(1+$E$11),IF(AND(EF$8&gt;0,ISNA(EG$8)),EF11*(1+$E$11),EG$8))&gt;$C$21,$C$21,IF(AND(ISNA(EG$8),ISNA(EF$8)),EF11*(1+$E$11),IF(AND(EF$8&gt;0,ISNA(EG$8)),EF11*(1+$E$11),EG$8)))</f>
        <v>27154404.400000002</v>
      </c>
      <c r="EH11" s="40">
        <f t="shared" ca="1" si="87"/>
        <v>27154404.400000002</v>
      </c>
      <c r="EI11" s="40">
        <f t="shared" ca="1" si="87"/>
        <v>27154404.400000002</v>
      </c>
      <c r="EJ11" s="40">
        <f t="shared" ca="1" si="87"/>
        <v>27154404.400000002</v>
      </c>
      <c r="EK11" s="40">
        <f t="shared" ca="1" si="87"/>
        <v>27154404.400000002</v>
      </c>
      <c r="EL11" s="40">
        <f t="shared" ca="1" si="87"/>
        <v>27154404.400000002</v>
      </c>
      <c r="EM11" s="40">
        <f t="shared" ca="1" si="87"/>
        <v>27154404.400000002</v>
      </c>
      <c r="EN11" s="40">
        <f t="shared" ca="1" si="87"/>
        <v>27154404.400000002</v>
      </c>
      <c r="EO11" s="40">
        <f t="shared" ca="1" si="87"/>
        <v>27154404.400000002</v>
      </c>
      <c r="EP11" s="40">
        <f t="shared" ca="1" si="87"/>
        <v>27154404.400000002</v>
      </c>
      <c r="EQ11" s="40">
        <f t="shared" ca="1" si="87"/>
        <v>27154404.400000002</v>
      </c>
      <c r="ER11" s="40">
        <f t="shared" ca="1" si="87"/>
        <v>27154404.400000002</v>
      </c>
      <c r="ES11" s="40">
        <f t="shared" ca="1" si="87"/>
        <v>27154404.400000002</v>
      </c>
      <c r="ET11" s="40">
        <f t="shared" ca="1" si="87"/>
        <v>27154404.400000002</v>
      </c>
      <c r="EU11" s="40">
        <f t="shared" ca="1" si="87"/>
        <v>27154404.400000002</v>
      </c>
      <c r="EV11" s="40">
        <f t="shared" ca="1" si="87"/>
        <v>27154404.400000002</v>
      </c>
      <c r="EW11" s="40">
        <f t="shared" ca="1" si="87"/>
        <v>27154404.400000002</v>
      </c>
      <c r="EX11" s="40">
        <f t="shared" ca="1" si="87"/>
        <v>27154404.400000002</v>
      </c>
      <c r="EY11" s="40">
        <f t="shared" ca="1" si="87"/>
        <v>27154404.400000002</v>
      </c>
      <c r="EZ11" s="40">
        <f t="shared" ca="1" si="87"/>
        <v>27154404.400000002</v>
      </c>
      <c r="FA11" s="40">
        <f t="shared" ca="1" si="87"/>
        <v>27154404.400000002</v>
      </c>
      <c r="FB11" s="40">
        <f t="shared" ca="1" si="87"/>
        <v>27154404.400000002</v>
      </c>
      <c r="FC11" s="40">
        <f t="shared" ca="1" si="87"/>
        <v>27154404.400000002</v>
      </c>
      <c r="FD11" s="40">
        <f t="shared" ca="1" si="87"/>
        <v>27154404.400000002</v>
      </c>
      <c r="FE11" s="40">
        <f t="shared" ca="1" si="87"/>
        <v>27154404.400000002</v>
      </c>
      <c r="FF11" s="40">
        <f t="shared" ca="1" si="87"/>
        <v>27154404.400000002</v>
      </c>
      <c r="FG11" s="40">
        <f t="shared" ca="1" si="87"/>
        <v>27154404.400000002</v>
      </c>
      <c r="FH11" s="40">
        <f t="shared" ca="1" si="87"/>
        <v>27154404.400000002</v>
      </c>
      <c r="FI11" s="40">
        <f t="shared" ca="1" si="87"/>
        <v>27154404.400000002</v>
      </c>
      <c r="FJ11" s="40">
        <f t="shared" ca="1" si="87"/>
        <v>27154404.400000002</v>
      </c>
      <c r="FK11" s="40">
        <f t="shared" ca="1" si="87"/>
        <v>27154404.400000002</v>
      </c>
      <c r="FL11" s="40">
        <f t="shared" ca="1" si="87"/>
        <v>27154404.400000002</v>
      </c>
      <c r="FM11" s="40">
        <f t="shared" ca="1" si="87"/>
        <v>27154404.400000002</v>
      </c>
      <c r="FN11" s="40">
        <f t="shared" ca="1" si="87"/>
        <v>27154404.400000002</v>
      </c>
      <c r="FO11" s="40">
        <f t="shared" ca="1" si="87"/>
        <v>27154404.400000002</v>
      </c>
      <c r="FP11" s="40">
        <f t="shared" ca="1" si="87"/>
        <v>27154404.400000002</v>
      </c>
      <c r="FQ11" s="40">
        <f t="shared" ca="1" si="87"/>
        <v>27154404.400000002</v>
      </c>
      <c r="FR11" s="40">
        <f t="shared" ca="1" si="87"/>
        <v>27154404.400000002</v>
      </c>
      <c r="FS11" s="40">
        <f t="shared" ca="1" si="87"/>
        <v>27154404.400000002</v>
      </c>
      <c r="FT11" s="40">
        <f t="shared" ca="1" si="87"/>
        <v>27154404.400000002</v>
      </c>
      <c r="FU11" s="40">
        <f t="shared" ca="1" si="87"/>
        <v>27154404.400000002</v>
      </c>
      <c r="FV11" s="40">
        <f t="shared" ca="1" si="87"/>
        <v>27154404.400000002</v>
      </c>
      <c r="FW11" s="40">
        <f t="shared" ca="1" si="87"/>
        <v>27154404.400000002</v>
      </c>
      <c r="FX11" s="40">
        <f t="shared" ca="1" si="87"/>
        <v>27154404.400000002</v>
      </c>
      <c r="FY11" s="40">
        <f t="shared" ca="1" si="87"/>
        <v>27154404.400000002</v>
      </c>
      <c r="FZ11" s="40">
        <f t="shared" ca="1" si="87"/>
        <v>27154404.400000002</v>
      </c>
      <c r="GA11" s="40">
        <f t="shared" ca="1" si="87"/>
        <v>27154404.400000002</v>
      </c>
      <c r="GB11" s="40">
        <f t="shared" ca="1" si="87"/>
        <v>27154404.400000002</v>
      </c>
      <c r="GC11" s="40">
        <f t="shared" ca="1" si="87"/>
        <v>27154404.400000002</v>
      </c>
      <c r="GD11" s="40">
        <f t="shared" ca="1" si="87"/>
        <v>27154404.400000002</v>
      </c>
      <c r="GE11" s="40">
        <f t="shared" ca="1" si="87"/>
        <v>27154404.400000002</v>
      </c>
      <c r="GF11" s="40">
        <f t="shared" ca="1" si="87"/>
        <v>27154404.400000002</v>
      </c>
      <c r="GG11" s="40">
        <f t="shared" ca="1" si="87"/>
        <v>27154404.400000002</v>
      </c>
      <c r="GH11" s="40">
        <f t="shared" ca="1" si="87"/>
        <v>27154404.400000002</v>
      </c>
      <c r="GI11" s="40">
        <f t="shared" ca="1" si="87"/>
        <v>27154404.400000002</v>
      </c>
      <c r="GJ11" s="40">
        <f t="shared" ca="1" si="87"/>
        <v>27154404.400000002</v>
      </c>
      <c r="GK11" s="40">
        <f t="shared" ca="1" si="87"/>
        <v>27154404.400000002</v>
      </c>
      <c r="GL11" s="40">
        <f t="shared" ca="1" si="87"/>
        <v>27154404.400000002</v>
      </c>
      <c r="GM11" s="40">
        <f t="shared" ca="1" si="87"/>
        <v>27154404.400000002</v>
      </c>
      <c r="GN11" s="40">
        <f t="shared" ca="1" si="87"/>
        <v>27154404.400000002</v>
      </c>
      <c r="GO11" s="40">
        <f t="shared" ca="1" si="87"/>
        <v>27154404.400000002</v>
      </c>
      <c r="GP11" s="40">
        <f t="shared" ca="1" si="87"/>
        <v>27154404.400000002</v>
      </c>
      <c r="GQ11" s="40">
        <f t="shared" ca="1" si="87"/>
        <v>27154404.400000002</v>
      </c>
      <c r="GR11" s="40">
        <f t="shared" ca="1" si="87"/>
        <v>27154404.400000002</v>
      </c>
      <c r="GS11" s="40">
        <f t="shared" ref="GS11:IN11" ca="1" si="88">IF(IF(AND(ISNA(GS$8),ISNA(GR$8)),GR11*(1+$E$11),IF(AND(GR$8&gt;0,ISNA(GS$8)),GR11*(1+$E$11),GS$8))&gt;$C$21,$C$21,IF(AND(ISNA(GS$8),ISNA(GR$8)),GR11*(1+$E$11),IF(AND(GR$8&gt;0,ISNA(GS$8)),GR11*(1+$E$11),GS$8)))</f>
        <v>27154404.400000002</v>
      </c>
      <c r="GT11" s="40">
        <f t="shared" ca="1" si="88"/>
        <v>27154404.400000002</v>
      </c>
      <c r="GU11" s="40">
        <f t="shared" ca="1" si="88"/>
        <v>27154404.400000002</v>
      </c>
      <c r="GV11" s="40">
        <f t="shared" ca="1" si="88"/>
        <v>27154404.400000002</v>
      </c>
      <c r="GW11" s="40">
        <f t="shared" ca="1" si="88"/>
        <v>27154404.400000002</v>
      </c>
      <c r="GX11" s="40">
        <f t="shared" ca="1" si="88"/>
        <v>27154404.400000002</v>
      </c>
      <c r="GY11" s="40">
        <f t="shared" ca="1" si="88"/>
        <v>27154404.400000002</v>
      </c>
      <c r="GZ11" s="40">
        <f t="shared" ca="1" si="88"/>
        <v>27154404.400000002</v>
      </c>
      <c r="HA11" s="40">
        <f t="shared" ca="1" si="88"/>
        <v>27154404.400000002</v>
      </c>
      <c r="HB11" s="40">
        <f t="shared" ca="1" si="88"/>
        <v>27154404.400000002</v>
      </c>
      <c r="HC11" s="40">
        <f t="shared" ca="1" si="88"/>
        <v>27154404.400000002</v>
      </c>
      <c r="HD11" s="40">
        <f t="shared" ca="1" si="88"/>
        <v>27154404.400000002</v>
      </c>
      <c r="HE11" s="40">
        <f t="shared" ca="1" si="88"/>
        <v>27154404.400000002</v>
      </c>
      <c r="HF11" s="40">
        <f t="shared" ca="1" si="88"/>
        <v>27154404.400000002</v>
      </c>
      <c r="HG11" s="40">
        <f t="shared" ca="1" si="88"/>
        <v>27154404.400000002</v>
      </c>
      <c r="HH11" s="40">
        <f t="shared" ca="1" si="88"/>
        <v>27154404.400000002</v>
      </c>
      <c r="HI11" s="40">
        <f t="shared" ca="1" si="88"/>
        <v>27154404.400000002</v>
      </c>
      <c r="HJ11" s="40">
        <f t="shared" ca="1" si="88"/>
        <v>27154404.400000002</v>
      </c>
      <c r="HK11" s="40">
        <f t="shared" ca="1" si="88"/>
        <v>27154404.400000002</v>
      </c>
      <c r="HL11" s="40">
        <f t="shared" ca="1" si="88"/>
        <v>27154404.400000002</v>
      </c>
      <c r="HM11" s="40">
        <f t="shared" ca="1" si="88"/>
        <v>27154404.400000002</v>
      </c>
      <c r="HN11" s="40">
        <f t="shared" ca="1" si="88"/>
        <v>27154404.400000002</v>
      </c>
      <c r="HO11" s="40">
        <f t="shared" ca="1" si="88"/>
        <v>27154404.400000002</v>
      </c>
      <c r="HP11" s="40">
        <f t="shared" ca="1" si="88"/>
        <v>27154404.400000002</v>
      </c>
      <c r="HQ11" s="40">
        <f t="shared" ca="1" si="88"/>
        <v>27154404.400000002</v>
      </c>
      <c r="HR11" s="40">
        <f t="shared" ca="1" si="88"/>
        <v>27154404.400000002</v>
      </c>
      <c r="HS11" s="40">
        <f t="shared" ca="1" si="88"/>
        <v>27154404.400000002</v>
      </c>
      <c r="HT11" s="40">
        <f t="shared" ca="1" si="88"/>
        <v>27154404.400000002</v>
      </c>
      <c r="HU11" s="40">
        <f t="shared" ca="1" si="88"/>
        <v>27154404.400000002</v>
      </c>
      <c r="HV11" s="40">
        <f t="shared" ca="1" si="88"/>
        <v>27154404.400000002</v>
      </c>
      <c r="HW11" s="40">
        <f t="shared" ca="1" si="88"/>
        <v>27154404.400000002</v>
      </c>
      <c r="HX11" s="40">
        <f t="shared" ca="1" si="88"/>
        <v>27154404.400000002</v>
      </c>
      <c r="HY11" s="40">
        <f t="shared" ca="1" si="88"/>
        <v>27154404.400000002</v>
      </c>
      <c r="HZ11" s="40">
        <f t="shared" ca="1" si="88"/>
        <v>27154404.400000002</v>
      </c>
      <c r="IA11" s="40">
        <f t="shared" ca="1" si="88"/>
        <v>27154404.400000002</v>
      </c>
      <c r="IB11" s="40">
        <f t="shared" ca="1" si="88"/>
        <v>27154404.400000002</v>
      </c>
      <c r="IC11" s="40">
        <f t="shared" ca="1" si="88"/>
        <v>27154404.400000002</v>
      </c>
      <c r="ID11" s="40">
        <f t="shared" ca="1" si="88"/>
        <v>27154404.400000002</v>
      </c>
      <c r="IE11" s="40">
        <f t="shared" ca="1" si="88"/>
        <v>27154404.400000002</v>
      </c>
      <c r="IF11" s="40">
        <f t="shared" ca="1" si="88"/>
        <v>27154404.400000002</v>
      </c>
      <c r="IG11" s="40">
        <f t="shared" ca="1" si="88"/>
        <v>27154404.400000002</v>
      </c>
      <c r="IH11" s="40">
        <f t="shared" ca="1" si="88"/>
        <v>27154404.400000002</v>
      </c>
      <c r="II11" s="40">
        <f t="shared" ca="1" si="88"/>
        <v>27154404.400000002</v>
      </c>
      <c r="IJ11" s="40">
        <f t="shared" ca="1" si="88"/>
        <v>27154404.400000002</v>
      </c>
      <c r="IK11" s="40">
        <f t="shared" ca="1" si="88"/>
        <v>27154404.400000002</v>
      </c>
      <c r="IL11" s="40">
        <f t="shared" ca="1" si="88"/>
        <v>27154404.400000002</v>
      </c>
      <c r="IM11" s="40">
        <f t="shared" ca="1" si="88"/>
        <v>27154404.400000002</v>
      </c>
      <c r="IN11" s="40">
        <f t="shared" ca="1" si="88"/>
        <v>27154404.400000002</v>
      </c>
    </row>
    <row r="12" spans="2:248" x14ac:dyDescent="0.3">
      <c r="B12" s="19" t="s">
        <v>528</v>
      </c>
      <c r="C12" s="74">
        <f>VLOOKUP(B2,Days_Since_100!C:G,5,FALSE)-1</f>
        <v>0.18444393048580521</v>
      </c>
      <c r="E12" s="19">
        <v>0.4</v>
      </c>
      <c r="F12" s="19" t="s">
        <v>453</v>
      </c>
      <c r="G12" s="40">
        <f t="shared" ref="G12" si="89">IF(IF(AND(ISNA(G$8),ISNA(F$8)),F12*(1+$E$12),IF(AND(F$8&gt;0,ISNA(G$8)),F12*(1+$E$12),G$8))&gt;$C$21,$C$21,IF(AND(ISNA(G$8),ISNA(F$8)),F12*(1+$E$12),IF(AND(F$8&gt;0,ISNA(G$8)),F12*(1+$E$12),G$8)))</f>
        <v>116</v>
      </c>
      <c r="H12" s="40">
        <f t="shared" ref="H12" ca="1" si="90">IF(IF(AND(ISNA(H$8),ISNA(G$8)),G12*(1+$E$12),IF(AND(G$8&gt;0,ISNA(H$8)),G12*(1+$E$12),H$8))&gt;$C$21,$C$21,IF(AND(ISNA(H$8),ISNA(G$8)),G12*(1+$E$12),IF(AND(G$8&gt;0,ISNA(H$8)),G12*(1+$E$12),H$8)))</f>
        <v>164</v>
      </c>
      <c r="I12" s="40">
        <f t="shared" ref="I12:BT12" ca="1" si="91">IF(IF(AND(ISNA(I$8),ISNA(H$8)),H12*(1+$E$12),IF(AND(H$8&gt;0,ISNA(I$8)),H12*(1+$E$12),I$8))&gt;$C$21,$C$21,IF(AND(ISNA(I$8),ISNA(H$8)),H12*(1+$E$12),IF(AND(H$8&gt;0,ISNA(I$8)),H12*(1+$E$12),I$8)))</f>
        <v>207</v>
      </c>
      <c r="J12" s="40">
        <f t="shared" ca="1" si="91"/>
        <v>274</v>
      </c>
      <c r="K12" s="40">
        <f t="shared" ca="1" si="91"/>
        <v>322</v>
      </c>
      <c r="L12" s="40">
        <f t="shared" ca="1" si="91"/>
        <v>384</v>
      </c>
      <c r="M12" s="40">
        <f t="shared" ca="1" si="91"/>
        <v>459</v>
      </c>
      <c r="N12" s="40">
        <f t="shared" ca="1" si="91"/>
        <v>588</v>
      </c>
      <c r="O12" s="40">
        <f t="shared" ca="1" si="91"/>
        <v>799</v>
      </c>
      <c r="P12" s="40">
        <f t="shared" ca="1" si="91"/>
        <v>1131</v>
      </c>
      <c r="Q12" s="40">
        <f t="shared" ca="1" si="91"/>
        <v>1328</v>
      </c>
      <c r="R12" s="40">
        <f t="shared" ca="1" si="91"/>
        <v>1271</v>
      </c>
      <c r="S12" s="40">
        <f t="shared" ca="1" si="91"/>
        <v>1685</v>
      </c>
      <c r="T12" s="40">
        <f t="shared" ca="1" si="91"/>
        <v>2296</v>
      </c>
      <c r="U12" s="40">
        <f t="shared" ca="1" si="91"/>
        <v>2245</v>
      </c>
      <c r="V12" s="40">
        <f t="shared" ca="1" si="91"/>
        <v>3474</v>
      </c>
      <c r="W12" s="40">
        <f t="shared" ca="1" si="91"/>
        <v>4395</v>
      </c>
      <c r="X12" s="40">
        <f t="shared" ca="1" si="91"/>
        <v>4937</v>
      </c>
      <c r="Y12" s="40">
        <f t="shared" ca="1" si="91"/>
        <v>5681</v>
      </c>
      <c r="Z12" s="40">
        <f t="shared" ca="1" si="91"/>
        <v>6739</v>
      </c>
      <c r="AA12" s="40">
        <f t="shared" ca="1" si="91"/>
        <v>7719</v>
      </c>
      <c r="AB12" s="40">
        <f t="shared" ca="1" si="91"/>
        <v>9715</v>
      </c>
      <c r="AC12" s="40">
        <f t="shared" ca="1" si="91"/>
        <v>13601</v>
      </c>
      <c r="AD12" s="40">
        <f t="shared" ca="1" si="91"/>
        <v>19041.399999999998</v>
      </c>
      <c r="AE12" s="40">
        <f t="shared" ca="1" si="91"/>
        <v>26657.959999999995</v>
      </c>
      <c r="AF12" s="40">
        <f t="shared" ca="1" si="91"/>
        <v>37321.143999999993</v>
      </c>
      <c r="AG12" s="40">
        <f t="shared" ca="1" si="91"/>
        <v>52249.601599999987</v>
      </c>
      <c r="AH12" s="40">
        <f t="shared" ca="1" si="91"/>
        <v>73149.442239999975</v>
      </c>
      <c r="AI12" s="40">
        <f t="shared" ca="1" si="91"/>
        <v>102409.21913599996</v>
      </c>
      <c r="AJ12" s="40">
        <f t="shared" ca="1" si="91"/>
        <v>143372.90679039992</v>
      </c>
      <c r="AK12" s="40">
        <f t="shared" ca="1" si="91"/>
        <v>200722.06950655987</v>
      </c>
      <c r="AL12" s="40">
        <f t="shared" ca="1" si="91"/>
        <v>281010.89730918378</v>
      </c>
      <c r="AM12" s="40">
        <f t="shared" ca="1" si="91"/>
        <v>393415.2562328573</v>
      </c>
      <c r="AN12" s="40">
        <f t="shared" ca="1" si="91"/>
        <v>550781.35872600018</v>
      </c>
      <c r="AO12" s="40">
        <f t="shared" ca="1" si="91"/>
        <v>771093.90221640025</v>
      </c>
      <c r="AP12" s="40">
        <f t="shared" ca="1" si="91"/>
        <v>1079531.4631029603</v>
      </c>
      <c r="AQ12" s="40">
        <f t="shared" ca="1" si="91"/>
        <v>1511344.0483441444</v>
      </c>
      <c r="AR12" s="40">
        <f t="shared" ca="1" si="91"/>
        <v>2115881.6676818021</v>
      </c>
      <c r="AS12" s="40">
        <f t="shared" ca="1" si="91"/>
        <v>2962234.3347545229</v>
      </c>
      <c r="AT12" s="40">
        <f t="shared" ca="1" si="91"/>
        <v>4147128.0686563319</v>
      </c>
      <c r="AU12" s="40">
        <f t="shared" ca="1" si="91"/>
        <v>5805979.2961188639</v>
      </c>
      <c r="AV12" s="40">
        <f t="shared" ca="1" si="91"/>
        <v>8128371.0145664085</v>
      </c>
      <c r="AW12" s="40">
        <f t="shared" ca="1" si="91"/>
        <v>11379719.420392971</v>
      </c>
      <c r="AX12" s="40">
        <f t="shared" ca="1" si="91"/>
        <v>15931607.188550159</v>
      </c>
      <c r="AY12" s="40">
        <f t="shared" ca="1" si="91"/>
        <v>22304250.063970223</v>
      </c>
      <c r="AZ12" s="40">
        <f t="shared" ca="1" si="91"/>
        <v>27154404.400000002</v>
      </c>
      <c r="BA12" s="40">
        <f t="shared" ca="1" si="91"/>
        <v>27154404.400000002</v>
      </c>
      <c r="BB12" s="40">
        <f t="shared" ca="1" si="91"/>
        <v>27154404.400000002</v>
      </c>
      <c r="BC12" s="40">
        <f t="shared" ca="1" si="91"/>
        <v>27154404.400000002</v>
      </c>
      <c r="BD12" s="40">
        <f t="shared" ca="1" si="91"/>
        <v>27154404.400000002</v>
      </c>
      <c r="BE12" s="40">
        <f t="shared" ca="1" si="91"/>
        <v>27154404.400000002</v>
      </c>
      <c r="BF12" s="40">
        <f t="shared" ca="1" si="91"/>
        <v>27154404.400000002</v>
      </c>
      <c r="BG12" s="40">
        <f t="shared" ca="1" si="91"/>
        <v>27154404.400000002</v>
      </c>
      <c r="BH12" s="40">
        <f t="shared" ca="1" si="91"/>
        <v>27154404.400000002</v>
      </c>
      <c r="BI12" s="40">
        <f t="shared" ca="1" si="91"/>
        <v>27154404.400000002</v>
      </c>
      <c r="BJ12" s="40">
        <f t="shared" ca="1" si="91"/>
        <v>27154404.400000002</v>
      </c>
      <c r="BK12" s="40">
        <f t="shared" ca="1" si="91"/>
        <v>27154404.400000002</v>
      </c>
      <c r="BL12" s="40">
        <f t="shared" ca="1" si="91"/>
        <v>27154404.400000002</v>
      </c>
      <c r="BM12" s="40">
        <f t="shared" ca="1" si="91"/>
        <v>27154404.400000002</v>
      </c>
      <c r="BN12" s="40">
        <f t="shared" ca="1" si="91"/>
        <v>27154404.400000002</v>
      </c>
      <c r="BO12" s="40">
        <f t="shared" ca="1" si="91"/>
        <v>27154404.400000002</v>
      </c>
      <c r="BP12" s="40">
        <f t="shared" ca="1" si="91"/>
        <v>27154404.400000002</v>
      </c>
      <c r="BQ12" s="40">
        <f t="shared" ca="1" si="91"/>
        <v>27154404.400000002</v>
      </c>
      <c r="BR12" s="40">
        <f t="shared" ca="1" si="91"/>
        <v>27154404.400000002</v>
      </c>
      <c r="BS12" s="40">
        <f t="shared" ca="1" si="91"/>
        <v>27154404.400000002</v>
      </c>
      <c r="BT12" s="40">
        <f t="shared" ca="1" si="91"/>
        <v>27154404.400000002</v>
      </c>
      <c r="BU12" s="40">
        <f t="shared" ref="BU12:EF12" ca="1" si="92">IF(IF(AND(ISNA(BU$8),ISNA(BT$8)),BT12*(1+$E$12),IF(AND(BT$8&gt;0,ISNA(BU$8)),BT12*(1+$E$12),BU$8))&gt;$C$21,$C$21,IF(AND(ISNA(BU$8),ISNA(BT$8)),BT12*(1+$E$12),IF(AND(BT$8&gt;0,ISNA(BU$8)),BT12*(1+$E$12),BU$8)))</f>
        <v>27154404.400000002</v>
      </c>
      <c r="BV12" s="40">
        <f t="shared" ca="1" si="92"/>
        <v>27154404.400000002</v>
      </c>
      <c r="BW12" s="40">
        <f t="shared" ca="1" si="92"/>
        <v>27154404.400000002</v>
      </c>
      <c r="BX12" s="40">
        <f t="shared" ca="1" si="92"/>
        <v>27154404.400000002</v>
      </c>
      <c r="BY12" s="40">
        <f t="shared" ca="1" si="92"/>
        <v>27154404.400000002</v>
      </c>
      <c r="BZ12" s="40">
        <f t="shared" ca="1" si="92"/>
        <v>27154404.400000002</v>
      </c>
      <c r="CA12" s="40">
        <f t="shared" ca="1" si="92"/>
        <v>27154404.400000002</v>
      </c>
      <c r="CB12" s="40">
        <f t="shared" ca="1" si="92"/>
        <v>27154404.400000002</v>
      </c>
      <c r="CC12" s="40">
        <f t="shared" ca="1" si="92"/>
        <v>27154404.400000002</v>
      </c>
      <c r="CD12" s="40">
        <f t="shared" ca="1" si="92"/>
        <v>27154404.400000002</v>
      </c>
      <c r="CE12" s="40">
        <f t="shared" ca="1" si="92"/>
        <v>27154404.400000002</v>
      </c>
      <c r="CF12" s="40">
        <f t="shared" ca="1" si="92"/>
        <v>27154404.400000002</v>
      </c>
      <c r="CG12" s="40">
        <f t="shared" ca="1" si="92"/>
        <v>27154404.400000002</v>
      </c>
      <c r="CH12" s="40">
        <f t="shared" ca="1" si="92"/>
        <v>27154404.400000002</v>
      </c>
      <c r="CI12" s="40">
        <f t="shared" ca="1" si="92"/>
        <v>27154404.400000002</v>
      </c>
      <c r="CJ12" s="40">
        <f t="shared" ca="1" si="92"/>
        <v>27154404.400000002</v>
      </c>
      <c r="CK12" s="40">
        <f t="shared" ca="1" si="92"/>
        <v>27154404.400000002</v>
      </c>
      <c r="CL12" s="40">
        <f t="shared" ca="1" si="92"/>
        <v>27154404.400000002</v>
      </c>
      <c r="CM12" s="40">
        <f t="shared" ca="1" si="92"/>
        <v>27154404.400000002</v>
      </c>
      <c r="CN12" s="40">
        <f t="shared" ca="1" si="92"/>
        <v>27154404.400000002</v>
      </c>
      <c r="CO12" s="40">
        <f t="shared" ca="1" si="92"/>
        <v>27154404.400000002</v>
      </c>
      <c r="CP12" s="40">
        <f t="shared" ca="1" si="92"/>
        <v>27154404.400000002</v>
      </c>
      <c r="CQ12" s="40">
        <f t="shared" ca="1" si="92"/>
        <v>27154404.400000002</v>
      </c>
      <c r="CR12" s="40">
        <f t="shared" ca="1" si="92"/>
        <v>27154404.400000002</v>
      </c>
      <c r="CS12" s="40">
        <f t="shared" ca="1" si="92"/>
        <v>27154404.400000002</v>
      </c>
      <c r="CT12" s="40">
        <f t="shared" ca="1" si="92"/>
        <v>27154404.400000002</v>
      </c>
      <c r="CU12" s="40">
        <f t="shared" ca="1" si="92"/>
        <v>27154404.400000002</v>
      </c>
      <c r="CV12" s="40">
        <f t="shared" ca="1" si="92"/>
        <v>27154404.400000002</v>
      </c>
      <c r="CW12" s="40">
        <f t="shared" ca="1" si="92"/>
        <v>27154404.400000002</v>
      </c>
      <c r="CX12" s="40">
        <f t="shared" ca="1" si="92"/>
        <v>27154404.400000002</v>
      </c>
      <c r="CY12" s="40">
        <f t="shared" ca="1" si="92"/>
        <v>27154404.400000002</v>
      </c>
      <c r="CZ12" s="40">
        <f t="shared" ca="1" si="92"/>
        <v>27154404.400000002</v>
      </c>
      <c r="DA12" s="40">
        <f t="shared" ca="1" si="92"/>
        <v>27154404.400000002</v>
      </c>
      <c r="DB12" s="40">
        <f t="shared" ca="1" si="92"/>
        <v>27154404.400000002</v>
      </c>
      <c r="DC12" s="40">
        <f t="shared" ca="1" si="92"/>
        <v>27154404.400000002</v>
      </c>
      <c r="DD12" s="40">
        <f t="shared" ca="1" si="92"/>
        <v>27154404.400000002</v>
      </c>
      <c r="DE12" s="40">
        <f t="shared" ca="1" si="92"/>
        <v>27154404.400000002</v>
      </c>
      <c r="DF12" s="40">
        <f t="shared" ca="1" si="92"/>
        <v>27154404.400000002</v>
      </c>
      <c r="DG12" s="40">
        <f t="shared" ca="1" si="92"/>
        <v>27154404.400000002</v>
      </c>
      <c r="DH12" s="40">
        <f t="shared" ca="1" si="92"/>
        <v>27154404.400000002</v>
      </c>
      <c r="DI12" s="40">
        <f t="shared" ca="1" si="92"/>
        <v>27154404.400000002</v>
      </c>
      <c r="DJ12" s="40">
        <f t="shared" ca="1" si="92"/>
        <v>27154404.400000002</v>
      </c>
      <c r="DK12" s="40">
        <f t="shared" ca="1" si="92"/>
        <v>27154404.400000002</v>
      </c>
      <c r="DL12" s="40">
        <f t="shared" ca="1" si="92"/>
        <v>27154404.400000002</v>
      </c>
      <c r="DM12" s="40">
        <f t="shared" ca="1" si="92"/>
        <v>27154404.400000002</v>
      </c>
      <c r="DN12" s="40">
        <f t="shared" ca="1" si="92"/>
        <v>27154404.400000002</v>
      </c>
      <c r="DO12" s="40">
        <f t="shared" ca="1" si="92"/>
        <v>27154404.400000002</v>
      </c>
      <c r="DP12" s="40">
        <f t="shared" ca="1" si="92"/>
        <v>27154404.400000002</v>
      </c>
      <c r="DQ12" s="40">
        <f t="shared" ca="1" si="92"/>
        <v>27154404.400000002</v>
      </c>
      <c r="DR12" s="40">
        <f t="shared" ca="1" si="92"/>
        <v>27154404.400000002</v>
      </c>
      <c r="DS12" s="40">
        <f t="shared" ca="1" si="92"/>
        <v>27154404.400000002</v>
      </c>
      <c r="DT12" s="40">
        <f t="shared" ca="1" si="92"/>
        <v>27154404.400000002</v>
      </c>
      <c r="DU12" s="40">
        <f t="shared" ca="1" si="92"/>
        <v>27154404.400000002</v>
      </c>
      <c r="DV12" s="40">
        <f t="shared" ca="1" si="92"/>
        <v>27154404.400000002</v>
      </c>
      <c r="DW12" s="40">
        <f t="shared" ca="1" si="92"/>
        <v>27154404.400000002</v>
      </c>
      <c r="DX12" s="40">
        <f t="shared" ca="1" si="92"/>
        <v>27154404.400000002</v>
      </c>
      <c r="DY12" s="40">
        <f t="shared" ca="1" si="92"/>
        <v>27154404.400000002</v>
      </c>
      <c r="DZ12" s="40">
        <f t="shared" ca="1" si="92"/>
        <v>27154404.400000002</v>
      </c>
      <c r="EA12" s="40">
        <f t="shared" ca="1" si="92"/>
        <v>27154404.400000002</v>
      </c>
      <c r="EB12" s="40">
        <f t="shared" ca="1" si="92"/>
        <v>27154404.400000002</v>
      </c>
      <c r="EC12" s="40">
        <f t="shared" ca="1" si="92"/>
        <v>27154404.400000002</v>
      </c>
      <c r="ED12" s="40">
        <f t="shared" ca="1" si="92"/>
        <v>27154404.400000002</v>
      </c>
      <c r="EE12" s="40">
        <f t="shared" ca="1" si="92"/>
        <v>27154404.400000002</v>
      </c>
      <c r="EF12" s="40">
        <f t="shared" ca="1" si="92"/>
        <v>27154404.400000002</v>
      </c>
      <c r="EG12" s="40">
        <f t="shared" ref="EG12:GR12" ca="1" si="93">IF(IF(AND(ISNA(EG$8),ISNA(EF$8)),EF12*(1+$E$12),IF(AND(EF$8&gt;0,ISNA(EG$8)),EF12*(1+$E$12),EG$8))&gt;$C$21,$C$21,IF(AND(ISNA(EG$8),ISNA(EF$8)),EF12*(1+$E$12),IF(AND(EF$8&gt;0,ISNA(EG$8)),EF12*(1+$E$12),EG$8)))</f>
        <v>27154404.400000002</v>
      </c>
      <c r="EH12" s="40">
        <f t="shared" ca="1" si="93"/>
        <v>27154404.400000002</v>
      </c>
      <c r="EI12" s="40">
        <f t="shared" ca="1" si="93"/>
        <v>27154404.400000002</v>
      </c>
      <c r="EJ12" s="40">
        <f t="shared" ca="1" si="93"/>
        <v>27154404.400000002</v>
      </c>
      <c r="EK12" s="40">
        <f t="shared" ca="1" si="93"/>
        <v>27154404.400000002</v>
      </c>
      <c r="EL12" s="40">
        <f t="shared" ca="1" si="93"/>
        <v>27154404.400000002</v>
      </c>
      <c r="EM12" s="40">
        <f t="shared" ca="1" si="93"/>
        <v>27154404.400000002</v>
      </c>
      <c r="EN12" s="40">
        <f t="shared" ca="1" si="93"/>
        <v>27154404.400000002</v>
      </c>
      <c r="EO12" s="40">
        <f t="shared" ca="1" si="93"/>
        <v>27154404.400000002</v>
      </c>
      <c r="EP12" s="40">
        <f t="shared" ca="1" si="93"/>
        <v>27154404.400000002</v>
      </c>
      <c r="EQ12" s="40">
        <f t="shared" ca="1" si="93"/>
        <v>27154404.400000002</v>
      </c>
      <c r="ER12" s="40">
        <f t="shared" ca="1" si="93"/>
        <v>27154404.400000002</v>
      </c>
      <c r="ES12" s="40">
        <f t="shared" ca="1" si="93"/>
        <v>27154404.400000002</v>
      </c>
      <c r="ET12" s="40">
        <f t="shared" ca="1" si="93"/>
        <v>27154404.400000002</v>
      </c>
      <c r="EU12" s="40">
        <f t="shared" ca="1" si="93"/>
        <v>27154404.400000002</v>
      </c>
      <c r="EV12" s="40">
        <f t="shared" ca="1" si="93"/>
        <v>27154404.400000002</v>
      </c>
      <c r="EW12" s="40">
        <f t="shared" ca="1" si="93"/>
        <v>27154404.400000002</v>
      </c>
      <c r="EX12" s="40">
        <f t="shared" ca="1" si="93"/>
        <v>27154404.400000002</v>
      </c>
      <c r="EY12" s="40">
        <f t="shared" ca="1" si="93"/>
        <v>27154404.400000002</v>
      </c>
      <c r="EZ12" s="40">
        <f t="shared" ca="1" si="93"/>
        <v>27154404.400000002</v>
      </c>
      <c r="FA12" s="40">
        <f t="shared" ca="1" si="93"/>
        <v>27154404.400000002</v>
      </c>
      <c r="FB12" s="40">
        <f t="shared" ca="1" si="93"/>
        <v>27154404.400000002</v>
      </c>
      <c r="FC12" s="40">
        <f t="shared" ca="1" si="93"/>
        <v>27154404.400000002</v>
      </c>
      <c r="FD12" s="40">
        <f t="shared" ca="1" si="93"/>
        <v>27154404.400000002</v>
      </c>
      <c r="FE12" s="40">
        <f t="shared" ca="1" si="93"/>
        <v>27154404.400000002</v>
      </c>
      <c r="FF12" s="40">
        <f t="shared" ca="1" si="93"/>
        <v>27154404.400000002</v>
      </c>
      <c r="FG12" s="40">
        <f t="shared" ca="1" si="93"/>
        <v>27154404.400000002</v>
      </c>
      <c r="FH12" s="40">
        <f t="shared" ca="1" si="93"/>
        <v>27154404.400000002</v>
      </c>
      <c r="FI12" s="40">
        <f t="shared" ca="1" si="93"/>
        <v>27154404.400000002</v>
      </c>
      <c r="FJ12" s="40">
        <f t="shared" ca="1" si="93"/>
        <v>27154404.400000002</v>
      </c>
      <c r="FK12" s="40">
        <f t="shared" ca="1" si="93"/>
        <v>27154404.400000002</v>
      </c>
      <c r="FL12" s="40">
        <f t="shared" ca="1" si="93"/>
        <v>27154404.400000002</v>
      </c>
      <c r="FM12" s="40">
        <f t="shared" ca="1" si="93"/>
        <v>27154404.400000002</v>
      </c>
      <c r="FN12" s="40">
        <f t="shared" ca="1" si="93"/>
        <v>27154404.400000002</v>
      </c>
      <c r="FO12" s="40">
        <f t="shared" ca="1" si="93"/>
        <v>27154404.400000002</v>
      </c>
      <c r="FP12" s="40">
        <f t="shared" ca="1" si="93"/>
        <v>27154404.400000002</v>
      </c>
      <c r="FQ12" s="40">
        <f t="shared" ca="1" si="93"/>
        <v>27154404.400000002</v>
      </c>
      <c r="FR12" s="40">
        <f t="shared" ca="1" si="93"/>
        <v>27154404.400000002</v>
      </c>
      <c r="FS12" s="40">
        <f t="shared" ca="1" si="93"/>
        <v>27154404.400000002</v>
      </c>
      <c r="FT12" s="40">
        <f t="shared" ca="1" si="93"/>
        <v>27154404.400000002</v>
      </c>
      <c r="FU12" s="40">
        <f t="shared" ca="1" si="93"/>
        <v>27154404.400000002</v>
      </c>
      <c r="FV12" s="40">
        <f t="shared" ca="1" si="93"/>
        <v>27154404.400000002</v>
      </c>
      <c r="FW12" s="40">
        <f t="shared" ca="1" si="93"/>
        <v>27154404.400000002</v>
      </c>
      <c r="FX12" s="40">
        <f t="shared" ca="1" si="93"/>
        <v>27154404.400000002</v>
      </c>
      <c r="FY12" s="40">
        <f t="shared" ca="1" si="93"/>
        <v>27154404.400000002</v>
      </c>
      <c r="FZ12" s="40">
        <f t="shared" ca="1" si="93"/>
        <v>27154404.400000002</v>
      </c>
      <c r="GA12" s="40">
        <f t="shared" ca="1" si="93"/>
        <v>27154404.400000002</v>
      </c>
      <c r="GB12" s="40">
        <f t="shared" ca="1" si="93"/>
        <v>27154404.400000002</v>
      </c>
      <c r="GC12" s="40">
        <f t="shared" ca="1" si="93"/>
        <v>27154404.400000002</v>
      </c>
      <c r="GD12" s="40">
        <f t="shared" ca="1" si="93"/>
        <v>27154404.400000002</v>
      </c>
      <c r="GE12" s="40">
        <f t="shared" ca="1" si="93"/>
        <v>27154404.400000002</v>
      </c>
      <c r="GF12" s="40">
        <f t="shared" ca="1" si="93"/>
        <v>27154404.400000002</v>
      </c>
      <c r="GG12" s="40">
        <f t="shared" ca="1" si="93"/>
        <v>27154404.400000002</v>
      </c>
      <c r="GH12" s="40">
        <f t="shared" ca="1" si="93"/>
        <v>27154404.400000002</v>
      </c>
      <c r="GI12" s="40">
        <f t="shared" ca="1" si="93"/>
        <v>27154404.400000002</v>
      </c>
      <c r="GJ12" s="40">
        <f t="shared" ca="1" si="93"/>
        <v>27154404.400000002</v>
      </c>
      <c r="GK12" s="40">
        <f t="shared" ca="1" si="93"/>
        <v>27154404.400000002</v>
      </c>
      <c r="GL12" s="40">
        <f t="shared" ca="1" si="93"/>
        <v>27154404.400000002</v>
      </c>
      <c r="GM12" s="40">
        <f t="shared" ca="1" si="93"/>
        <v>27154404.400000002</v>
      </c>
      <c r="GN12" s="40">
        <f t="shared" ca="1" si="93"/>
        <v>27154404.400000002</v>
      </c>
      <c r="GO12" s="40">
        <f t="shared" ca="1" si="93"/>
        <v>27154404.400000002</v>
      </c>
      <c r="GP12" s="40">
        <f t="shared" ca="1" si="93"/>
        <v>27154404.400000002</v>
      </c>
      <c r="GQ12" s="40">
        <f t="shared" ca="1" si="93"/>
        <v>27154404.400000002</v>
      </c>
      <c r="GR12" s="40">
        <f t="shared" ca="1" si="93"/>
        <v>27154404.400000002</v>
      </c>
      <c r="GS12" s="40">
        <f t="shared" ref="GS12:IN12" ca="1" si="94">IF(IF(AND(ISNA(GS$8),ISNA(GR$8)),GR12*(1+$E$12),IF(AND(GR$8&gt;0,ISNA(GS$8)),GR12*(1+$E$12),GS$8))&gt;$C$21,$C$21,IF(AND(ISNA(GS$8),ISNA(GR$8)),GR12*(1+$E$12),IF(AND(GR$8&gt;0,ISNA(GS$8)),GR12*(1+$E$12),GS$8)))</f>
        <v>27154404.400000002</v>
      </c>
      <c r="GT12" s="40">
        <f t="shared" ca="1" si="94"/>
        <v>27154404.400000002</v>
      </c>
      <c r="GU12" s="40">
        <f t="shared" ca="1" si="94"/>
        <v>27154404.400000002</v>
      </c>
      <c r="GV12" s="40">
        <f t="shared" ca="1" si="94"/>
        <v>27154404.400000002</v>
      </c>
      <c r="GW12" s="40">
        <f t="shared" ca="1" si="94"/>
        <v>27154404.400000002</v>
      </c>
      <c r="GX12" s="40">
        <f t="shared" ca="1" si="94"/>
        <v>27154404.400000002</v>
      </c>
      <c r="GY12" s="40">
        <f t="shared" ca="1" si="94"/>
        <v>27154404.400000002</v>
      </c>
      <c r="GZ12" s="40">
        <f t="shared" ca="1" si="94"/>
        <v>27154404.400000002</v>
      </c>
      <c r="HA12" s="40">
        <f t="shared" ca="1" si="94"/>
        <v>27154404.400000002</v>
      </c>
      <c r="HB12" s="40">
        <f t="shared" ca="1" si="94"/>
        <v>27154404.400000002</v>
      </c>
      <c r="HC12" s="40">
        <f t="shared" ca="1" si="94"/>
        <v>27154404.400000002</v>
      </c>
      <c r="HD12" s="40">
        <f t="shared" ca="1" si="94"/>
        <v>27154404.400000002</v>
      </c>
      <c r="HE12" s="40">
        <f t="shared" ca="1" si="94"/>
        <v>27154404.400000002</v>
      </c>
      <c r="HF12" s="40">
        <f t="shared" ca="1" si="94"/>
        <v>27154404.400000002</v>
      </c>
      <c r="HG12" s="40">
        <f t="shared" ca="1" si="94"/>
        <v>27154404.400000002</v>
      </c>
      <c r="HH12" s="40">
        <f t="shared" ca="1" si="94"/>
        <v>27154404.400000002</v>
      </c>
      <c r="HI12" s="40">
        <f t="shared" ca="1" si="94"/>
        <v>27154404.400000002</v>
      </c>
      <c r="HJ12" s="40">
        <f t="shared" ca="1" si="94"/>
        <v>27154404.400000002</v>
      </c>
      <c r="HK12" s="40">
        <f t="shared" ca="1" si="94"/>
        <v>27154404.400000002</v>
      </c>
      <c r="HL12" s="40">
        <f t="shared" ca="1" si="94"/>
        <v>27154404.400000002</v>
      </c>
      <c r="HM12" s="40">
        <f t="shared" ca="1" si="94"/>
        <v>27154404.400000002</v>
      </c>
      <c r="HN12" s="40">
        <f t="shared" ca="1" si="94"/>
        <v>27154404.400000002</v>
      </c>
      <c r="HO12" s="40">
        <f t="shared" ca="1" si="94"/>
        <v>27154404.400000002</v>
      </c>
      <c r="HP12" s="40">
        <f t="shared" ca="1" si="94"/>
        <v>27154404.400000002</v>
      </c>
      <c r="HQ12" s="40">
        <f t="shared" ca="1" si="94"/>
        <v>27154404.400000002</v>
      </c>
      <c r="HR12" s="40">
        <f t="shared" ca="1" si="94"/>
        <v>27154404.400000002</v>
      </c>
      <c r="HS12" s="40">
        <f t="shared" ca="1" si="94"/>
        <v>27154404.400000002</v>
      </c>
      <c r="HT12" s="40">
        <f t="shared" ca="1" si="94"/>
        <v>27154404.400000002</v>
      </c>
      <c r="HU12" s="40">
        <f t="shared" ca="1" si="94"/>
        <v>27154404.400000002</v>
      </c>
      <c r="HV12" s="40">
        <f t="shared" ca="1" si="94"/>
        <v>27154404.400000002</v>
      </c>
      <c r="HW12" s="40">
        <f t="shared" ca="1" si="94"/>
        <v>27154404.400000002</v>
      </c>
      <c r="HX12" s="40">
        <f t="shared" ca="1" si="94"/>
        <v>27154404.400000002</v>
      </c>
      <c r="HY12" s="40">
        <f t="shared" ca="1" si="94"/>
        <v>27154404.400000002</v>
      </c>
      <c r="HZ12" s="40">
        <f t="shared" ca="1" si="94"/>
        <v>27154404.400000002</v>
      </c>
      <c r="IA12" s="40">
        <f t="shared" ca="1" si="94"/>
        <v>27154404.400000002</v>
      </c>
      <c r="IB12" s="40">
        <f t="shared" ca="1" si="94"/>
        <v>27154404.400000002</v>
      </c>
      <c r="IC12" s="40">
        <f t="shared" ca="1" si="94"/>
        <v>27154404.400000002</v>
      </c>
      <c r="ID12" s="40">
        <f t="shared" ca="1" si="94"/>
        <v>27154404.400000002</v>
      </c>
      <c r="IE12" s="40">
        <f t="shared" ca="1" si="94"/>
        <v>27154404.400000002</v>
      </c>
      <c r="IF12" s="40">
        <f t="shared" ca="1" si="94"/>
        <v>27154404.400000002</v>
      </c>
      <c r="IG12" s="40">
        <f t="shared" ca="1" si="94"/>
        <v>27154404.400000002</v>
      </c>
      <c r="IH12" s="40">
        <f t="shared" ca="1" si="94"/>
        <v>27154404.400000002</v>
      </c>
      <c r="II12" s="40">
        <f t="shared" ca="1" si="94"/>
        <v>27154404.400000002</v>
      </c>
      <c r="IJ12" s="40">
        <f t="shared" ca="1" si="94"/>
        <v>27154404.400000002</v>
      </c>
      <c r="IK12" s="40">
        <f t="shared" ca="1" si="94"/>
        <v>27154404.400000002</v>
      </c>
      <c r="IL12" s="40">
        <f t="shared" ca="1" si="94"/>
        <v>27154404.400000002</v>
      </c>
      <c r="IM12" s="40">
        <f t="shared" ca="1" si="94"/>
        <v>27154404.400000002</v>
      </c>
      <c r="IN12" s="40">
        <f t="shared" ca="1" si="94"/>
        <v>27154404.400000002</v>
      </c>
    </row>
    <row r="13" spans="2:248" x14ac:dyDescent="0.3">
      <c r="B13" s="19" t="s">
        <v>587</v>
      </c>
      <c r="C13" s="74">
        <f>VLOOKUP(B2,Deaths_since_10!C:G,5,FALSE)-1</f>
        <v>0.1990641741051542</v>
      </c>
      <c r="F13" s="19" t="s">
        <v>588</v>
      </c>
      <c r="G13" s="74"/>
      <c r="H13" s="53">
        <f ca="1">IF(ISNA(G5),NA(),IF(H4&lt;$C$10,(H5/OFFSET(H5,0,-H4))^(1/(H4)),(H5/OFFSET(H5,0,-$C$10))^(1/$C$10))-1)</f>
        <v>0.4137931034482758</v>
      </c>
      <c r="I13" s="53">
        <f ca="1">IF(ISNA(H5),NA(),IF(I4&lt;$C$10,(I5/OFFSET(I5,0,-I4))^(1/(I4)),(I5/OFFSET(I5,0,-$C$10))^(1/$C$10))-1)</f>
        <v>0.33584533484258183</v>
      </c>
      <c r="J13" s="53">
        <f t="shared" ref="J13:BT13" ca="1" si="95">IF(ISNA(I5),NA(),IF(J4&lt;$C$10,(J5/OFFSET(J5,0,-J4))^(1/(J4)),(J5/OFFSET(J5,0,-$C$10))^(1/$C$10))-1)</f>
        <v>0.33177499932927024</v>
      </c>
      <c r="K13" s="53">
        <f t="shared" ca="1" si="95"/>
        <v>0.29077180589770335</v>
      </c>
      <c r="L13" s="53">
        <f t="shared" ca="1" si="95"/>
        <v>0.27049993459236288</v>
      </c>
      <c r="M13" s="53">
        <f t="shared" ca="1" si="95"/>
        <v>0.22855263432816053</v>
      </c>
      <c r="N13" s="53">
        <f t="shared" ca="1" si="95"/>
        <v>0.23303763733800897</v>
      </c>
      <c r="O13" s="53">
        <f t="shared" ca="1" si="95"/>
        <v>0.23960911526381667</v>
      </c>
      <c r="P13" s="53">
        <f t="shared" ca="1" si="95"/>
        <v>0.28858784541083837</v>
      </c>
      <c r="Q13" s="53">
        <f t="shared" ca="1" si="95"/>
        <v>0.28683129505090266</v>
      </c>
      <c r="R13" s="53">
        <f t="shared" ca="1" si="95"/>
        <v>0.27573309599233808</v>
      </c>
      <c r="S13" s="53">
        <f t="shared" ca="1" si="95"/>
        <v>0.27139591569100419</v>
      </c>
      <c r="T13" s="53">
        <f t="shared" ca="1" si="95"/>
        <v>0.26926320102738721</v>
      </c>
      <c r="U13" s="53">
        <f t="shared" ca="1" si="95"/>
        <v>0.18877796979811801</v>
      </c>
      <c r="V13" s="53">
        <f t="shared" ca="1" si="95"/>
        <v>0.2425893143830935</v>
      </c>
      <c r="W13" s="53">
        <f t="shared" ca="1" si="95"/>
        <v>0.26714939712946473</v>
      </c>
      <c r="X13" s="53">
        <f t="shared" ca="1" si="95"/>
        <v>0.23995747864251982</v>
      </c>
      <c r="Y13" s="53">
        <f t="shared" ca="1" si="95"/>
        <v>0.20549332492930561</v>
      </c>
      <c r="Z13" s="53">
        <f t="shared" ca="1" si="95"/>
        <v>0.24621979719354981</v>
      </c>
      <c r="AA13" s="53">
        <f t="shared" ca="1" si="95"/>
        <v>0.19151614981125942</v>
      </c>
      <c r="AB13" s="53">
        <f t="shared" ca="1" si="95"/>
        <v>0.18444393048580521</v>
      </c>
      <c r="AC13" s="53" t="e">
        <f t="shared" ca="1" si="95"/>
        <v>#N/A</v>
      </c>
      <c r="AD13" s="53" t="e">
        <f t="shared" ca="1" si="95"/>
        <v>#N/A</v>
      </c>
      <c r="AE13" s="53" t="e">
        <f t="shared" ca="1" si="95"/>
        <v>#N/A</v>
      </c>
      <c r="AF13" s="53" t="e">
        <f t="shared" ca="1" si="95"/>
        <v>#N/A</v>
      </c>
      <c r="AG13" s="53" t="e">
        <f t="shared" ca="1" si="95"/>
        <v>#N/A</v>
      </c>
      <c r="AH13" s="53" t="e">
        <f t="shared" ca="1" si="95"/>
        <v>#N/A</v>
      </c>
      <c r="AI13" s="53" t="e">
        <f t="shared" ca="1" si="95"/>
        <v>#N/A</v>
      </c>
      <c r="AJ13" s="53" t="e">
        <f t="shared" ca="1" si="95"/>
        <v>#N/A</v>
      </c>
      <c r="AK13" s="53" t="e">
        <f t="shared" ca="1" si="95"/>
        <v>#N/A</v>
      </c>
      <c r="AL13" s="53" t="e">
        <f t="shared" ca="1" si="95"/>
        <v>#N/A</v>
      </c>
      <c r="AM13" s="53" t="e">
        <f t="shared" ca="1" si="95"/>
        <v>#N/A</v>
      </c>
      <c r="AN13" s="53" t="e">
        <f t="shared" ca="1" si="95"/>
        <v>#N/A</v>
      </c>
      <c r="AO13" s="53" t="e">
        <f t="shared" ca="1" si="95"/>
        <v>#N/A</v>
      </c>
      <c r="AP13" s="53" t="e">
        <f t="shared" ca="1" si="95"/>
        <v>#N/A</v>
      </c>
      <c r="AQ13" s="53" t="e">
        <f t="shared" ca="1" si="95"/>
        <v>#N/A</v>
      </c>
      <c r="AR13" s="53" t="e">
        <f t="shared" ca="1" si="95"/>
        <v>#N/A</v>
      </c>
      <c r="AS13" s="53" t="e">
        <f t="shared" ca="1" si="95"/>
        <v>#N/A</v>
      </c>
      <c r="AT13" s="53" t="e">
        <f t="shared" ca="1" si="95"/>
        <v>#N/A</v>
      </c>
      <c r="AU13" s="53" t="e">
        <f t="shared" ca="1" si="95"/>
        <v>#N/A</v>
      </c>
      <c r="AV13" s="53" t="e">
        <f t="shared" ca="1" si="95"/>
        <v>#N/A</v>
      </c>
      <c r="AW13" s="53" t="e">
        <f t="shared" ca="1" si="95"/>
        <v>#N/A</v>
      </c>
      <c r="AX13" s="53" t="e">
        <f t="shared" ca="1" si="95"/>
        <v>#N/A</v>
      </c>
      <c r="AY13" s="53" t="e">
        <f t="shared" ca="1" si="95"/>
        <v>#N/A</v>
      </c>
      <c r="AZ13" s="53" t="e">
        <f t="shared" ca="1" si="95"/>
        <v>#N/A</v>
      </c>
      <c r="BA13" s="53" t="e">
        <f t="shared" ca="1" si="95"/>
        <v>#N/A</v>
      </c>
      <c r="BB13" s="53" t="e">
        <f t="shared" ca="1" si="95"/>
        <v>#N/A</v>
      </c>
      <c r="BC13" s="53" t="e">
        <f t="shared" ca="1" si="95"/>
        <v>#N/A</v>
      </c>
      <c r="BD13" s="53" t="e">
        <f t="shared" ca="1" si="95"/>
        <v>#N/A</v>
      </c>
      <c r="BE13" s="53" t="e">
        <f t="shared" ca="1" si="95"/>
        <v>#N/A</v>
      </c>
      <c r="BF13" s="53" t="e">
        <f t="shared" ca="1" si="95"/>
        <v>#N/A</v>
      </c>
      <c r="BG13" s="53" t="e">
        <f t="shared" ca="1" si="95"/>
        <v>#N/A</v>
      </c>
      <c r="BH13" s="53" t="e">
        <f t="shared" ca="1" si="95"/>
        <v>#N/A</v>
      </c>
      <c r="BI13" s="53" t="e">
        <f t="shared" ca="1" si="95"/>
        <v>#N/A</v>
      </c>
      <c r="BJ13" s="53" t="e">
        <f t="shared" ca="1" si="95"/>
        <v>#N/A</v>
      </c>
      <c r="BK13" s="53" t="e">
        <f t="shared" ca="1" si="95"/>
        <v>#N/A</v>
      </c>
      <c r="BL13" s="53" t="e">
        <f t="shared" ca="1" si="95"/>
        <v>#N/A</v>
      </c>
      <c r="BM13" s="53" t="e">
        <f ca="1">IF(ISNA(BL5),NA(),IF(BM4&lt;$C$10,(BM5/OFFSET(BM5,0,-BM4))^(1/(BM4)),(BM5/OFFSET(BM5,0,-$C$10))^(1/$C$10))-1)</f>
        <v>#N/A</v>
      </c>
      <c r="BN13" s="53" t="e">
        <f t="shared" ca="1" si="95"/>
        <v>#N/A</v>
      </c>
      <c r="BO13" s="53" t="e">
        <f t="shared" ca="1" si="95"/>
        <v>#N/A</v>
      </c>
      <c r="BP13" s="53" t="e">
        <f t="shared" ca="1" si="95"/>
        <v>#N/A</v>
      </c>
      <c r="BQ13" s="53" t="e">
        <f t="shared" ca="1" si="95"/>
        <v>#N/A</v>
      </c>
      <c r="BR13" s="53" t="e">
        <f ca="1">IF(ISNA(BQ5),NA(),IF(BR4&lt;$C$10,(BR5/OFFSET(BR5,0,-BR4))^(1/(BR4)),(BR5/OFFSET(BR5,0,-$C$10))^(1/$C$10))-1)</f>
        <v>#N/A</v>
      </c>
      <c r="BS13" s="53" t="e">
        <f t="shared" ca="1" si="95"/>
        <v>#N/A</v>
      </c>
      <c r="BT13" s="53" t="e">
        <f t="shared" ca="1" si="95"/>
        <v>#N/A</v>
      </c>
      <c r="BU13" s="53" t="e">
        <f t="shared" ref="BU13:EF13" ca="1" si="96">IF(ISNA(BT5),NA(),IF(BU4&lt;$C$10,(BU5/OFFSET(BU5,0,-BU4))^(1/(BU4)),(BU5/OFFSET(BU5,0,-$C$10))^(1/$C$10))-1)</f>
        <v>#N/A</v>
      </c>
      <c r="BV13" s="53" t="e">
        <f t="shared" ca="1" si="96"/>
        <v>#N/A</v>
      </c>
      <c r="BW13" s="53" t="e">
        <f t="shared" ca="1" si="96"/>
        <v>#N/A</v>
      </c>
      <c r="BX13" s="53" t="e">
        <f t="shared" ca="1" si="96"/>
        <v>#N/A</v>
      </c>
      <c r="BY13" s="53" t="e">
        <f t="shared" ca="1" si="96"/>
        <v>#N/A</v>
      </c>
      <c r="BZ13" s="53" t="e">
        <f t="shared" ca="1" si="96"/>
        <v>#N/A</v>
      </c>
      <c r="CA13" s="53" t="e">
        <f t="shared" ca="1" si="96"/>
        <v>#N/A</v>
      </c>
      <c r="CB13" s="53" t="e">
        <f t="shared" ca="1" si="96"/>
        <v>#N/A</v>
      </c>
      <c r="CC13" s="53" t="e">
        <f t="shared" ca="1" si="96"/>
        <v>#N/A</v>
      </c>
      <c r="CD13" s="53" t="e">
        <f t="shared" ca="1" si="96"/>
        <v>#N/A</v>
      </c>
      <c r="CE13" s="53" t="e">
        <f t="shared" ca="1" si="96"/>
        <v>#N/A</v>
      </c>
      <c r="CF13" s="53" t="e">
        <f t="shared" ca="1" si="96"/>
        <v>#N/A</v>
      </c>
      <c r="CG13" s="53" t="e">
        <f t="shared" ca="1" si="96"/>
        <v>#N/A</v>
      </c>
      <c r="CH13" s="53" t="e">
        <f t="shared" ca="1" si="96"/>
        <v>#N/A</v>
      </c>
      <c r="CI13" s="53" t="e">
        <f t="shared" ca="1" si="96"/>
        <v>#N/A</v>
      </c>
      <c r="CJ13" s="53" t="e">
        <f t="shared" ca="1" si="96"/>
        <v>#N/A</v>
      </c>
      <c r="CK13" s="53" t="e">
        <f t="shared" ca="1" si="96"/>
        <v>#N/A</v>
      </c>
      <c r="CL13" s="53" t="e">
        <f t="shared" ca="1" si="96"/>
        <v>#N/A</v>
      </c>
      <c r="CM13" s="53" t="e">
        <f t="shared" ca="1" si="96"/>
        <v>#N/A</v>
      </c>
      <c r="CN13" s="53" t="e">
        <f t="shared" ca="1" si="96"/>
        <v>#N/A</v>
      </c>
      <c r="CO13" s="53" t="e">
        <f t="shared" ca="1" si="96"/>
        <v>#N/A</v>
      </c>
      <c r="CP13" s="53" t="e">
        <f t="shared" ca="1" si="96"/>
        <v>#N/A</v>
      </c>
      <c r="CQ13" s="53" t="e">
        <f t="shared" ca="1" si="96"/>
        <v>#N/A</v>
      </c>
      <c r="CR13" s="53" t="e">
        <f t="shared" ca="1" si="96"/>
        <v>#N/A</v>
      </c>
      <c r="CS13" s="53" t="e">
        <f t="shared" ca="1" si="96"/>
        <v>#N/A</v>
      </c>
      <c r="CT13" s="53" t="e">
        <f t="shared" ca="1" si="96"/>
        <v>#N/A</v>
      </c>
      <c r="CU13" s="53" t="e">
        <f t="shared" ca="1" si="96"/>
        <v>#N/A</v>
      </c>
      <c r="CV13" s="53" t="e">
        <f t="shared" ca="1" si="96"/>
        <v>#N/A</v>
      </c>
      <c r="CW13" s="53" t="e">
        <f t="shared" ca="1" si="96"/>
        <v>#N/A</v>
      </c>
      <c r="CX13" s="53" t="e">
        <f t="shared" ca="1" si="96"/>
        <v>#N/A</v>
      </c>
      <c r="CY13" s="53" t="e">
        <f t="shared" ca="1" si="96"/>
        <v>#N/A</v>
      </c>
      <c r="CZ13" s="53" t="e">
        <f t="shared" ca="1" si="96"/>
        <v>#N/A</v>
      </c>
      <c r="DA13" s="53" t="e">
        <f t="shared" ca="1" si="96"/>
        <v>#N/A</v>
      </c>
      <c r="DB13" s="53" t="e">
        <f t="shared" ca="1" si="96"/>
        <v>#N/A</v>
      </c>
      <c r="DC13" s="53" t="e">
        <f t="shared" ca="1" si="96"/>
        <v>#N/A</v>
      </c>
      <c r="DD13" s="53" t="e">
        <f t="shared" ca="1" si="96"/>
        <v>#N/A</v>
      </c>
      <c r="DE13" s="53" t="e">
        <f t="shared" ca="1" si="96"/>
        <v>#N/A</v>
      </c>
      <c r="DF13" s="53" t="e">
        <f t="shared" ca="1" si="96"/>
        <v>#N/A</v>
      </c>
      <c r="DG13" s="53" t="e">
        <f t="shared" ca="1" si="96"/>
        <v>#N/A</v>
      </c>
      <c r="DH13" s="53" t="e">
        <f t="shared" ca="1" si="96"/>
        <v>#N/A</v>
      </c>
      <c r="DI13" s="53" t="e">
        <f t="shared" ca="1" si="96"/>
        <v>#N/A</v>
      </c>
      <c r="DJ13" s="53" t="e">
        <f t="shared" ca="1" si="96"/>
        <v>#N/A</v>
      </c>
      <c r="DK13" s="53" t="e">
        <f t="shared" ca="1" si="96"/>
        <v>#N/A</v>
      </c>
      <c r="DL13" s="53" t="e">
        <f t="shared" ca="1" si="96"/>
        <v>#N/A</v>
      </c>
      <c r="DM13" s="53" t="e">
        <f t="shared" ca="1" si="96"/>
        <v>#N/A</v>
      </c>
      <c r="DN13" s="53" t="e">
        <f t="shared" ca="1" si="96"/>
        <v>#N/A</v>
      </c>
      <c r="DO13" s="53" t="e">
        <f t="shared" ca="1" si="96"/>
        <v>#N/A</v>
      </c>
      <c r="DP13" s="53" t="e">
        <f t="shared" ca="1" si="96"/>
        <v>#N/A</v>
      </c>
      <c r="DQ13" s="53" t="e">
        <f t="shared" ca="1" si="96"/>
        <v>#N/A</v>
      </c>
      <c r="DR13" s="53" t="e">
        <f t="shared" ca="1" si="96"/>
        <v>#N/A</v>
      </c>
      <c r="DS13" s="53" t="e">
        <f t="shared" ca="1" si="96"/>
        <v>#N/A</v>
      </c>
      <c r="DT13" s="53" t="e">
        <f t="shared" ca="1" si="96"/>
        <v>#N/A</v>
      </c>
      <c r="DU13" s="53" t="e">
        <f t="shared" ca="1" si="96"/>
        <v>#N/A</v>
      </c>
      <c r="DV13" s="53" t="e">
        <f t="shared" ca="1" si="96"/>
        <v>#N/A</v>
      </c>
      <c r="DW13" s="53" t="e">
        <f t="shared" ca="1" si="96"/>
        <v>#N/A</v>
      </c>
      <c r="DX13" s="53" t="e">
        <f t="shared" ca="1" si="96"/>
        <v>#N/A</v>
      </c>
      <c r="DY13" s="53" t="e">
        <f t="shared" ca="1" si="96"/>
        <v>#N/A</v>
      </c>
      <c r="DZ13" s="53" t="e">
        <f t="shared" ca="1" si="96"/>
        <v>#N/A</v>
      </c>
      <c r="EA13" s="53" t="e">
        <f t="shared" ca="1" si="96"/>
        <v>#N/A</v>
      </c>
      <c r="EB13" s="53" t="e">
        <f t="shared" ca="1" si="96"/>
        <v>#N/A</v>
      </c>
      <c r="EC13" s="53" t="e">
        <f t="shared" ca="1" si="96"/>
        <v>#N/A</v>
      </c>
      <c r="ED13" s="53" t="e">
        <f t="shared" ca="1" si="96"/>
        <v>#N/A</v>
      </c>
      <c r="EE13" s="53" t="e">
        <f t="shared" ca="1" si="96"/>
        <v>#N/A</v>
      </c>
      <c r="EF13" s="53" t="e">
        <f t="shared" ca="1" si="96"/>
        <v>#N/A</v>
      </c>
      <c r="EG13" s="53" t="e">
        <f t="shared" ref="EG13:GR13" ca="1" si="97">IF(ISNA(EF5),NA(),IF(EG4&lt;$C$10,(EG5/OFFSET(EG5,0,-EG4))^(1/(EG4)),(EG5/OFFSET(EG5,0,-$C$10))^(1/$C$10))-1)</f>
        <v>#N/A</v>
      </c>
      <c r="EH13" s="53" t="e">
        <f t="shared" ca="1" si="97"/>
        <v>#N/A</v>
      </c>
      <c r="EI13" s="53" t="e">
        <f t="shared" ca="1" si="97"/>
        <v>#N/A</v>
      </c>
      <c r="EJ13" s="53" t="e">
        <f t="shared" ca="1" si="97"/>
        <v>#N/A</v>
      </c>
      <c r="EK13" s="53" t="e">
        <f t="shared" ca="1" si="97"/>
        <v>#N/A</v>
      </c>
      <c r="EL13" s="53" t="e">
        <f t="shared" ca="1" si="97"/>
        <v>#N/A</v>
      </c>
      <c r="EM13" s="53" t="e">
        <f t="shared" ca="1" si="97"/>
        <v>#N/A</v>
      </c>
      <c r="EN13" s="53" t="e">
        <f t="shared" ca="1" si="97"/>
        <v>#N/A</v>
      </c>
      <c r="EO13" s="53" t="e">
        <f t="shared" ca="1" si="97"/>
        <v>#N/A</v>
      </c>
      <c r="EP13" s="53" t="e">
        <f t="shared" ca="1" si="97"/>
        <v>#N/A</v>
      </c>
      <c r="EQ13" s="53" t="e">
        <f t="shared" ca="1" si="97"/>
        <v>#N/A</v>
      </c>
      <c r="ER13" s="53" t="e">
        <f t="shared" ca="1" si="97"/>
        <v>#N/A</v>
      </c>
      <c r="ES13" s="53" t="e">
        <f t="shared" ca="1" si="97"/>
        <v>#N/A</v>
      </c>
      <c r="ET13" s="53" t="e">
        <f t="shared" ca="1" si="97"/>
        <v>#N/A</v>
      </c>
      <c r="EU13" s="53" t="e">
        <f t="shared" ca="1" si="97"/>
        <v>#N/A</v>
      </c>
      <c r="EV13" s="53" t="e">
        <f t="shared" ca="1" si="97"/>
        <v>#N/A</v>
      </c>
      <c r="EW13" s="53" t="e">
        <f t="shared" ca="1" si="97"/>
        <v>#N/A</v>
      </c>
      <c r="EX13" s="53" t="e">
        <f t="shared" ca="1" si="97"/>
        <v>#N/A</v>
      </c>
      <c r="EY13" s="53" t="e">
        <f t="shared" ca="1" si="97"/>
        <v>#N/A</v>
      </c>
      <c r="EZ13" s="53" t="e">
        <f t="shared" ca="1" si="97"/>
        <v>#N/A</v>
      </c>
      <c r="FA13" s="53" t="e">
        <f t="shared" ca="1" si="97"/>
        <v>#N/A</v>
      </c>
      <c r="FB13" s="53" t="e">
        <f t="shared" ca="1" si="97"/>
        <v>#N/A</v>
      </c>
      <c r="FC13" s="53" t="e">
        <f t="shared" ca="1" si="97"/>
        <v>#N/A</v>
      </c>
      <c r="FD13" s="53" t="e">
        <f t="shared" ca="1" si="97"/>
        <v>#N/A</v>
      </c>
      <c r="FE13" s="53" t="e">
        <f t="shared" ca="1" si="97"/>
        <v>#N/A</v>
      </c>
      <c r="FF13" s="53" t="e">
        <f t="shared" ca="1" si="97"/>
        <v>#N/A</v>
      </c>
      <c r="FG13" s="53" t="e">
        <f t="shared" ca="1" si="97"/>
        <v>#N/A</v>
      </c>
      <c r="FH13" s="53" t="e">
        <f t="shared" ca="1" si="97"/>
        <v>#N/A</v>
      </c>
      <c r="FI13" s="53" t="e">
        <f t="shared" ca="1" si="97"/>
        <v>#N/A</v>
      </c>
      <c r="FJ13" s="53" t="e">
        <f t="shared" ca="1" si="97"/>
        <v>#N/A</v>
      </c>
      <c r="FK13" s="53" t="e">
        <f t="shared" ca="1" si="97"/>
        <v>#N/A</v>
      </c>
      <c r="FL13" s="53" t="e">
        <f t="shared" ca="1" si="97"/>
        <v>#N/A</v>
      </c>
      <c r="FM13" s="53" t="e">
        <f t="shared" ca="1" si="97"/>
        <v>#N/A</v>
      </c>
      <c r="FN13" s="53" t="e">
        <f t="shared" ca="1" si="97"/>
        <v>#N/A</v>
      </c>
      <c r="FO13" s="53" t="e">
        <f t="shared" ca="1" si="97"/>
        <v>#N/A</v>
      </c>
      <c r="FP13" s="53" t="e">
        <f t="shared" ca="1" si="97"/>
        <v>#N/A</v>
      </c>
      <c r="FQ13" s="53" t="e">
        <f t="shared" ca="1" si="97"/>
        <v>#N/A</v>
      </c>
      <c r="FR13" s="53" t="e">
        <f t="shared" ca="1" si="97"/>
        <v>#N/A</v>
      </c>
      <c r="FS13" s="53" t="e">
        <f t="shared" ca="1" si="97"/>
        <v>#N/A</v>
      </c>
      <c r="FT13" s="53" t="e">
        <f t="shared" ca="1" si="97"/>
        <v>#N/A</v>
      </c>
      <c r="FU13" s="53" t="e">
        <f t="shared" ca="1" si="97"/>
        <v>#N/A</v>
      </c>
      <c r="FV13" s="53" t="e">
        <f t="shared" ca="1" si="97"/>
        <v>#N/A</v>
      </c>
      <c r="FW13" s="53" t="e">
        <f t="shared" ca="1" si="97"/>
        <v>#N/A</v>
      </c>
      <c r="FX13" s="53" t="e">
        <f t="shared" ca="1" si="97"/>
        <v>#N/A</v>
      </c>
      <c r="FY13" s="53" t="e">
        <f t="shared" ca="1" si="97"/>
        <v>#N/A</v>
      </c>
      <c r="FZ13" s="53" t="e">
        <f t="shared" ca="1" si="97"/>
        <v>#N/A</v>
      </c>
      <c r="GA13" s="53" t="e">
        <f t="shared" ca="1" si="97"/>
        <v>#N/A</v>
      </c>
      <c r="GB13" s="53" t="e">
        <f t="shared" ca="1" si="97"/>
        <v>#N/A</v>
      </c>
      <c r="GC13" s="53" t="e">
        <f t="shared" ca="1" si="97"/>
        <v>#N/A</v>
      </c>
      <c r="GD13" s="53" t="e">
        <f t="shared" ca="1" si="97"/>
        <v>#N/A</v>
      </c>
      <c r="GE13" s="53" t="e">
        <f t="shared" ca="1" si="97"/>
        <v>#N/A</v>
      </c>
      <c r="GF13" s="53" t="e">
        <f t="shared" ca="1" si="97"/>
        <v>#N/A</v>
      </c>
      <c r="GG13" s="53" t="e">
        <f t="shared" ca="1" si="97"/>
        <v>#N/A</v>
      </c>
      <c r="GH13" s="53" t="e">
        <f t="shared" ca="1" si="97"/>
        <v>#N/A</v>
      </c>
      <c r="GI13" s="53" t="e">
        <f t="shared" ca="1" si="97"/>
        <v>#N/A</v>
      </c>
      <c r="GJ13" s="53" t="e">
        <f t="shared" ca="1" si="97"/>
        <v>#N/A</v>
      </c>
      <c r="GK13" s="53" t="e">
        <f t="shared" ca="1" si="97"/>
        <v>#N/A</v>
      </c>
      <c r="GL13" s="53" t="e">
        <f t="shared" ca="1" si="97"/>
        <v>#N/A</v>
      </c>
      <c r="GM13" s="53" t="e">
        <f t="shared" ca="1" si="97"/>
        <v>#N/A</v>
      </c>
      <c r="GN13" s="53" t="e">
        <f t="shared" ca="1" si="97"/>
        <v>#N/A</v>
      </c>
      <c r="GO13" s="53" t="e">
        <f t="shared" ca="1" si="97"/>
        <v>#N/A</v>
      </c>
      <c r="GP13" s="53" t="e">
        <f t="shared" ca="1" si="97"/>
        <v>#N/A</v>
      </c>
      <c r="GQ13" s="53" t="e">
        <f t="shared" ca="1" si="97"/>
        <v>#N/A</v>
      </c>
      <c r="GR13" s="53" t="e">
        <f t="shared" ca="1" si="97"/>
        <v>#N/A</v>
      </c>
      <c r="GS13" s="53" t="e">
        <f t="shared" ref="GS13:IN13" ca="1" si="98">IF(ISNA(GR5),NA(),IF(GS4&lt;$C$10,(GS5/OFFSET(GS5,0,-GS4))^(1/(GS4)),(GS5/OFFSET(GS5,0,-$C$10))^(1/$C$10))-1)</f>
        <v>#N/A</v>
      </c>
      <c r="GT13" s="53" t="e">
        <f t="shared" ca="1" si="98"/>
        <v>#N/A</v>
      </c>
      <c r="GU13" s="53" t="e">
        <f t="shared" ca="1" si="98"/>
        <v>#N/A</v>
      </c>
      <c r="GV13" s="53" t="e">
        <f t="shared" ca="1" si="98"/>
        <v>#N/A</v>
      </c>
      <c r="GW13" s="53" t="e">
        <f t="shared" ca="1" si="98"/>
        <v>#N/A</v>
      </c>
      <c r="GX13" s="53" t="e">
        <f t="shared" ca="1" si="98"/>
        <v>#N/A</v>
      </c>
      <c r="GY13" s="53" t="e">
        <f t="shared" ca="1" si="98"/>
        <v>#N/A</v>
      </c>
      <c r="GZ13" s="53" t="e">
        <f t="shared" ca="1" si="98"/>
        <v>#N/A</v>
      </c>
      <c r="HA13" s="53" t="e">
        <f t="shared" ca="1" si="98"/>
        <v>#N/A</v>
      </c>
      <c r="HB13" s="53" t="e">
        <f t="shared" ca="1" si="98"/>
        <v>#N/A</v>
      </c>
      <c r="HC13" s="53" t="e">
        <f t="shared" ca="1" si="98"/>
        <v>#N/A</v>
      </c>
      <c r="HD13" s="53" t="e">
        <f t="shared" ca="1" si="98"/>
        <v>#N/A</v>
      </c>
      <c r="HE13" s="53" t="e">
        <f t="shared" ca="1" si="98"/>
        <v>#N/A</v>
      </c>
      <c r="HF13" s="53" t="e">
        <f t="shared" ca="1" si="98"/>
        <v>#N/A</v>
      </c>
      <c r="HG13" s="53" t="e">
        <f t="shared" ca="1" si="98"/>
        <v>#N/A</v>
      </c>
      <c r="HH13" s="53" t="e">
        <f t="shared" ca="1" si="98"/>
        <v>#N/A</v>
      </c>
      <c r="HI13" s="53" t="e">
        <f t="shared" ca="1" si="98"/>
        <v>#N/A</v>
      </c>
      <c r="HJ13" s="53" t="e">
        <f t="shared" ca="1" si="98"/>
        <v>#N/A</v>
      </c>
      <c r="HK13" s="53" t="e">
        <f t="shared" ca="1" si="98"/>
        <v>#N/A</v>
      </c>
      <c r="HL13" s="53" t="e">
        <f t="shared" ca="1" si="98"/>
        <v>#N/A</v>
      </c>
      <c r="HM13" s="53" t="e">
        <f t="shared" ca="1" si="98"/>
        <v>#N/A</v>
      </c>
      <c r="HN13" s="53" t="e">
        <f t="shared" ca="1" si="98"/>
        <v>#N/A</v>
      </c>
      <c r="HO13" s="53" t="e">
        <f t="shared" ca="1" si="98"/>
        <v>#N/A</v>
      </c>
      <c r="HP13" s="53" t="e">
        <f t="shared" ca="1" si="98"/>
        <v>#N/A</v>
      </c>
      <c r="HQ13" s="53" t="e">
        <f t="shared" ca="1" si="98"/>
        <v>#N/A</v>
      </c>
      <c r="HR13" s="53" t="e">
        <f t="shared" ca="1" si="98"/>
        <v>#N/A</v>
      </c>
      <c r="HS13" s="53" t="e">
        <f t="shared" ca="1" si="98"/>
        <v>#N/A</v>
      </c>
      <c r="HT13" s="53" t="e">
        <f t="shared" ca="1" si="98"/>
        <v>#N/A</v>
      </c>
      <c r="HU13" s="53" t="e">
        <f t="shared" ca="1" si="98"/>
        <v>#N/A</v>
      </c>
      <c r="HV13" s="53" t="e">
        <f t="shared" ca="1" si="98"/>
        <v>#N/A</v>
      </c>
      <c r="HW13" s="53" t="e">
        <f t="shared" ca="1" si="98"/>
        <v>#N/A</v>
      </c>
      <c r="HX13" s="53" t="e">
        <f t="shared" ca="1" si="98"/>
        <v>#N/A</v>
      </c>
      <c r="HY13" s="53" t="e">
        <f t="shared" ca="1" si="98"/>
        <v>#N/A</v>
      </c>
      <c r="HZ13" s="53" t="e">
        <f t="shared" ca="1" si="98"/>
        <v>#N/A</v>
      </c>
      <c r="IA13" s="53" t="e">
        <f t="shared" ca="1" si="98"/>
        <v>#N/A</v>
      </c>
      <c r="IB13" s="53" t="e">
        <f t="shared" ca="1" si="98"/>
        <v>#N/A</v>
      </c>
      <c r="IC13" s="53" t="e">
        <f t="shared" ca="1" si="98"/>
        <v>#N/A</v>
      </c>
      <c r="ID13" s="53" t="e">
        <f t="shared" ca="1" si="98"/>
        <v>#N/A</v>
      </c>
      <c r="IE13" s="53" t="e">
        <f t="shared" ca="1" si="98"/>
        <v>#N/A</v>
      </c>
      <c r="IF13" s="53" t="e">
        <f t="shared" ca="1" si="98"/>
        <v>#N/A</v>
      </c>
      <c r="IG13" s="53" t="e">
        <f t="shared" ca="1" si="98"/>
        <v>#N/A</v>
      </c>
      <c r="IH13" s="53" t="e">
        <f t="shared" ca="1" si="98"/>
        <v>#N/A</v>
      </c>
      <c r="II13" s="53" t="e">
        <f t="shared" ca="1" si="98"/>
        <v>#N/A</v>
      </c>
      <c r="IJ13" s="53" t="e">
        <f t="shared" ca="1" si="98"/>
        <v>#N/A</v>
      </c>
      <c r="IK13" s="53" t="e">
        <f t="shared" ca="1" si="98"/>
        <v>#N/A</v>
      </c>
      <c r="IL13" s="53" t="e">
        <f t="shared" ca="1" si="98"/>
        <v>#N/A</v>
      </c>
      <c r="IM13" s="53" t="e">
        <f t="shared" ca="1" si="98"/>
        <v>#N/A</v>
      </c>
      <c r="IN13" s="53" t="e">
        <f t="shared" ca="1" si="98"/>
        <v>#N/A</v>
      </c>
    </row>
    <row r="14" spans="2:248" x14ac:dyDescent="0.3">
      <c r="B14" s="19" t="s">
        <v>452</v>
      </c>
      <c r="C14" s="21">
        <f>C4*(1+C12)</f>
        <v>13990.65170689833</v>
      </c>
      <c r="F14" s="19" t="s">
        <v>602</v>
      </c>
      <c r="G14" s="53">
        <f ca="1">H14</f>
        <v>0.4137931034482758</v>
      </c>
      <c r="H14" s="53">
        <f ca="1">IF(ISNA(G8),NA(),IF(H4&lt;$C$10,(H8/OFFSET(H8,0,-H4))^(1/(H4)),(H8/OFFSET(H8,0,-$C$10))^(1/$C$10))-1)</f>
        <v>0.4137931034482758</v>
      </c>
      <c r="I14" s="53">
        <f t="shared" ref="I14:BT14" ca="1" si="99">IF(ISNA(H8),NA(),IF(I4&lt;$C$10,(I8/OFFSET(I8,0,-I4))^(1/(I4)),(I8/OFFSET(I8,0,-$C$10))^(1/$C$10))-1)</f>
        <v>0.33584533484258183</v>
      </c>
      <c r="J14" s="53">
        <f t="shared" ca="1" si="99"/>
        <v>0.33177499932927024</v>
      </c>
      <c r="K14" s="53">
        <f t="shared" ca="1" si="99"/>
        <v>0.29077180589770335</v>
      </c>
      <c r="L14" s="53">
        <f t="shared" ca="1" si="99"/>
        <v>0.27049993459236288</v>
      </c>
      <c r="M14" s="53">
        <f t="shared" ca="1" si="99"/>
        <v>0.22855263432816053</v>
      </c>
      <c r="N14" s="53">
        <f t="shared" ca="1" si="99"/>
        <v>0.23220054380487376</v>
      </c>
      <c r="O14" s="53">
        <f t="shared" ca="1" si="99"/>
        <v>0.2386803361622456</v>
      </c>
      <c r="P14" s="53">
        <f t="shared" ca="1" si="99"/>
        <v>0.28564583332242544</v>
      </c>
      <c r="Q14" s="53">
        <f t="shared" ca="1" si="99"/>
        <v>0.28166159281500835</v>
      </c>
      <c r="R14" s="53">
        <f t="shared" ca="1" si="99"/>
        <v>0.22593254085261694</v>
      </c>
      <c r="S14" s="53">
        <f t="shared" ca="1" si="99"/>
        <v>0.23436760595569517</v>
      </c>
      <c r="T14" s="53">
        <f t="shared" ca="1" si="99"/>
        <v>0.23505136750278721</v>
      </c>
      <c r="U14" s="53">
        <f t="shared" ca="1" si="99"/>
        <v>0.14696653867263243</v>
      </c>
      <c r="V14" s="53">
        <f t="shared" ca="1" si="99"/>
        <v>0.21206622028442301</v>
      </c>
      <c r="W14" s="53">
        <f t="shared" ca="1" si="99"/>
        <v>0.28163000318904796</v>
      </c>
      <c r="X14" s="53">
        <f t="shared" ca="1" si="99"/>
        <v>0.23985998645749285</v>
      </c>
      <c r="Y14" s="53">
        <f t="shared" ca="1" si="99"/>
        <v>0.19864500825295339</v>
      </c>
      <c r="Z14" s="53">
        <f t="shared" ca="1" si="99"/>
        <v>0.24587887548521414</v>
      </c>
      <c r="AA14" s="53">
        <f t="shared" ca="1" si="99"/>
        <v>0.17313028197332891</v>
      </c>
      <c r="AB14" s="53">
        <f t="shared" ca="1" si="99"/>
        <v>0.17191681343557641</v>
      </c>
      <c r="AC14" s="53" t="e">
        <f t="shared" ca="1" si="99"/>
        <v>#N/A</v>
      </c>
      <c r="AD14" s="53" t="e">
        <f t="shared" ca="1" si="99"/>
        <v>#N/A</v>
      </c>
      <c r="AE14" s="53" t="e">
        <f t="shared" ca="1" si="99"/>
        <v>#N/A</v>
      </c>
      <c r="AF14" s="53" t="e">
        <f t="shared" ca="1" si="99"/>
        <v>#N/A</v>
      </c>
      <c r="AG14" s="53" t="e">
        <f t="shared" ca="1" si="99"/>
        <v>#N/A</v>
      </c>
      <c r="AH14" s="53" t="e">
        <f t="shared" ca="1" si="99"/>
        <v>#N/A</v>
      </c>
      <c r="AI14" s="53" t="e">
        <f t="shared" ca="1" si="99"/>
        <v>#N/A</v>
      </c>
      <c r="AJ14" s="53" t="e">
        <f t="shared" ca="1" si="99"/>
        <v>#N/A</v>
      </c>
      <c r="AK14" s="53" t="e">
        <f t="shared" ca="1" si="99"/>
        <v>#N/A</v>
      </c>
      <c r="AL14" s="53" t="e">
        <f t="shared" ca="1" si="99"/>
        <v>#N/A</v>
      </c>
      <c r="AM14" s="53" t="e">
        <f t="shared" ca="1" si="99"/>
        <v>#N/A</v>
      </c>
      <c r="AN14" s="53" t="e">
        <f t="shared" ca="1" si="99"/>
        <v>#N/A</v>
      </c>
      <c r="AO14" s="53" t="e">
        <f t="shared" ca="1" si="99"/>
        <v>#N/A</v>
      </c>
      <c r="AP14" s="53" t="e">
        <f t="shared" ca="1" si="99"/>
        <v>#N/A</v>
      </c>
      <c r="AQ14" s="53" t="e">
        <f t="shared" ca="1" si="99"/>
        <v>#N/A</v>
      </c>
      <c r="AR14" s="53" t="e">
        <f t="shared" ca="1" si="99"/>
        <v>#N/A</v>
      </c>
      <c r="AS14" s="53" t="e">
        <f t="shared" ca="1" si="99"/>
        <v>#N/A</v>
      </c>
      <c r="AT14" s="53" t="e">
        <f t="shared" ca="1" si="99"/>
        <v>#N/A</v>
      </c>
      <c r="AU14" s="53" t="e">
        <f t="shared" ca="1" si="99"/>
        <v>#N/A</v>
      </c>
      <c r="AV14" s="53" t="e">
        <f t="shared" ca="1" si="99"/>
        <v>#N/A</v>
      </c>
      <c r="AW14" s="53" t="e">
        <f t="shared" ca="1" si="99"/>
        <v>#N/A</v>
      </c>
      <c r="AX14" s="53" t="e">
        <f t="shared" ca="1" si="99"/>
        <v>#N/A</v>
      </c>
      <c r="AY14" s="53" t="e">
        <f t="shared" ca="1" si="99"/>
        <v>#N/A</v>
      </c>
      <c r="AZ14" s="53" t="e">
        <f t="shared" ca="1" si="99"/>
        <v>#N/A</v>
      </c>
      <c r="BA14" s="53" t="e">
        <f t="shared" ca="1" si="99"/>
        <v>#N/A</v>
      </c>
      <c r="BB14" s="53" t="e">
        <f t="shared" ca="1" si="99"/>
        <v>#N/A</v>
      </c>
      <c r="BC14" s="53" t="e">
        <f t="shared" ca="1" si="99"/>
        <v>#N/A</v>
      </c>
      <c r="BD14" s="53" t="e">
        <f t="shared" ca="1" si="99"/>
        <v>#N/A</v>
      </c>
      <c r="BE14" s="53" t="e">
        <f t="shared" ca="1" si="99"/>
        <v>#N/A</v>
      </c>
      <c r="BF14" s="53" t="e">
        <f t="shared" ca="1" si="99"/>
        <v>#N/A</v>
      </c>
      <c r="BG14" s="53" t="e">
        <f t="shared" ca="1" si="99"/>
        <v>#N/A</v>
      </c>
      <c r="BH14" s="53" t="e">
        <f t="shared" ca="1" si="99"/>
        <v>#N/A</v>
      </c>
      <c r="BI14" s="53" t="e">
        <f t="shared" ca="1" si="99"/>
        <v>#N/A</v>
      </c>
      <c r="BJ14" s="53" t="e">
        <f t="shared" ca="1" si="99"/>
        <v>#N/A</v>
      </c>
      <c r="BK14" s="53" t="e">
        <f t="shared" ca="1" si="99"/>
        <v>#N/A</v>
      </c>
      <c r="BL14" s="53" t="e">
        <f t="shared" ca="1" si="99"/>
        <v>#N/A</v>
      </c>
      <c r="BM14" s="53" t="e">
        <f t="shared" ca="1" si="99"/>
        <v>#N/A</v>
      </c>
      <c r="BN14" s="53" t="e">
        <f t="shared" ca="1" si="99"/>
        <v>#N/A</v>
      </c>
      <c r="BO14" s="53" t="e">
        <f t="shared" ca="1" si="99"/>
        <v>#N/A</v>
      </c>
      <c r="BP14" s="53" t="e">
        <f t="shared" ca="1" si="99"/>
        <v>#N/A</v>
      </c>
      <c r="BQ14" s="53" t="e">
        <f t="shared" ca="1" si="99"/>
        <v>#N/A</v>
      </c>
      <c r="BR14" s="53" t="e">
        <f t="shared" ca="1" si="99"/>
        <v>#N/A</v>
      </c>
      <c r="BS14" s="53" t="e">
        <f t="shared" ca="1" si="99"/>
        <v>#N/A</v>
      </c>
      <c r="BT14" s="53" t="e">
        <f t="shared" ca="1" si="99"/>
        <v>#N/A</v>
      </c>
      <c r="BU14" s="53" t="e">
        <f t="shared" ref="BU14:EF14" ca="1" si="100">IF(ISNA(BT8),NA(),IF(BU4&lt;$C$10,(BU8/OFFSET(BU8,0,-BU4))^(1/(BU4)),(BU8/OFFSET(BU8,0,-$C$10))^(1/$C$10))-1)</f>
        <v>#N/A</v>
      </c>
      <c r="BV14" s="53" t="e">
        <f t="shared" ca="1" si="100"/>
        <v>#N/A</v>
      </c>
      <c r="BW14" s="53" t="e">
        <f t="shared" ca="1" si="100"/>
        <v>#N/A</v>
      </c>
      <c r="BX14" s="53" t="e">
        <f t="shared" ca="1" si="100"/>
        <v>#N/A</v>
      </c>
      <c r="BY14" s="53" t="e">
        <f t="shared" ca="1" si="100"/>
        <v>#N/A</v>
      </c>
      <c r="BZ14" s="53" t="e">
        <f t="shared" ca="1" si="100"/>
        <v>#N/A</v>
      </c>
      <c r="CA14" s="53" t="e">
        <f t="shared" ca="1" si="100"/>
        <v>#N/A</v>
      </c>
      <c r="CB14" s="53" t="e">
        <f t="shared" ca="1" si="100"/>
        <v>#N/A</v>
      </c>
      <c r="CC14" s="53" t="e">
        <f t="shared" ca="1" si="100"/>
        <v>#N/A</v>
      </c>
      <c r="CD14" s="53" t="e">
        <f t="shared" ca="1" si="100"/>
        <v>#N/A</v>
      </c>
      <c r="CE14" s="53" t="e">
        <f t="shared" ca="1" si="100"/>
        <v>#N/A</v>
      </c>
      <c r="CF14" s="53" t="e">
        <f t="shared" ca="1" si="100"/>
        <v>#N/A</v>
      </c>
      <c r="CG14" s="53" t="e">
        <f t="shared" ca="1" si="100"/>
        <v>#N/A</v>
      </c>
      <c r="CH14" s="53" t="e">
        <f t="shared" ca="1" si="100"/>
        <v>#N/A</v>
      </c>
      <c r="CI14" s="53" t="e">
        <f t="shared" ca="1" si="100"/>
        <v>#N/A</v>
      </c>
      <c r="CJ14" s="53" t="e">
        <f t="shared" ca="1" si="100"/>
        <v>#N/A</v>
      </c>
      <c r="CK14" s="53" t="e">
        <f t="shared" ca="1" si="100"/>
        <v>#N/A</v>
      </c>
      <c r="CL14" s="53" t="e">
        <f t="shared" ca="1" si="100"/>
        <v>#N/A</v>
      </c>
      <c r="CM14" s="53" t="e">
        <f t="shared" ca="1" si="100"/>
        <v>#N/A</v>
      </c>
      <c r="CN14" s="53" t="e">
        <f t="shared" ca="1" si="100"/>
        <v>#N/A</v>
      </c>
      <c r="CO14" s="53" t="e">
        <f t="shared" ca="1" si="100"/>
        <v>#N/A</v>
      </c>
      <c r="CP14" s="53" t="e">
        <f t="shared" ca="1" si="100"/>
        <v>#N/A</v>
      </c>
      <c r="CQ14" s="53" t="e">
        <f t="shared" ca="1" si="100"/>
        <v>#N/A</v>
      </c>
      <c r="CR14" s="53" t="e">
        <f t="shared" ca="1" si="100"/>
        <v>#N/A</v>
      </c>
      <c r="CS14" s="53" t="e">
        <f t="shared" ca="1" si="100"/>
        <v>#N/A</v>
      </c>
      <c r="CT14" s="53" t="e">
        <f t="shared" ca="1" si="100"/>
        <v>#N/A</v>
      </c>
      <c r="CU14" s="53" t="e">
        <f t="shared" ca="1" si="100"/>
        <v>#N/A</v>
      </c>
      <c r="CV14" s="53" t="e">
        <f t="shared" ca="1" si="100"/>
        <v>#N/A</v>
      </c>
      <c r="CW14" s="53" t="e">
        <f t="shared" ca="1" si="100"/>
        <v>#N/A</v>
      </c>
      <c r="CX14" s="53" t="e">
        <f t="shared" ca="1" si="100"/>
        <v>#N/A</v>
      </c>
      <c r="CY14" s="53" t="e">
        <f t="shared" ca="1" si="100"/>
        <v>#N/A</v>
      </c>
      <c r="CZ14" s="53" t="e">
        <f t="shared" ca="1" si="100"/>
        <v>#N/A</v>
      </c>
      <c r="DA14" s="53" t="e">
        <f t="shared" ca="1" si="100"/>
        <v>#N/A</v>
      </c>
      <c r="DB14" s="53" t="e">
        <f t="shared" ca="1" si="100"/>
        <v>#N/A</v>
      </c>
      <c r="DC14" s="53" t="e">
        <f t="shared" ca="1" si="100"/>
        <v>#N/A</v>
      </c>
      <c r="DD14" s="53" t="e">
        <f t="shared" ca="1" si="100"/>
        <v>#N/A</v>
      </c>
      <c r="DE14" s="53" t="e">
        <f t="shared" ca="1" si="100"/>
        <v>#N/A</v>
      </c>
      <c r="DF14" s="53" t="e">
        <f t="shared" ca="1" si="100"/>
        <v>#N/A</v>
      </c>
      <c r="DG14" s="53" t="e">
        <f t="shared" ca="1" si="100"/>
        <v>#N/A</v>
      </c>
      <c r="DH14" s="53" t="e">
        <f t="shared" ca="1" si="100"/>
        <v>#N/A</v>
      </c>
      <c r="DI14" s="53" t="e">
        <f t="shared" ca="1" si="100"/>
        <v>#N/A</v>
      </c>
      <c r="DJ14" s="53" t="e">
        <f t="shared" ca="1" si="100"/>
        <v>#N/A</v>
      </c>
      <c r="DK14" s="53" t="e">
        <f t="shared" ca="1" si="100"/>
        <v>#N/A</v>
      </c>
      <c r="DL14" s="53" t="e">
        <f t="shared" ca="1" si="100"/>
        <v>#N/A</v>
      </c>
      <c r="DM14" s="53" t="e">
        <f t="shared" ca="1" si="100"/>
        <v>#N/A</v>
      </c>
      <c r="DN14" s="53" t="e">
        <f t="shared" ca="1" si="100"/>
        <v>#N/A</v>
      </c>
      <c r="DO14" s="53" t="e">
        <f t="shared" ca="1" si="100"/>
        <v>#N/A</v>
      </c>
      <c r="DP14" s="53" t="e">
        <f t="shared" ca="1" si="100"/>
        <v>#N/A</v>
      </c>
      <c r="DQ14" s="53" t="e">
        <f t="shared" ca="1" si="100"/>
        <v>#N/A</v>
      </c>
      <c r="DR14" s="53" t="e">
        <f t="shared" ca="1" si="100"/>
        <v>#N/A</v>
      </c>
      <c r="DS14" s="53" t="e">
        <f t="shared" ca="1" si="100"/>
        <v>#N/A</v>
      </c>
      <c r="DT14" s="53" t="e">
        <f t="shared" ca="1" si="100"/>
        <v>#N/A</v>
      </c>
      <c r="DU14" s="53" t="e">
        <f t="shared" ca="1" si="100"/>
        <v>#N/A</v>
      </c>
      <c r="DV14" s="53" t="e">
        <f t="shared" ca="1" si="100"/>
        <v>#N/A</v>
      </c>
      <c r="DW14" s="53" t="e">
        <f t="shared" ca="1" si="100"/>
        <v>#N/A</v>
      </c>
      <c r="DX14" s="53" t="e">
        <f t="shared" ca="1" si="100"/>
        <v>#N/A</v>
      </c>
      <c r="DY14" s="53" t="e">
        <f t="shared" ca="1" si="100"/>
        <v>#N/A</v>
      </c>
      <c r="DZ14" s="53" t="e">
        <f t="shared" ca="1" si="100"/>
        <v>#N/A</v>
      </c>
      <c r="EA14" s="53" t="e">
        <f t="shared" ca="1" si="100"/>
        <v>#N/A</v>
      </c>
      <c r="EB14" s="53" t="e">
        <f t="shared" ca="1" si="100"/>
        <v>#N/A</v>
      </c>
      <c r="EC14" s="53" t="e">
        <f t="shared" ca="1" si="100"/>
        <v>#N/A</v>
      </c>
      <c r="ED14" s="53" t="e">
        <f t="shared" ca="1" si="100"/>
        <v>#N/A</v>
      </c>
      <c r="EE14" s="53" t="e">
        <f t="shared" ca="1" si="100"/>
        <v>#N/A</v>
      </c>
      <c r="EF14" s="53" t="e">
        <f t="shared" ca="1" si="100"/>
        <v>#N/A</v>
      </c>
      <c r="EG14" s="53" t="e">
        <f t="shared" ref="EG14:GR14" ca="1" si="101">IF(ISNA(EF8),NA(),IF(EG4&lt;$C$10,(EG8/OFFSET(EG8,0,-EG4))^(1/(EG4)),(EG8/OFFSET(EG8,0,-$C$10))^(1/$C$10))-1)</f>
        <v>#N/A</v>
      </c>
      <c r="EH14" s="53" t="e">
        <f t="shared" ca="1" si="101"/>
        <v>#N/A</v>
      </c>
      <c r="EI14" s="53" t="e">
        <f t="shared" ca="1" si="101"/>
        <v>#N/A</v>
      </c>
      <c r="EJ14" s="53" t="e">
        <f t="shared" ca="1" si="101"/>
        <v>#N/A</v>
      </c>
      <c r="EK14" s="53" t="e">
        <f t="shared" ca="1" si="101"/>
        <v>#N/A</v>
      </c>
      <c r="EL14" s="53" t="e">
        <f t="shared" ca="1" si="101"/>
        <v>#N/A</v>
      </c>
      <c r="EM14" s="53" t="e">
        <f t="shared" ca="1" si="101"/>
        <v>#N/A</v>
      </c>
      <c r="EN14" s="53" t="e">
        <f t="shared" ca="1" si="101"/>
        <v>#N/A</v>
      </c>
      <c r="EO14" s="53" t="e">
        <f t="shared" ca="1" si="101"/>
        <v>#N/A</v>
      </c>
      <c r="EP14" s="53" t="e">
        <f t="shared" ca="1" si="101"/>
        <v>#N/A</v>
      </c>
      <c r="EQ14" s="53" t="e">
        <f t="shared" ca="1" si="101"/>
        <v>#N/A</v>
      </c>
      <c r="ER14" s="53" t="e">
        <f t="shared" ca="1" si="101"/>
        <v>#N/A</v>
      </c>
      <c r="ES14" s="53" t="e">
        <f t="shared" ca="1" si="101"/>
        <v>#N/A</v>
      </c>
      <c r="ET14" s="53" t="e">
        <f t="shared" ca="1" si="101"/>
        <v>#N/A</v>
      </c>
      <c r="EU14" s="53" t="e">
        <f t="shared" ca="1" si="101"/>
        <v>#N/A</v>
      </c>
      <c r="EV14" s="53" t="e">
        <f t="shared" ca="1" si="101"/>
        <v>#N/A</v>
      </c>
      <c r="EW14" s="53" t="e">
        <f t="shared" ca="1" si="101"/>
        <v>#N/A</v>
      </c>
      <c r="EX14" s="53" t="e">
        <f t="shared" ca="1" si="101"/>
        <v>#N/A</v>
      </c>
      <c r="EY14" s="53" t="e">
        <f t="shared" ca="1" si="101"/>
        <v>#N/A</v>
      </c>
      <c r="EZ14" s="53" t="e">
        <f t="shared" ca="1" si="101"/>
        <v>#N/A</v>
      </c>
      <c r="FA14" s="53" t="e">
        <f t="shared" ca="1" si="101"/>
        <v>#N/A</v>
      </c>
      <c r="FB14" s="53" t="e">
        <f t="shared" ca="1" si="101"/>
        <v>#N/A</v>
      </c>
      <c r="FC14" s="53" t="e">
        <f t="shared" ca="1" si="101"/>
        <v>#N/A</v>
      </c>
      <c r="FD14" s="53" t="e">
        <f t="shared" ca="1" si="101"/>
        <v>#N/A</v>
      </c>
      <c r="FE14" s="53" t="e">
        <f t="shared" ca="1" si="101"/>
        <v>#N/A</v>
      </c>
      <c r="FF14" s="53" t="e">
        <f t="shared" ca="1" si="101"/>
        <v>#N/A</v>
      </c>
      <c r="FG14" s="53" t="e">
        <f t="shared" ca="1" si="101"/>
        <v>#N/A</v>
      </c>
      <c r="FH14" s="53" t="e">
        <f t="shared" ca="1" si="101"/>
        <v>#N/A</v>
      </c>
      <c r="FI14" s="53" t="e">
        <f t="shared" ca="1" si="101"/>
        <v>#N/A</v>
      </c>
      <c r="FJ14" s="53" t="e">
        <f t="shared" ca="1" si="101"/>
        <v>#N/A</v>
      </c>
      <c r="FK14" s="53" t="e">
        <f t="shared" ca="1" si="101"/>
        <v>#N/A</v>
      </c>
      <c r="FL14" s="53" t="e">
        <f t="shared" ca="1" si="101"/>
        <v>#N/A</v>
      </c>
      <c r="FM14" s="53" t="e">
        <f t="shared" ca="1" si="101"/>
        <v>#N/A</v>
      </c>
      <c r="FN14" s="53" t="e">
        <f t="shared" ca="1" si="101"/>
        <v>#N/A</v>
      </c>
      <c r="FO14" s="53" t="e">
        <f t="shared" ca="1" si="101"/>
        <v>#N/A</v>
      </c>
      <c r="FP14" s="53" t="e">
        <f t="shared" ca="1" si="101"/>
        <v>#N/A</v>
      </c>
      <c r="FQ14" s="53" t="e">
        <f t="shared" ca="1" si="101"/>
        <v>#N/A</v>
      </c>
      <c r="FR14" s="53" t="e">
        <f t="shared" ca="1" si="101"/>
        <v>#N/A</v>
      </c>
      <c r="FS14" s="53" t="e">
        <f t="shared" ca="1" si="101"/>
        <v>#N/A</v>
      </c>
      <c r="FT14" s="53" t="e">
        <f t="shared" ca="1" si="101"/>
        <v>#N/A</v>
      </c>
      <c r="FU14" s="53" t="e">
        <f t="shared" ca="1" si="101"/>
        <v>#N/A</v>
      </c>
      <c r="FV14" s="53" t="e">
        <f t="shared" ca="1" si="101"/>
        <v>#N/A</v>
      </c>
      <c r="FW14" s="53" t="e">
        <f t="shared" ca="1" si="101"/>
        <v>#N/A</v>
      </c>
      <c r="FX14" s="53" t="e">
        <f t="shared" ca="1" si="101"/>
        <v>#N/A</v>
      </c>
      <c r="FY14" s="53" t="e">
        <f t="shared" ca="1" si="101"/>
        <v>#N/A</v>
      </c>
      <c r="FZ14" s="53" t="e">
        <f t="shared" ca="1" si="101"/>
        <v>#N/A</v>
      </c>
      <c r="GA14" s="53" t="e">
        <f t="shared" ca="1" si="101"/>
        <v>#N/A</v>
      </c>
      <c r="GB14" s="53" t="e">
        <f t="shared" ca="1" si="101"/>
        <v>#N/A</v>
      </c>
      <c r="GC14" s="53" t="e">
        <f t="shared" ca="1" si="101"/>
        <v>#N/A</v>
      </c>
      <c r="GD14" s="53" t="e">
        <f t="shared" ca="1" si="101"/>
        <v>#N/A</v>
      </c>
      <c r="GE14" s="53" t="e">
        <f t="shared" ca="1" si="101"/>
        <v>#N/A</v>
      </c>
      <c r="GF14" s="53" t="e">
        <f t="shared" ca="1" si="101"/>
        <v>#N/A</v>
      </c>
      <c r="GG14" s="53" t="e">
        <f t="shared" ca="1" si="101"/>
        <v>#N/A</v>
      </c>
      <c r="GH14" s="53" t="e">
        <f t="shared" ca="1" si="101"/>
        <v>#N/A</v>
      </c>
      <c r="GI14" s="53" t="e">
        <f t="shared" ca="1" si="101"/>
        <v>#N/A</v>
      </c>
      <c r="GJ14" s="53" t="e">
        <f t="shared" ca="1" si="101"/>
        <v>#N/A</v>
      </c>
      <c r="GK14" s="53" t="e">
        <f t="shared" ca="1" si="101"/>
        <v>#N/A</v>
      </c>
      <c r="GL14" s="53" t="e">
        <f t="shared" ca="1" si="101"/>
        <v>#N/A</v>
      </c>
      <c r="GM14" s="53" t="e">
        <f t="shared" ca="1" si="101"/>
        <v>#N/A</v>
      </c>
      <c r="GN14" s="53" t="e">
        <f t="shared" ca="1" si="101"/>
        <v>#N/A</v>
      </c>
      <c r="GO14" s="53" t="e">
        <f t="shared" ca="1" si="101"/>
        <v>#N/A</v>
      </c>
      <c r="GP14" s="53" t="e">
        <f t="shared" ca="1" si="101"/>
        <v>#N/A</v>
      </c>
      <c r="GQ14" s="53" t="e">
        <f t="shared" ca="1" si="101"/>
        <v>#N/A</v>
      </c>
      <c r="GR14" s="53" t="e">
        <f t="shared" ca="1" si="101"/>
        <v>#N/A</v>
      </c>
      <c r="GS14" s="53" t="e">
        <f t="shared" ref="GS14:IN14" ca="1" si="102">IF(ISNA(GR8),NA(),IF(GS4&lt;$C$10,(GS8/OFFSET(GS8,0,-GS4))^(1/(GS4)),(GS8/OFFSET(GS8,0,-$C$10))^(1/$C$10))-1)</f>
        <v>#N/A</v>
      </c>
      <c r="GT14" s="53" t="e">
        <f t="shared" ca="1" si="102"/>
        <v>#N/A</v>
      </c>
      <c r="GU14" s="53" t="e">
        <f t="shared" ca="1" si="102"/>
        <v>#N/A</v>
      </c>
      <c r="GV14" s="53" t="e">
        <f t="shared" ca="1" si="102"/>
        <v>#N/A</v>
      </c>
      <c r="GW14" s="53" t="e">
        <f t="shared" ca="1" si="102"/>
        <v>#N/A</v>
      </c>
      <c r="GX14" s="53" t="e">
        <f t="shared" ca="1" si="102"/>
        <v>#N/A</v>
      </c>
      <c r="GY14" s="53" t="e">
        <f t="shared" ca="1" si="102"/>
        <v>#N/A</v>
      </c>
      <c r="GZ14" s="53" t="e">
        <f t="shared" ca="1" si="102"/>
        <v>#N/A</v>
      </c>
      <c r="HA14" s="53" t="e">
        <f t="shared" ca="1" si="102"/>
        <v>#N/A</v>
      </c>
      <c r="HB14" s="53" t="e">
        <f t="shared" ca="1" si="102"/>
        <v>#N/A</v>
      </c>
      <c r="HC14" s="53" t="e">
        <f t="shared" ca="1" si="102"/>
        <v>#N/A</v>
      </c>
      <c r="HD14" s="53" t="e">
        <f t="shared" ca="1" si="102"/>
        <v>#N/A</v>
      </c>
      <c r="HE14" s="53" t="e">
        <f t="shared" ca="1" si="102"/>
        <v>#N/A</v>
      </c>
      <c r="HF14" s="53" t="e">
        <f t="shared" ca="1" si="102"/>
        <v>#N/A</v>
      </c>
      <c r="HG14" s="53" t="e">
        <f t="shared" ca="1" si="102"/>
        <v>#N/A</v>
      </c>
      <c r="HH14" s="53" t="e">
        <f t="shared" ca="1" si="102"/>
        <v>#N/A</v>
      </c>
      <c r="HI14" s="53" t="e">
        <f t="shared" ca="1" si="102"/>
        <v>#N/A</v>
      </c>
      <c r="HJ14" s="53" t="e">
        <f t="shared" ca="1" si="102"/>
        <v>#N/A</v>
      </c>
      <c r="HK14" s="53" t="e">
        <f t="shared" ca="1" si="102"/>
        <v>#N/A</v>
      </c>
      <c r="HL14" s="53" t="e">
        <f t="shared" ca="1" si="102"/>
        <v>#N/A</v>
      </c>
      <c r="HM14" s="53" t="e">
        <f t="shared" ca="1" si="102"/>
        <v>#N/A</v>
      </c>
      <c r="HN14" s="53" t="e">
        <f t="shared" ca="1" si="102"/>
        <v>#N/A</v>
      </c>
      <c r="HO14" s="53" t="e">
        <f t="shared" ca="1" si="102"/>
        <v>#N/A</v>
      </c>
      <c r="HP14" s="53" t="e">
        <f t="shared" ca="1" si="102"/>
        <v>#N/A</v>
      </c>
      <c r="HQ14" s="53" t="e">
        <f t="shared" ca="1" si="102"/>
        <v>#N/A</v>
      </c>
      <c r="HR14" s="53" t="e">
        <f t="shared" ca="1" si="102"/>
        <v>#N/A</v>
      </c>
      <c r="HS14" s="53" t="e">
        <f t="shared" ca="1" si="102"/>
        <v>#N/A</v>
      </c>
      <c r="HT14" s="53" t="e">
        <f t="shared" ca="1" si="102"/>
        <v>#N/A</v>
      </c>
      <c r="HU14" s="53" t="e">
        <f t="shared" ca="1" si="102"/>
        <v>#N/A</v>
      </c>
      <c r="HV14" s="53" t="e">
        <f t="shared" ca="1" si="102"/>
        <v>#N/A</v>
      </c>
      <c r="HW14" s="53" t="e">
        <f t="shared" ca="1" si="102"/>
        <v>#N/A</v>
      </c>
      <c r="HX14" s="53" t="e">
        <f t="shared" ca="1" si="102"/>
        <v>#N/A</v>
      </c>
      <c r="HY14" s="53" t="e">
        <f t="shared" ca="1" si="102"/>
        <v>#N/A</v>
      </c>
      <c r="HZ14" s="53" t="e">
        <f t="shared" ca="1" si="102"/>
        <v>#N/A</v>
      </c>
      <c r="IA14" s="53" t="e">
        <f t="shared" ca="1" si="102"/>
        <v>#N/A</v>
      </c>
      <c r="IB14" s="53" t="e">
        <f t="shared" ca="1" si="102"/>
        <v>#N/A</v>
      </c>
      <c r="IC14" s="53" t="e">
        <f t="shared" ca="1" si="102"/>
        <v>#N/A</v>
      </c>
      <c r="ID14" s="53" t="e">
        <f t="shared" ca="1" si="102"/>
        <v>#N/A</v>
      </c>
      <c r="IE14" s="53" t="e">
        <f t="shared" ca="1" si="102"/>
        <v>#N/A</v>
      </c>
      <c r="IF14" s="53" t="e">
        <f t="shared" ca="1" si="102"/>
        <v>#N/A</v>
      </c>
      <c r="IG14" s="53" t="e">
        <f t="shared" ca="1" si="102"/>
        <v>#N/A</v>
      </c>
      <c r="IH14" s="53" t="e">
        <f t="shared" ca="1" si="102"/>
        <v>#N/A</v>
      </c>
      <c r="II14" s="53" t="e">
        <f t="shared" ca="1" si="102"/>
        <v>#N/A</v>
      </c>
      <c r="IJ14" s="53" t="e">
        <f t="shared" ca="1" si="102"/>
        <v>#N/A</v>
      </c>
      <c r="IK14" s="53" t="e">
        <f t="shared" ca="1" si="102"/>
        <v>#N/A</v>
      </c>
      <c r="IL14" s="53" t="e">
        <f t="shared" ca="1" si="102"/>
        <v>#N/A</v>
      </c>
      <c r="IM14" s="53" t="e">
        <f t="shared" ca="1" si="102"/>
        <v>#N/A</v>
      </c>
      <c r="IN14" s="53" t="e">
        <f t="shared" ca="1" si="102"/>
        <v>#N/A</v>
      </c>
    </row>
    <row r="15" spans="2:248" x14ac:dyDescent="0.3">
      <c r="B15" s="19" t="s">
        <v>466</v>
      </c>
      <c r="C15" s="25">
        <f>IFERROR(IF(VLOOKUP(B2,Country_Data!C:M,11,FALSE)=0,0.047,VLOOKUP(B2,Country_Data!C:M,11,FALSE)*$C$32),0.047)</f>
        <v>0.12275651879444632</v>
      </c>
      <c r="E15" s="93"/>
      <c r="F15" s="19" t="s">
        <v>569</v>
      </c>
      <c r="G15" s="53" t="e">
        <f ca="1">H15</f>
        <v>#N/A</v>
      </c>
      <c r="H15" s="53" t="e">
        <f t="shared" ref="H15:BS15" ca="1" si="103">IF(ISNA(G6),NA(),IF(H4-$C$9&lt;$C$10,(H6/OFFSET(H6,0,-H4+$C$9))^(1/(H4-$C$9)),(H6/OFFSET(H6,0,-$C$10))^(1/$C$10))-1)</f>
        <v>#N/A</v>
      </c>
      <c r="I15" s="53" t="e">
        <f t="shared" ca="1" si="103"/>
        <v>#N/A</v>
      </c>
      <c r="J15" s="53" t="e">
        <f t="shared" ca="1" si="103"/>
        <v>#N/A</v>
      </c>
      <c r="K15" s="53" t="e">
        <f t="shared" ca="1" si="103"/>
        <v>#N/A</v>
      </c>
      <c r="L15" s="53" t="e">
        <f t="shared" ca="1" si="103"/>
        <v>#N/A</v>
      </c>
      <c r="M15" s="53" t="e">
        <f t="shared" ca="1" si="103"/>
        <v>#N/A</v>
      </c>
      <c r="N15" s="53">
        <f t="shared" ca="1" si="103"/>
        <v>0.25</v>
      </c>
      <c r="O15" s="53">
        <f t="shared" ca="1" si="103"/>
        <v>0.17260393995585743</v>
      </c>
      <c r="P15" s="53">
        <f t="shared" ca="1" si="103"/>
        <v>0.37946208819056038</v>
      </c>
      <c r="Q15" s="53">
        <f t="shared" ca="1" si="103"/>
        <v>0.44625380425953898</v>
      </c>
      <c r="R15" s="53">
        <f t="shared" ca="1" si="103"/>
        <v>0.47577316159455196</v>
      </c>
      <c r="S15" s="53">
        <f t="shared" ca="1" si="103"/>
        <v>0.47996576656540446</v>
      </c>
      <c r="T15" s="53">
        <f t="shared" ca="1" si="103"/>
        <v>0.56721338021581857</v>
      </c>
      <c r="U15" s="53">
        <f t="shared" ca="1" si="103"/>
        <v>0.45724293460350629</v>
      </c>
      <c r="V15" s="53">
        <f t="shared" ca="1" si="103"/>
        <v>0.3844280551246313</v>
      </c>
      <c r="W15" s="53">
        <f t="shared" ca="1" si="103"/>
        <v>0.33108431554633166</v>
      </c>
      <c r="X15" s="53">
        <f t="shared" ca="1" si="103"/>
        <v>0.31764419159315649</v>
      </c>
      <c r="Y15" s="53">
        <f t="shared" ca="1" si="103"/>
        <v>0.26433216777748192</v>
      </c>
      <c r="Z15" s="53">
        <f t="shared" ca="1" si="103"/>
        <v>0.25110066863380553</v>
      </c>
      <c r="AA15" s="53">
        <f t="shared" ca="1" si="103"/>
        <v>0.21225276364631673</v>
      </c>
      <c r="AB15" s="53">
        <f t="shared" ca="1" si="103"/>
        <v>0.1990641741051542</v>
      </c>
      <c r="AC15" s="53" t="e">
        <f t="shared" ca="1" si="103"/>
        <v>#N/A</v>
      </c>
      <c r="AD15" s="53" t="e">
        <f t="shared" ca="1" si="103"/>
        <v>#N/A</v>
      </c>
      <c r="AE15" s="53" t="e">
        <f t="shared" ca="1" si="103"/>
        <v>#N/A</v>
      </c>
      <c r="AF15" s="53" t="e">
        <f t="shared" ca="1" si="103"/>
        <v>#N/A</v>
      </c>
      <c r="AG15" s="53" t="e">
        <f t="shared" ca="1" si="103"/>
        <v>#N/A</v>
      </c>
      <c r="AH15" s="53" t="e">
        <f t="shared" ca="1" si="103"/>
        <v>#N/A</v>
      </c>
      <c r="AI15" s="53" t="e">
        <f t="shared" ca="1" si="103"/>
        <v>#N/A</v>
      </c>
      <c r="AJ15" s="53" t="e">
        <f t="shared" ca="1" si="103"/>
        <v>#N/A</v>
      </c>
      <c r="AK15" s="53" t="e">
        <f t="shared" ca="1" si="103"/>
        <v>#N/A</v>
      </c>
      <c r="AL15" s="53" t="e">
        <f t="shared" ca="1" si="103"/>
        <v>#N/A</v>
      </c>
      <c r="AM15" s="53" t="e">
        <f t="shared" ca="1" si="103"/>
        <v>#N/A</v>
      </c>
      <c r="AN15" s="53" t="e">
        <f t="shared" ca="1" si="103"/>
        <v>#N/A</v>
      </c>
      <c r="AO15" s="53" t="e">
        <f t="shared" ca="1" si="103"/>
        <v>#N/A</v>
      </c>
      <c r="AP15" s="53" t="e">
        <f t="shared" ca="1" si="103"/>
        <v>#N/A</v>
      </c>
      <c r="AQ15" s="53" t="e">
        <f t="shared" ca="1" si="103"/>
        <v>#N/A</v>
      </c>
      <c r="AR15" s="53" t="e">
        <f t="shared" ca="1" si="103"/>
        <v>#N/A</v>
      </c>
      <c r="AS15" s="53" t="e">
        <f t="shared" ca="1" si="103"/>
        <v>#N/A</v>
      </c>
      <c r="AT15" s="53" t="e">
        <f t="shared" ca="1" si="103"/>
        <v>#N/A</v>
      </c>
      <c r="AU15" s="53" t="e">
        <f t="shared" ca="1" si="103"/>
        <v>#N/A</v>
      </c>
      <c r="AV15" s="53" t="e">
        <f t="shared" ca="1" si="103"/>
        <v>#N/A</v>
      </c>
      <c r="AW15" s="53" t="e">
        <f t="shared" ca="1" si="103"/>
        <v>#N/A</v>
      </c>
      <c r="AX15" s="53" t="e">
        <f t="shared" ca="1" si="103"/>
        <v>#N/A</v>
      </c>
      <c r="AY15" s="53" t="e">
        <f t="shared" ca="1" si="103"/>
        <v>#N/A</v>
      </c>
      <c r="AZ15" s="53" t="e">
        <f t="shared" ca="1" si="103"/>
        <v>#N/A</v>
      </c>
      <c r="BA15" s="53" t="e">
        <f t="shared" ca="1" si="103"/>
        <v>#N/A</v>
      </c>
      <c r="BB15" s="53" t="e">
        <f t="shared" ca="1" si="103"/>
        <v>#N/A</v>
      </c>
      <c r="BC15" s="53" t="e">
        <f t="shared" ca="1" si="103"/>
        <v>#N/A</v>
      </c>
      <c r="BD15" s="53" t="e">
        <f t="shared" ca="1" si="103"/>
        <v>#N/A</v>
      </c>
      <c r="BE15" s="53" t="e">
        <f t="shared" ca="1" si="103"/>
        <v>#N/A</v>
      </c>
      <c r="BF15" s="53" t="e">
        <f t="shared" ca="1" si="103"/>
        <v>#N/A</v>
      </c>
      <c r="BG15" s="53" t="e">
        <f t="shared" ca="1" si="103"/>
        <v>#N/A</v>
      </c>
      <c r="BH15" s="53" t="e">
        <f t="shared" ca="1" si="103"/>
        <v>#N/A</v>
      </c>
      <c r="BI15" s="53" t="e">
        <f t="shared" ca="1" si="103"/>
        <v>#N/A</v>
      </c>
      <c r="BJ15" s="53" t="e">
        <f t="shared" ca="1" si="103"/>
        <v>#N/A</v>
      </c>
      <c r="BK15" s="53" t="e">
        <f t="shared" ca="1" si="103"/>
        <v>#N/A</v>
      </c>
      <c r="BL15" s="53" t="e">
        <f t="shared" ca="1" si="103"/>
        <v>#N/A</v>
      </c>
      <c r="BM15" s="53" t="e">
        <f t="shared" ca="1" si="103"/>
        <v>#N/A</v>
      </c>
      <c r="BN15" s="53" t="e">
        <f t="shared" ca="1" si="103"/>
        <v>#N/A</v>
      </c>
      <c r="BO15" s="53" t="e">
        <f t="shared" ca="1" si="103"/>
        <v>#N/A</v>
      </c>
      <c r="BP15" s="53" t="e">
        <f t="shared" ca="1" si="103"/>
        <v>#N/A</v>
      </c>
      <c r="BQ15" s="53" t="e">
        <f t="shared" ca="1" si="103"/>
        <v>#N/A</v>
      </c>
      <c r="BR15" s="53" t="e">
        <f t="shared" ca="1" si="103"/>
        <v>#N/A</v>
      </c>
      <c r="BS15" s="53" t="e">
        <f t="shared" ca="1" si="103"/>
        <v>#N/A</v>
      </c>
      <c r="BT15" s="53" t="e">
        <f t="shared" ref="BT15:EE15" ca="1" si="104">IF(ISNA(BS6),NA(),IF(BT4-$C$9&lt;$C$10,(BT6/OFFSET(BT6,0,-BT4+$C$9))^(1/(BT4-$C$9)),(BT6/OFFSET(BT6,0,-$C$10))^(1/$C$10))-1)</f>
        <v>#N/A</v>
      </c>
      <c r="BU15" s="53" t="e">
        <f t="shared" ca="1" si="104"/>
        <v>#N/A</v>
      </c>
      <c r="BV15" s="53" t="e">
        <f t="shared" ca="1" si="104"/>
        <v>#N/A</v>
      </c>
      <c r="BW15" s="53" t="e">
        <f t="shared" ca="1" si="104"/>
        <v>#N/A</v>
      </c>
      <c r="BX15" s="53" t="e">
        <f t="shared" ca="1" si="104"/>
        <v>#N/A</v>
      </c>
      <c r="BY15" s="53" t="e">
        <f t="shared" ca="1" si="104"/>
        <v>#N/A</v>
      </c>
      <c r="BZ15" s="53" t="e">
        <f t="shared" ca="1" si="104"/>
        <v>#N/A</v>
      </c>
      <c r="CA15" s="53" t="e">
        <f t="shared" ca="1" si="104"/>
        <v>#N/A</v>
      </c>
      <c r="CB15" s="53" t="e">
        <f t="shared" ca="1" si="104"/>
        <v>#N/A</v>
      </c>
      <c r="CC15" s="53" t="e">
        <f t="shared" ca="1" si="104"/>
        <v>#N/A</v>
      </c>
      <c r="CD15" s="53" t="e">
        <f t="shared" ca="1" si="104"/>
        <v>#N/A</v>
      </c>
      <c r="CE15" s="53" t="e">
        <f t="shared" ca="1" si="104"/>
        <v>#N/A</v>
      </c>
      <c r="CF15" s="53" t="e">
        <f t="shared" ca="1" si="104"/>
        <v>#N/A</v>
      </c>
      <c r="CG15" s="53" t="e">
        <f t="shared" ca="1" si="104"/>
        <v>#N/A</v>
      </c>
      <c r="CH15" s="53" t="e">
        <f t="shared" ca="1" si="104"/>
        <v>#N/A</v>
      </c>
      <c r="CI15" s="53" t="e">
        <f t="shared" ca="1" si="104"/>
        <v>#N/A</v>
      </c>
      <c r="CJ15" s="53" t="e">
        <f t="shared" ca="1" si="104"/>
        <v>#N/A</v>
      </c>
      <c r="CK15" s="53" t="e">
        <f t="shared" ca="1" si="104"/>
        <v>#N/A</v>
      </c>
      <c r="CL15" s="53" t="e">
        <f t="shared" ca="1" si="104"/>
        <v>#N/A</v>
      </c>
      <c r="CM15" s="53" t="e">
        <f t="shared" ca="1" si="104"/>
        <v>#N/A</v>
      </c>
      <c r="CN15" s="53" t="e">
        <f t="shared" ca="1" si="104"/>
        <v>#N/A</v>
      </c>
      <c r="CO15" s="53" t="e">
        <f t="shared" ca="1" si="104"/>
        <v>#N/A</v>
      </c>
      <c r="CP15" s="53" t="e">
        <f t="shared" ca="1" si="104"/>
        <v>#N/A</v>
      </c>
      <c r="CQ15" s="53" t="e">
        <f t="shared" ca="1" si="104"/>
        <v>#N/A</v>
      </c>
      <c r="CR15" s="53" t="e">
        <f t="shared" ca="1" si="104"/>
        <v>#N/A</v>
      </c>
      <c r="CS15" s="53" t="e">
        <f t="shared" ca="1" si="104"/>
        <v>#N/A</v>
      </c>
      <c r="CT15" s="53" t="e">
        <f t="shared" ca="1" si="104"/>
        <v>#N/A</v>
      </c>
      <c r="CU15" s="53" t="e">
        <f t="shared" ca="1" si="104"/>
        <v>#N/A</v>
      </c>
      <c r="CV15" s="53" t="e">
        <f t="shared" ca="1" si="104"/>
        <v>#N/A</v>
      </c>
      <c r="CW15" s="53" t="e">
        <f t="shared" ca="1" si="104"/>
        <v>#N/A</v>
      </c>
      <c r="CX15" s="53" t="e">
        <f t="shared" ca="1" si="104"/>
        <v>#N/A</v>
      </c>
      <c r="CY15" s="53" t="e">
        <f t="shared" ca="1" si="104"/>
        <v>#N/A</v>
      </c>
      <c r="CZ15" s="53" t="e">
        <f t="shared" ca="1" si="104"/>
        <v>#N/A</v>
      </c>
      <c r="DA15" s="53" t="e">
        <f t="shared" ca="1" si="104"/>
        <v>#N/A</v>
      </c>
      <c r="DB15" s="53" t="e">
        <f t="shared" ca="1" si="104"/>
        <v>#N/A</v>
      </c>
      <c r="DC15" s="53" t="e">
        <f t="shared" ca="1" si="104"/>
        <v>#N/A</v>
      </c>
      <c r="DD15" s="53" t="e">
        <f t="shared" ca="1" si="104"/>
        <v>#N/A</v>
      </c>
      <c r="DE15" s="53" t="e">
        <f t="shared" ca="1" si="104"/>
        <v>#N/A</v>
      </c>
      <c r="DF15" s="53" t="e">
        <f t="shared" ca="1" si="104"/>
        <v>#N/A</v>
      </c>
      <c r="DG15" s="53" t="e">
        <f t="shared" ca="1" si="104"/>
        <v>#N/A</v>
      </c>
      <c r="DH15" s="53" t="e">
        <f t="shared" ca="1" si="104"/>
        <v>#N/A</v>
      </c>
      <c r="DI15" s="53" t="e">
        <f t="shared" ca="1" si="104"/>
        <v>#N/A</v>
      </c>
      <c r="DJ15" s="53" t="e">
        <f t="shared" ca="1" si="104"/>
        <v>#N/A</v>
      </c>
      <c r="DK15" s="53" t="e">
        <f t="shared" ca="1" si="104"/>
        <v>#N/A</v>
      </c>
      <c r="DL15" s="53" t="e">
        <f t="shared" ca="1" si="104"/>
        <v>#N/A</v>
      </c>
      <c r="DM15" s="53" t="e">
        <f t="shared" ca="1" si="104"/>
        <v>#N/A</v>
      </c>
      <c r="DN15" s="53" t="e">
        <f t="shared" ca="1" si="104"/>
        <v>#N/A</v>
      </c>
      <c r="DO15" s="53" t="e">
        <f t="shared" ca="1" si="104"/>
        <v>#N/A</v>
      </c>
      <c r="DP15" s="53" t="e">
        <f t="shared" ca="1" si="104"/>
        <v>#N/A</v>
      </c>
      <c r="DQ15" s="53" t="e">
        <f t="shared" ca="1" si="104"/>
        <v>#N/A</v>
      </c>
      <c r="DR15" s="53" t="e">
        <f t="shared" ca="1" si="104"/>
        <v>#N/A</v>
      </c>
      <c r="DS15" s="53" t="e">
        <f t="shared" ca="1" si="104"/>
        <v>#N/A</v>
      </c>
      <c r="DT15" s="53" t="e">
        <f t="shared" ca="1" si="104"/>
        <v>#N/A</v>
      </c>
      <c r="DU15" s="53" t="e">
        <f t="shared" ca="1" si="104"/>
        <v>#N/A</v>
      </c>
      <c r="DV15" s="53" t="e">
        <f t="shared" ca="1" si="104"/>
        <v>#N/A</v>
      </c>
      <c r="DW15" s="53" t="e">
        <f t="shared" ca="1" si="104"/>
        <v>#N/A</v>
      </c>
      <c r="DX15" s="53" t="e">
        <f t="shared" ca="1" si="104"/>
        <v>#N/A</v>
      </c>
      <c r="DY15" s="53" t="e">
        <f t="shared" ca="1" si="104"/>
        <v>#N/A</v>
      </c>
      <c r="DZ15" s="53" t="e">
        <f t="shared" ca="1" si="104"/>
        <v>#N/A</v>
      </c>
      <c r="EA15" s="53" t="e">
        <f t="shared" ca="1" si="104"/>
        <v>#N/A</v>
      </c>
      <c r="EB15" s="53" t="e">
        <f t="shared" ca="1" si="104"/>
        <v>#N/A</v>
      </c>
      <c r="EC15" s="53" t="e">
        <f t="shared" ca="1" si="104"/>
        <v>#N/A</v>
      </c>
      <c r="ED15" s="53" t="e">
        <f t="shared" ca="1" si="104"/>
        <v>#N/A</v>
      </c>
      <c r="EE15" s="53" t="e">
        <f t="shared" ca="1" si="104"/>
        <v>#N/A</v>
      </c>
      <c r="EF15" s="53" t="e">
        <f t="shared" ref="EF15:GQ15" ca="1" si="105">IF(ISNA(EE6),NA(),IF(EF4-$C$9&lt;$C$10,(EF6/OFFSET(EF6,0,-EF4+$C$9))^(1/(EF4-$C$9)),(EF6/OFFSET(EF6,0,-$C$10))^(1/$C$10))-1)</f>
        <v>#N/A</v>
      </c>
      <c r="EG15" s="53" t="e">
        <f t="shared" ca="1" si="105"/>
        <v>#N/A</v>
      </c>
      <c r="EH15" s="53" t="e">
        <f t="shared" ca="1" si="105"/>
        <v>#N/A</v>
      </c>
      <c r="EI15" s="53" t="e">
        <f t="shared" ca="1" si="105"/>
        <v>#N/A</v>
      </c>
      <c r="EJ15" s="53" t="e">
        <f t="shared" ca="1" si="105"/>
        <v>#N/A</v>
      </c>
      <c r="EK15" s="53" t="e">
        <f t="shared" ca="1" si="105"/>
        <v>#N/A</v>
      </c>
      <c r="EL15" s="53" t="e">
        <f t="shared" ca="1" si="105"/>
        <v>#N/A</v>
      </c>
      <c r="EM15" s="53" t="e">
        <f t="shared" ca="1" si="105"/>
        <v>#N/A</v>
      </c>
      <c r="EN15" s="53" t="e">
        <f t="shared" ca="1" si="105"/>
        <v>#N/A</v>
      </c>
      <c r="EO15" s="53" t="e">
        <f t="shared" ca="1" si="105"/>
        <v>#N/A</v>
      </c>
      <c r="EP15" s="53" t="e">
        <f t="shared" ca="1" si="105"/>
        <v>#N/A</v>
      </c>
      <c r="EQ15" s="53" t="e">
        <f t="shared" ca="1" si="105"/>
        <v>#N/A</v>
      </c>
      <c r="ER15" s="53" t="e">
        <f t="shared" ca="1" si="105"/>
        <v>#N/A</v>
      </c>
      <c r="ES15" s="53" t="e">
        <f t="shared" ca="1" si="105"/>
        <v>#N/A</v>
      </c>
      <c r="ET15" s="53" t="e">
        <f t="shared" ca="1" si="105"/>
        <v>#N/A</v>
      </c>
      <c r="EU15" s="53" t="e">
        <f t="shared" ca="1" si="105"/>
        <v>#N/A</v>
      </c>
      <c r="EV15" s="53" t="e">
        <f t="shared" ca="1" si="105"/>
        <v>#N/A</v>
      </c>
      <c r="EW15" s="53" t="e">
        <f t="shared" ca="1" si="105"/>
        <v>#N/A</v>
      </c>
      <c r="EX15" s="53" t="e">
        <f t="shared" ca="1" si="105"/>
        <v>#N/A</v>
      </c>
      <c r="EY15" s="53" t="e">
        <f t="shared" ca="1" si="105"/>
        <v>#N/A</v>
      </c>
      <c r="EZ15" s="53" t="e">
        <f t="shared" ca="1" si="105"/>
        <v>#N/A</v>
      </c>
      <c r="FA15" s="53" t="e">
        <f t="shared" ca="1" si="105"/>
        <v>#N/A</v>
      </c>
      <c r="FB15" s="53" t="e">
        <f t="shared" ca="1" si="105"/>
        <v>#N/A</v>
      </c>
      <c r="FC15" s="53" t="e">
        <f t="shared" ca="1" si="105"/>
        <v>#N/A</v>
      </c>
      <c r="FD15" s="53" t="e">
        <f t="shared" ca="1" si="105"/>
        <v>#N/A</v>
      </c>
      <c r="FE15" s="53" t="e">
        <f t="shared" ca="1" si="105"/>
        <v>#N/A</v>
      </c>
      <c r="FF15" s="53" t="e">
        <f t="shared" ca="1" si="105"/>
        <v>#N/A</v>
      </c>
      <c r="FG15" s="53" t="e">
        <f t="shared" ca="1" si="105"/>
        <v>#N/A</v>
      </c>
      <c r="FH15" s="53" t="e">
        <f t="shared" ca="1" si="105"/>
        <v>#N/A</v>
      </c>
      <c r="FI15" s="53" t="e">
        <f t="shared" ca="1" si="105"/>
        <v>#N/A</v>
      </c>
      <c r="FJ15" s="53" t="e">
        <f t="shared" ca="1" si="105"/>
        <v>#N/A</v>
      </c>
      <c r="FK15" s="53" t="e">
        <f t="shared" ca="1" si="105"/>
        <v>#N/A</v>
      </c>
      <c r="FL15" s="53" t="e">
        <f t="shared" ca="1" si="105"/>
        <v>#N/A</v>
      </c>
      <c r="FM15" s="53" t="e">
        <f t="shared" ca="1" si="105"/>
        <v>#N/A</v>
      </c>
      <c r="FN15" s="53" t="e">
        <f t="shared" ca="1" si="105"/>
        <v>#N/A</v>
      </c>
      <c r="FO15" s="53" t="e">
        <f t="shared" ca="1" si="105"/>
        <v>#N/A</v>
      </c>
      <c r="FP15" s="53" t="e">
        <f t="shared" ca="1" si="105"/>
        <v>#N/A</v>
      </c>
      <c r="FQ15" s="53" t="e">
        <f t="shared" ca="1" si="105"/>
        <v>#N/A</v>
      </c>
      <c r="FR15" s="53" t="e">
        <f t="shared" ca="1" si="105"/>
        <v>#N/A</v>
      </c>
      <c r="FS15" s="53" t="e">
        <f t="shared" ca="1" si="105"/>
        <v>#N/A</v>
      </c>
      <c r="FT15" s="53" t="e">
        <f t="shared" ca="1" si="105"/>
        <v>#N/A</v>
      </c>
      <c r="FU15" s="53" t="e">
        <f t="shared" ca="1" si="105"/>
        <v>#N/A</v>
      </c>
      <c r="FV15" s="53" t="e">
        <f t="shared" ca="1" si="105"/>
        <v>#N/A</v>
      </c>
      <c r="FW15" s="53" t="e">
        <f t="shared" ca="1" si="105"/>
        <v>#N/A</v>
      </c>
      <c r="FX15" s="53" t="e">
        <f t="shared" ca="1" si="105"/>
        <v>#N/A</v>
      </c>
      <c r="FY15" s="53" t="e">
        <f t="shared" ca="1" si="105"/>
        <v>#N/A</v>
      </c>
      <c r="FZ15" s="53" t="e">
        <f t="shared" ca="1" si="105"/>
        <v>#N/A</v>
      </c>
      <c r="GA15" s="53" t="e">
        <f t="shared" ca="1" si="105"/>
        <v>#N/A</v>
      </c>
      <c r="GB15" s="53" t="e">
        <f t="shared" ca="1" si="105"/>
        <v>#N/A</v>
      </c>
      <c r="GC15" s="53" t="e">
        <f t="shared" ca="1" si="105"/>
        <v>#N/A</v>
      </c>
      <c r="GD15" s="53" t="e">
        <f t="shared" ca="1" si="105"/>
        <v>#N/A</v>
      </c>
      <c r="GE15" s="53" t="e">
        <f t="shared" ca="1" si="105"/>
        <v>#N/A</v>
      </c>
      <c r="GF15" s="53" t="e">
        <f t="shared" ca="1" si="105"/>
        <v>#N/A</v>
      </c>
      <c r="GG15" s="53" t="e">
        <f t="shared" ca="1" si="105"/>
        <v>#N/A</v>
      </c>
      <c r="GH15" s="53" t="e">
        <f t="shared" ca="1" si="105"/>
        <v>#N/A</v>
      </c>
      <c r="GI15" s="53" t="e">
        <f t="shared" ca="1" si="105"/>
        <v>#N/A</v>
      </c>
      <c r="GJ15" s="53" t="e">
        <f t="shared" ca="1" si="105"/>
        <v>#N/A</v>
      </c>
      <c r="GK15" s="53" t="e">
        <f t="shared" ca="1" si="105"/>
        <v>#N/A</v>
      </c>
      <c r="GL15" s="53" t="e">
        <f t="shared" ca="1" si="105"/>
        <v>#N/A</v>
      </c>
      <c r="GM15" s="53" t="e">
        <f t="shared" ca="1" si="105"/>
        <v>#N/A</v>
      </c>
      <c r="GN15" s="53" t="e">
        <f t="shared" ca="1" si="105"/>
        <v>#N/A</v>
      </c>
      <c r="GO15" s="53" t="e">
        <f t="shared" ca="1" si="105"/>
        <v>#N/A</v>
      </c>
      <c r="GP15" s="53" t="e">
        <f t="shared" ca="1" si="105"/>
        <v>#N/A</v>
      </c>
      <c r="GQ15" s="53" t="e">
        <f t="shared" ca="1" si="105"/>
        <v>#N/A</v>
      </c>
      <c r="GR15" s="53" t="e">
        <f t="shared" ref="GR15:IN15" ca="1" si="106">IF(ISNA(GQ6),NA(),IF(GR4-$C$9&lt;$C$10,(GR6/OFFSET(GR6,0,-GR4+$C$9))^(1/(GR4-$C$9)),(GR6/OFFSET(GR6,0,-$C$10))^(1/$C$10))-1)</f>
        <v>#N/A</v>
      </c>
      <c r="GS15" s="53" t="e">
        <f t="shared" ca="1" si="106"/>
        <v>#N/A</v>
      </c>
      <c r="GT15" s="53" t="e">
        <f t="shared" ca="1" si="106"/>
        <v>#N/A</v>
      </c>
      <c r="GU15" s="53" t="e">
        <f t="shared" ca="1" si="106"/>
        <v>#N/A</v>
      </c>
      <c r="GV15" s="53" t="e">
        <f t="shared" ca="1" si="106"/>
        <v>#N/A</v>
      </c>
      <c r="GW15" s="53" t="e">
        <f t="shared" ca="1" si="106"/>
        <v>#N/A</v>
      </c>
      <c r="GX15" s="53" t="e">
        <f t="shared" ca="1" si="106"/>
        <v>#N/A</v>
      </c>
      <c r="GY15" s="53" t="e">
        <f t="shared" ca="1" si="106"/>
        <v>#N/A</v>
      </c>
      <c r="GZ15" s="53" t="e">
        <f t="shared" ca="1" si="106"/>
        <v>#N/A</v>
      </c>
      <c r="HA15" s="53" t="e">
        <f t="shared" ca="1" si="106"/>
        <v>#N/A</v>
      </c>
      <c r="HB15" s="53" t="e">
        <f t="shared" ca="1" si="106"/>
        <v>#N/A</v>
      </c>
      <c r="HC15" s="53" t="e">
        <f t="shared" ca="1" si="106"/>
        <v>#N/A</v>
      </c>
      <c r="HD15" s="53" t="e">
        <f t="shared" ca="1" si="106"/>
        <v>#N/A</v>
      </c>
      <c r="HE15" s="53" t="e">
        <f t="shared" ca="1" si="106"/>
        <v>#N/A</v>
      </c>
      <c r="HF15" s="53" t="e">
        <f t="shared" ca="1" si="106"/>
        <v>#N/A</v>
      </c>
      <c r="HG15" s="53" t="e">
        <f t="shared" ca="1" si="106"/>
        <v>#N/A</v>
      </c>
      <c r="HH15" s="53" t="e">
        <f t="shared" ca="1" si="106"/>
        <v>#N/A</v>
      </c>
      <c r="HI15" s="53" t="e">
        <f t="shared" ca="1" si="106"/>
        <v>#N/A</v>
      </c>
      <c r="HJ15" s="53" t="e">
        <f t="shared" ca="1" si="106"/>
        <v>#N/A</v>
      </c>
      <c r="HK15" s="53" t="e">
        <f t="shared" ca="1" si="106"/>
        <v>#N/A</v>
      </c>
      <c r="HL15" s="53" t="e">
        <f t="shared" ca="1" si="106"/>
        <v>#N/A</v>
      </c>
      <c r="HM15" s="53" t="e">
        <f t="shared" ca="1" si="106"/>
        <v>#N/A</v>
      </c>
      <c r="HN15" s="53" t="e">
        <f t="shared" ca="1" si="106"/>
        <v>#N/A</v>
      </c>
      <c r="HO15" s="53" t="e">
        <f t="shared" ca="1" si="106"/>
        <v>#N/A</v>
      </c>
      <c r="HP15" s="53" t="e">
        <f t="shared" ca="1" si="106"/>
        <v>#N/A</v>
      </c>
      <c r="HQ15" s="53" t="e">
        <f t="shared" ca="1" si="106"/>
        <v>#N/A</v>
      </c>
      <c r="HR15" s="53" t="e">
        <f t="shared" ca="1" si="106"/>
        <v>#N/A</v>
      </c>
      <c r="HS15" s="53" t="e">
        <f t="shared" ca="1" si="106"/>
        <v>#N/A</v>
      </c>
      <c r="HT15" s="53" t="e">
        <f t="shared" ca="1" si="106"/>
        <v>#N/A</v>
      </c>
      <c r="HU15" s="53" t="e">
        <f t="shared" ca="1" si="106"/>
        <v>#N/A</v>
      </c>
      <c r="HV15" s="53" t="e">
        <f t="shared" ca="1" si="106"/>
        <v>#N/A</v>
      </c>
      <c r="HW15" s="53" t="e">
        <f t="shared" ca="1" si="106"/>
        <v>#N/A</v>
      </c>
      <c r="HX15" s="53" t="e">
        <f t="shared" ca="1" si="106"/>
        <v>#N/A</v>
      </c>
      <c r="HY15" s="53" t="e">
        <f t="shared" ca="1" si="106"/>
        <v>#N/A</v>
      </c>
      <c r="HZ15" s="53" t="e">
        <f t="shared" ca="1" si="106"/>
        <v>#N/A</v>
      </c>
      <c r="IA15" s="53" t="e">
        <f t="shared" ca="1" si="106"/>
        <v>#N/A</v>
      </c>
      <c r="IB15" s="53" t="e">
        <f t="shared" ca="1" si="106"/>
        <v>#N/A</v>
      </c>
      <c r="IC15" s="53" t="e">
        <f t="shared" ca="1" si="106"/>
        <v>#N/A</v>
      </c>
      <c r="ID15" s="53" t="e">
        <f t="shared" ca="1" si="106"/>
        <v>#N/A</v>
      </c>
      <c r="IE15" s="53" t="e">
        <f t="shared" ca="1" si="106"/>
        <v>#N/A</v>
      </c>
      <c r="IF15" s="53" t="e">
        <f t="shared" ca="1" si="106"/>
        <v>#N/A</v>
      </c>
      <c r="IG15" s="53" t="e">
        <f t="shared" ca="1" si="106"/>
        <v>#N/A</v>
      </c>
      <c r="IH15" s="53" t="e">
        <f t="shared" ca="1" si="106"/>
        <v>#N/A</v>
      </c>
      <c r="II15" s="53" t="e">
        <f t="shared" ca="1" si="106"/>
        <v>#N/A</v>
      </c>
      <c r="IJ15" s="53" t="e">
        <f t="shared" ca="1" si="106"/>
        <v>#N/A</v>
      </c>
      <c r="IK15" s="53" t="e">
        <f t="shared" ca="1" si="106"/>
        <v>#N/A</v>
      </c>
      <c r="IL15" s="53" t="e">
        <f t="shared" ca="1" si="106"/>
        <v>#N/A</v>
      </c>
      <c r="IM15" s="53" t="e">
        <f t="shared" ca="1" si="106"/>
        <v>#N/A</v>
      </c>
      <c r="IN15" s="53" t="e">
        <f t="shared" ca="1" si="106"/>
        <v>#N/A</v>
      </c>
    </row>
    <row r="16" spans="2:248" x14ac:dyDescent="0.3">
      <c r="B16" s="19" t="s">
        <v>465</v>
      </c>
      <c r="C16" s="21">
        <f>IF(Projections!Z39="",VLOOKUP(B2,Country_Data!C:L,10,FALSE),Projections!Z39)</f>
        <v>4480.4767259999999</v>
      </c>
      <c r="E16" s="93" t="s">
        <v>586</v>
      </c>
      <c r="F16" s="19" t="s">
        <v>570</v>
      </c>
      <c r="G16" s="94">
        <f t="shared" ref="G16:O16" ca="1" si="107">IFERROR(AVERAGE(E14:G14),NA())</f>
        <v>0.4137931034482758</v>
      </c>
      <c r="H16" s="94">
        <f t="shared" ca="1" si="107"/>
        <v>0.4137931034482758</v>
      </c>
      <c r="I16" s="94">
        <f t="shared" ca="1" si="107"/>
        <v>0.3878105139130445</v>
      </c>
      <c r="J16" s="94">
        <f t="shared" ca="1" si="107"/>
        <v>0.36047114587337598</v>
      </c>
      <c r="K16" s="94">
        <f t="shared" ca="1" si="107"/>
        <v>0.31946404668985179</v>
      </c>
      <c r="L16" s="94">
        <f t="shared" ca="1" si="107"/>
        <v>0.29768224660644549</v>
      </c>
      <c r="M16" s="94">
        <f ca="1">IFERROR(AVERAGE(K14:M14),NA())</f>
        <v>0.26327479160607559</v>
      </c>
      <c r="N16" s="94">
        <f t="shared" ca="1" si="107"/>
        <v>0.24375103757513239</v>
      </c>
      <c r="O16" s="94">
        <f t="shared" ca="1" si="107"/>
        <v>0.2331445047650933</v>
      </c>
      <c r="P16" s="94">
        <f ca="1">IFERROR(AVERAGE(N14:P14),NA())</f>
        <v>0.25217557109651495</v>
      </c>
      <c r="Q16" s="94">
        <f t="shared" ref="N16:AC16" ca="1" si="108">IFERROR(AVERAGE(O14:Q14),NA())</f>
        <v>0.26866258743322646</v>
      </c>
      <c r="R16" s="94">
        <f t="shared" ca="1" si="108"/>
        <v>0.26441332233001691</v>
      </c>
      <c r="S16" s="94">
        <f t="shared" ca="1" si="108"/>
        <v>0.24732057987444014</v>
      </c>
      <c r="T16" s="94">
        <f t="shared" ca="1" si="108"/>
        <v>0.23178383810369976</v>
      </c>
      <c r="U16" s="94">
        <f t="shared" ca="1" si="108"/>
        <v>0.20546183737703827</v>
      </c>
      <c r="V16" s="94">
        <f t="shared" ca="1" si="108"/>
        <v>0.19802804215328088</v>
      </c>
      <c r="W16" s="94">
        <f t="shared" ca="1" si="108"/>
        <v>0.21355425404870113</v>
      </c>
      <c r="X16" s="94">
        <f t="shared" ca="1" si="108"/>
        <v>0.24451873664365462</v>
      </c>
      <c r="Y16" s="94">
        <f t="shared" ca="1" si="108"/>
        <v>0.24004499929983139</v>
      </c>
      <c r="Z16" s="94">
        <f t="shared" ca="1" si="108"/>
        <v>0.22812795673188679</v>
      </c>
      <c r="AA16" s="94">
        <f t="shared" ca="1" si="108"/>
        <v>0.20588472190383214</v>
      </c>
      <c r="AB16" s="94">
        <f t="shared" ca="1" si="108"/>
        <v>0.19697532363137316</v>
      </c>
      <c r="AC16" s="94" t="e">
        <f t="shared" ca="1" si="108"/>
        <v>#N/A</v>
      </c>
      <c r="AD16" s="94" t="e">
        <f ca="1">IFERROR(AVERAGE(AB14:AD14),NA())</f>
        <v>#N/A</v>
      </c>
      <c r="AE16" s="94" t="e">
        <f t="shared" ref="J16:BS16" ca="1" si="109">IFERROR(AVERAGE(AA14:AE14),NA())</f>
        <v>#N/A</v>
      </c>
      <c r="AF16" s="94" t="e">
        <f t="shared" ca="1" si="109"/>
        <v>#N/A</v>
      </c>
      <c r="AG16" s="94" t="e">
        <f t="shared" ca="1" si="109"/>
        <v>#N/A</v>
      </c>
      <c r="AH16" s="94" t="e">
        <f t="shared" ca="1" si="109"/>
        <v>#N/A</v>
      </c>
      <c r="AI16" s="94" t="e">
        <f t="shared" ca="1" si="109"/>
        <v>#N/A</v>
      </c>
      <c r="AJ16" s="94" t="e">
        <f t="shared" ca="1" si="109"/>
        <v>#N/A</v>
      </c>
      <c r="AK16" s="94" t="e">
        <f t="shared" ca="1" si="109"/>
        <v>#N/A</v>
      </c>
      <c r="AL16" s="94" t="e">
        <f t="shared" ca="1" si="109"/>
        <v>#N/A</v>
      </c>
      <c r="AM16" s="94" t="e">
        <f t="shared" ca="1" si="109"/>
        <v>#N/A</v>
      </c>
      <c r="AN16" s="94" t="e">
        <f t="shared" ca="1" si="109"/>
        <v>#N/A</v>
      </c>
      <c r="AO16" s="94" t="e">
        <f t="shared" ca="1" si="109"/>
        <v>#N/A</v>
      </c>
      <c r="AP16" s="94" t="e">
        <f t="shared" ca="1" si="109"/>
        <v>#N/A</v>
      </c>
      <c r="AQ16" s="94" t="e">
        <f t="shared" ca="1" si="109"/>
        <v>#N/A</v>
      </c>
      <c r="AR16" s="94" t="e">
        <f t="shared" ca="1" si="109"/>
        <v>#N/A</v>
      </c>
      <c r="AS16" s="94" t="e">
        <f t="shared" ca="1" si="109"/>
        <v>#N/A</v>
      </c>
      <c r="AT16" s="94" t="e">
        <f t="shared" ca="1" si="109"/>
        <v>#N/A</v>
      </c>
      <c r="AU16" s="94" t="e">
        <f t="shared" ca="1" si="109"/>
        <v>#N/A</v>
      </c>
      <c r="AV16" s="94" t="e">
        <f t="shared" ca="1" si="109"/>
        <v>#N/A</v>
      </c>
      <c r="AW16" s="94" t="e">
        <f t="shared" ca="1" si="109"/>
        <v>#N/A</v>
      </c>
      <c r="AX16" s="94" t="e">
        <f t="shared" ca="1" si="109"/>
        <v>#N/A</v>
      </c>
      <c r="AY16" s="94" t="e">
        <f t="shared" ca="1" si="109"/>
        <v>#N/A</v>
      </c>
      <c r="AZ16" s="94" t="e">
        <f t="shared" ca="1" si="109"/>
        <v>#N/A</v>
      </c>
      <c r="BA16" s="94" t="e">
        <f t="shared" ca="1" si="109"/>
        <v>#N/A</v>
      </c>
      <c r="BB16" s="94" t="e">
        <f t="shared" ca="1" si="109"/>
        <v>#N/A</v>
      </c>
      <c r="BC16" s="94" t="e">
        <f t="shared" ca="1" si="109"/>
        <v>#N/A</v>
      </c>
      <c r="BD16" s="94" t="e">
        <f t="shared" ca="1" si="109"/>
        <v>#N/A</v>
      </c>
      <c r="BE16" s="94" t="e">
        <f t="shared" ca="1" si="109"/>
        <v>#N/A</v>
      </c>
      <c r="BF16" s="94" t="e">
        <f t="shared" ca="1" si="109"/>
        <v>#N/A</v>
      </c>
      <c r="BG16" s="94" t="e">
        <f t="shared" ca="1" si="109"/>
        <v>#N/A</v>
      </c>
      <c r="BH16" s="94" t="e">
        <f t="shared" ca="1" si="109"/>
        <v>#N/A</v>
      </c>
      <c r="BI16" s="94" t="e">
        <f t="shared" ca="1" si="109"/>
        <v>#N/A</v>
      </c>
      <c r="BJ16" s="94" t="e">
        <f t="shared" ca="1" si="109"/>
        <v>#N/A</v>
      </c>
      <c r="BK16" s="94" t="e">
        <f t="shared" ca="1" si="109"/>
        <v>#N/A</v>
      </c>
      <c r="BL16" s="94" t="e">
        <f t="shared" ca="1" si="109"/>
        <v>#N/A</v>
      </c>
      <c r="BM16" s="94" t="e">
        <f t="shared" ca="1" si="109"/>
        <v>#N/A</v>
      </c>
      <c r="BN16" s="94" t="e">
        <f t="shared" ca="1" si="109"/>
        <v>#N/A</v>
      </c>
      <c r="BO16" s="94" t="e">
        <f t="shared" ca="1" si="109"/>
        <v>#N/A</v>
      </c>
      <c r="BP16" s="94" t="e">
        <f t="shared" ca="1" si="109"/>
        <v>#N/A</v>
      </c>
      <c r="BQ16" s="94" t="e">
        <f t="shared" ca="1" si="109"/>
        <v>#N/A</v>
      </c>
      <c r="BR16" s="94" t="e">
        <f ca="1">IFERROR(AVERAGE(BN14:BR14),NA())</f>
        <v>#N/A</v>
      </c>
      <c r="BS16" s="94" t="e">
        <f t="shared" ca="1" si="109"/>
        <v>#N/A</v>
      </c>
      <c r="BT16" s="94" t="e">
        <f t="shared" ref="BT16:EE16" ca="1" si="110">IFERROR(AVERAGE(BP14:BT14),NA())</f>
        <v>#N/A</v>
      </c>
      <c r="BU16" s="94" t="e">
        <f t="shared" ca="1" si="110"/>
        <v>#N/A</v>
      </c>
      <c r="BV16" s="94" t="e">
        <f t="shared" ca="1" si="110"/>
        <v>#N/A</v>
      </c>
      <c r="BW16" s="94" t="e">
        <f t="shared" ca="1" si="110"/>
        <v>#N/A</v>
      </c>
      <c r="BX16" s="94" t="e">
        <f t="shared" ca="1" si="110"/>
        <v>#N/A</v>
      </c>
      <c r="BY16" s="94" t="e">
        <f t="shared" ca="1" si="110"/>
        <v>#N/A</v>
      </c>
      <c r="BZ16" s="94" t="e">
        <f t="shared" ca="1" si="110"/>
        <v>#N/A</v>
      </c>
      <c r="CA16" s="94" t="e">
        <f t="shared" ca="1" si="110"/>
        <v>#N/A</v>
      </c>
      <c r="CB16" s="94" t="e">
        <f t="shared" ca="1" si="110"/>
        <v>#N/A</v>
      </c>
      <c r="CC16" s="94" t="e">
        <f t="shared" ca="1" si="110"/>
        <v>#N/A</v>
      </c>
      <c r="CD16" s="94" t="e">
        <f t="shared" ca="1" si="110"/>
        <v>#N/A</v>
      </c>
      <c r="CE16" s="94" t="e">
        <f t="shared" ca="1" si="110"/>
        <v>#N/A</v>
      </c>
      <c r="CF16" s="94" t="e">
        <f t="shared" ca="1" si="110"/>
        <v>#N/A</v>
      </c>
      <c r="CG16" s="94" t="e">
        <f t="shared" ca="1" si="110"/>
        <v>#N/A</v>
      </c>
      <c r="CH16" s="94" t="e">
        <f t="shared" ca="1" si="110"/>
        <v>#N/A</v>
      </c>
      <c r="CI16" s="94" t="e">
        <f t="shared" ca="1" si="110"/>
        <v>#N/A</v>
      </c>
      <c r="CJ16" s="94" t="e">
        <f t="shared" ca="1" si="110"/>
        <v>#N/A</v>
      </c>
      <c r="CK16" s="94" t="e">
        <f t="shared" ca="1" si="110"/>
        <v>#N/A</v>
      </c>
      <c r="CL16" s="94" t="e">
        <f t="shared" ca="1" si="110"/>
        <v>#N/A</v>
      </c>
      <c r="CM16" s="94" t="e">
        <f t="shared" ca="1" si="110"/>
        <v>#N/A</v>
      </c>
      <c r="CN16" s="94" t="e">
        <f t="shared" ca="1" si="110"/>
        <v>#N/A</v>
      </c>
      <c r="CO16" s="94" t="e">
        <f t="shared" ca="1" si="110"/>
        <v>#N/A</v>
      </c>
      <c r="CP16" s="94" t="e">
        <f t="shared" ca="1" si="110"/>
        <v>#N/A</v>
      </c>
      <c r="CQ16" s="94" t="e">
        <f t="shared" ca="1" si="110"/>
        <v>#N/A</v>
      </c>
      <c r="CR16" s="94" t="e">
        <f t="shared" ca="1" si="110"/>
        <v>#N/A</v>
      </c>
      <c r="CS16" s="94" t="e">
        <f t="shared" ca="1" si="110"/>
        <v>#N/A</v>
      </c>
      <c r="CT16" s="94" t="e">
        <f t="shared" ca="1" si="110"/>
        <v>#N/A</v>
      </c>
      <c r="CU16" s="94" t="e">
        <f t="shared" ca="1" si="110"/>
        <v>#N/A</v>
      </c>
      <c r="CV16" s="94" t="e">
        <f t="shared" ca="1" si="110"/>
        <v>#N/A</v>
      </c>
      <c r="CW16" s="94" t="e">
        <f t="shared" ca="1" si="110"/>
        <v>#N/A</v>
      </c>
      <c r="CX16" s="94" t="e">
        <f t="shared" ca="1" si="110"/>
        <v>#N/A</v>
      </c>
      <c r="CY16" s="94" t="e">
        <f t="shared" ca="1" si="110"/>
        <v>#N/A</v>
      </c>
      <c r="CZ16" s="94" t="e">
        <f t="shared" ca="1" si="110"/>
        <v>#N/A</v>
      </c>
      <c r="DA16" s="94" t="e">
        <f t="shared" ca="1" si="110"/>
        <v>#N/A</v>
      </c>
      <c r="DB16" s="94" t="e">
        <f t="shared" ca="1" si="110"/>
        <v>#N/A</v>
      </c>
      <c r="DC16" s="94" t="e">
        <f t="shared" ca="1" si="110"/>
        <v>#N/A</v>
      </c>
      <c r="DD16" s="94" t="e">
        <f t="shared" ca="1" si="110"/>
        <v>#N/A</v>
      </c>
      <c r="DE16" s="94" t="e">
        <f t="shared" ca="1" si="110"/>
        <v>#N/A</v>
      </c>
      <c r="DF16" s="94" t="e">
        <f t="shared" ca="1" si="110"/>
        <v>#N/A</v>
      </c>
      <c r="DG16" s="94" t="e">
        <f t="shared" ca="1" si="110"/>
        <v>#N/A</v>
      </c>
      <c r="DH16" s="94" t="e">
        <f t="shared" ca="1" si="110"/>
        <v>#N/A</v>
      </c>
      <c r="DI16" s="94" t="e">
        <f t="shared" ca="1" si="110"/>
        <v>#N/A</v>
      </c>
      <c r="DJ16" s="94" t="e">
        <f t="shared" ca="1" si="110"/>
        <v>#N/A</v>
      </c>
      <c r="DK16" s="94" t="e">
        <f t="shared" ca="1" si="110"/>
        <v>#N/A</v>
      </c>
      <c r="DL16" s="94" t="e">
        <f t="shared" ca="1" si="110"/>
        <v>#N/A</v>
      </c>
      <c r="DM16" s="94" t="e">
        <f t="shared" ca="1" si="110"/>
        <v>#N/A</v>
      </c>
      <c r="DN16" s="94" t="e">
        <f t="shared" ca="1" si="110"/>
        <v>#N/A</v>
      </c>
      <c r="DO16" s="94" t="e">
        <f t="shared" ca="1" si="110"/>
        <v>#N/A</v>
      </c>
      <c r="DP16" s="94" t="e">
        <f t="shared" ca="1" si="110"/>
        <v>#N/A</v>
      </c>
      <c r="DQ16" s="94" t="e">
        <f t="shared" ca="1" si="110"/>
        <v>#N/A</v>
      </c>
      <c r="DR16" s="94" t="e">
        <f t="shared" ca="1" si="110"/>
        <v>#N/A</v>
      </c>
      <c r="DS16" s="94" t="e">
        <f t="shared" ca="1" si="110"/>
        <v>#N/A</v>
      </c>
      <c r="DT16" s="94" t="e">
        <f t="shared" ca="1" si="110"/>
        <v>#N/A</v>
      </c>
      <c r="DU16" s="94" t="e">
        <f t="shared" ca="1" si="110"/>
        <v>#N/A</v>
      </c>
      <c r="DV16" s="94" t="e">
        <f t="shared" ca="1" si="110"/>
        <v>#N/A</v>
      </c>
      <c r="DW16" s="94" t="e">
        <f t="shared" ca="1" si="110"/>
        <v>#N/A</v>
      </c>
      <c r="DX16" s="94" t="e">
        <f t="shared" ca="1" si="110"/>
        <v>#N/A</v>
      </c>
      <c r="DY16" s="94" t="e">
        <f t="shared" ca="1" si="110"/>
        <v>#N/A</v>
      </c>
      <c r="DZ16" s="94" t="e">
        <f t="shared" ca="1" si="110"/>
        <v>#N/A</v>
      </c>
      <c r="EA16" s="94" t="e">
        <f t="shared" ca="1" si="110"/>
        <v>#N/A</v>
      </c>
      <c r="EB16" s="94" t="e">
        <f t="shared" ca="1" si="110"/>
        <v>#N/A</v>
      </c>
      <c r="EC16" s="94" t="e">
        <f t="shared" ca="1" si="110"/>
        <v>#N/A</v>
      </c>
      <c r="ED16" s="94" t="e">
        <f t="shared" ca="1" si="110"/>
        <v>#N/A</v>
      </c>
      <c r="EE16" s="94" t="e">
        <f t="shared" ca="1" si="110"/>
        <v>#N/A</v>
      </c>
      <c r="EF16" s="94" t="e">
        <f t="shared" ref="EF16:GQ16" ca="1" si="111">IFERROR(AVERAGE(EB14:EF14),NA())</f>
        <v>#N/A</v>
      </c>
      <c r="EG16" s="94" t="e">
        <f t="shared" ca="1" si="111"/>
        <v>#N/A</v>
      </c>
      <c r="EH16" s="94" t="e">
        <f t="shared" ca="1" si="111"/>
        <v>#N/A</v>
      </c>
      <c r="EI16" s="94" t="e">
        <f t="shared" ca="1" si="111"/>
        <v>#N/A</v>
      </c>
      <c r="EJ16" s="94" t="e">
        <f t="shared" ca="1" si="111"/>
        <v>#N/A</v>
      </c>
      <c r="EK16" s="94" t="e">
        <f t="shared" ca="1" si="111"/>
        <v>#N/A</v>
      </c>
      <c r="EL16" s="94" t="e">
        <f t="shared" ca="1" si="111"/>
        <v>#N/A</v>
      </c>
      <c r="EM16" s="94" t="e">
        <f t="shared" ca="1" si="111"/>
        <v>#N/A</v>
      </c>
      <c r="EN16" s="94" t="e">
        <f t="shared" ca="1" si="111"/>
        <v>#N/A</v>
      </c>
      <c r="EO16" s="94" t="e">
        <f t="shared" ca="1" si="111"/>
        <v>#N/A</v>
      </c>
      <c r="EP16" s="94" t="e">
        <f t="shared" ca="1" si="111"/>
        <v>#N/A</v>
      </c>
      <c r="EQ16" s="94" t="e">
        <f t="shared" ca="1" si="111"/>
        <v>#N/A</v>
      </c>
      <c r="ER16" s="94" t="e">
        <f t="shared" ca="1" si="111"/>
        <v>#N/A</v>
      </c>
      <c r="ES16" s="94" t="e">
        <f t="shared" ca="1" si="111"/>
        <v>#N/A</v>
      </c>
      <c r="ET16" s="94" t="e">
        <f t="shared" ca="1" si="111"/>
        <v>#N/A</v>
      </c>
      <c r="EU16" s="94" t="e">
        <f t="shared" ca="1" si="111"/>
        <v>#N/A</v>
      </c>
      <c r="EV16" s="94" t="e">
        <f t="shared" ca="1" si="111"/>
        <v>#N/A</v>
      </c>
      <c r="EW16" s="94" t="e">
        <f t="shared" ca="1" si="111"/>
        <v>#N/A</v>
      </c>
      <c r="EX16" s="94" t="e">
        <f t="shared" ca="1" si="111"/>
        <v>#N/A</v>
      </c>
      <c r="EY16" s="94" t="e">
        <f t="shared" ca="1" si="111"/>
        <v>#N/A</v>
      </c>
      <c r="EZ16" s="94" t="e">
        <f t="shared" ca="1" si="111"/>
        <v>#N/A</v>
      </c>
      <c r="FA16" s="94" t="e">
        <f t="shared" ca="1" si="111"/>
        <v>#N/A</v>
      </c>
      <c r="FB16" s="94" t="e">
        <f t="shared" ca="1" si="111"/>
        <v>#N/A</v>
      </c>
      <c r="FC16" s="94" t="e">
        <f t="shared" ca="1" si="111"/>
        <v>#N/A</v>
      </c>
      <c r="FD16" s="94" t="e">
        <f t="shared" ca="1" si="111"/>
        <v>#N/A</v>
      </c>
      <c r="FE16" s="94" t="e">
        <f t="shared" ca="1" si="111"/>
        <v>#N/A</v>
      </c>
      <c r="FF16" s="94" t="e">
        <f t="shared" ca="1" si="111"/>
        <v>#N/A</v>
      </c>
      <c r="FG16" s="94" t="e">
        <f t="shared" ca="1" si="111"/>
        <v>#N/A</v>
      </c>
      <c r="FH16" s="94" t="e">
        <f t="shared" ca="1" si="111"/>
        <v>#N/A</v>
      </c>
      <c r="FI16" s="94" t="e">
        <f t="shared" ca="1" si="111"/>
        <v>#N/A</v>
      </c>
      <c r="FJ16" s="94" t="e">
        <f t="shared" ca="1" si="111"/>
        <v>#N/A</v>
      </c>
      <c r="FK16" s="94" t="e">
        <f t="shared" ca="1" si="111"/>
        <v>#N/A</v>
      </c>
      <c r="FL16" s="94" t="e">
        <f t="shared" ca="1" si="111"/>
        <v>#N/A</v>
      </c>
      <c r="FM16" s="94" t="e">
        <f t="shared" ca="1" si="111"/>
        <v>#N/A</v>
      </c>
      <c r="FN16" s="94" t="e">
        <f t="shared" ca="1" si="111"/>
        <v>#N/A</v>
      </c>
      <c r="FO16" s="94" t="e">
        <f t="shared" ca="1" si="111"/>
        <v>#N/A</v>
      </c>
      <c r="FP16" s="94" t="e">
        <f t="shared" ca="1" si="111"/>
        <v>#N/A</v>
      </c>
      <c r="FQ16" s="94" t="e">
        <f t="shared" ca="1" si="111"/>
        <v>#N/A</v>
      </c>
      <c r="FR16" s="94" t="e">
        <f t="shared" ca="1" si="111"/>
        <v>#N/A</v>
      </c>
      <c r="FS16" s="94" t="e">
        <f t="shared" ca="1" si="111"/>
        <v>#N/A</v>
      </c>
      <c r="FT16" s="94" t="e">
        <f t="shared" ca="1" si="111"/>
        <v>#N/A</v>
      </c>
      <c r="FU16" s="94" t="e">
        <f t="shared" ca="1" si="111"/>
        <v>#N/A</v>
      </c>
      <c r="FV16" s="94" t="e">
        <f t="shared" ca="1" si="111"/>
        <v>#N/A</v>
      </c>
      <c r="FW16" s="94" t="e">
        <f t="shared" ca="1" si="111"/>
        <v>#N/A</v>
      </c>
      <c r="FX16" s="94" t="e">
        <f t="shared" ca="1" si="111"/>
        <v>#N/A</v>
      </c>
      <c r="FY16" s="94" t="e">
        <f t="shared" ca="1" si="111"/>
        <v>#N/A</v>
      </c>
      <c r="FZ16" s="94" t="e">
        <f t="shared" ca="1" si="111"/>
        <v>#N/A</v>
      </c>
      <c r="GA16" s="94" t="e">
        <f t="shared" ca="1" si="111"/>
        <v>#N/A</v>
      </c>
      <c r="GB16" s="94" t="e">
        <f t="shared" ca="1" si="111"/>
        <v>#N/A</v>
      </c>
      <c r="GC16" s="94" t="e">
        <f t="shared" ca="1" si="111"/>
        <v>#N/A</v>
      </c>
      <c r="GD16" s="94" t="e">
        <f t="shared" ca="1" si="111"/>
        <v>#N/A</v>
      </c>
      <c r="GE16" s="94" t="e">
        <f t="shared" ca="1" si="111"/>
        <v>#N/A</v>
      </c>
      <c r="GF16" s="94" t="e">
        <f t="shared" ca="1" si="111"/>
        <v>#N/A</v>
      </c>
      <c r="GG16" s="94" t="e">
        <f t="shared" ca="1" si="111"/>
        <v>#N/A</v>
      </c>
      <c r="GH16" s="94" t="e">
        <f t="shared" ca="1" si="111"/>
        <v>#N/A</v>
      </c>
      <c r="GI16" s="94" t="e">
        <f t="shared" ca="1" si="111"/>
        <v>#N/A</v>
      </c>
      <c r="GJ16" s="94" t="e">
        <f t="shared" ca="1" si="111"/>
        <v>#N/A</v>
      </c>
      <c r="GK16" s="94" t="e">
        <f t="shared" ca="1" si="111"/>
        <v>#N/A</v>
      </c>
      <c r="GL16" s="94" t="e">
        <f t="shared" ca="1" si="111"/>
        <v>#N/A</v>
      </c>
      <c r="GM16" s="94" t="e">
        <f t="shared" ca="1" si="111"/>
        <v>#N/A</v>
      </c>
      <c r="GN16" s="94" t="e">
        <f t="shared" ca="1" si="111"/>
        <v>#N/A</v>
      </c>
      <c r="GO16" s="94" t="e">
        <f t="shared" ca="1" si="111"/>
        <v>#N/A</v>
      </c>
      <c r="GP16" s="94" t="e">
        <f t="shared" ca="1" si="111"/>
        <v>#N/A</v>
      </c>
      <c r="GQ16" s="94" t="e">
        <f t="shared" ca="1" si="111"/>
        <v>#N/A</v>
      </c>
      <c r="GR16" s="94" t="e">
        <f t="shared" ref="GR16:IN16" ca="1" si="112">IFERROR(AVERAGE(GN14:GR14),NA())</f>
        <v>#N/A</v>
      </c>
      <c r="GS16" s="94" t="e">
        <f t="shared" ca="1" si="112"/>
        <v>#N/A</v>
      </c>
      <c r="GT16" s="94" t="e">
        <f t="shared" ca="1" si="112"/>
        <v>#N/A</v>
      </c>
      <c r="GU16" s="94" t="e">
        <f t="shared" ca="1" si="112"/>
        <v>#N/A</v>
      </c>
      <c r="GV16" s="94" t="e">
        <f t="shared" ca="1" si="112"/>
        <v>#N/A</v>
      </c>
      <c r="GW16" s="94" t="e">
        <f t="shared" ca="1" si="112"/>
        <v>#N/A</v>
      </c>
      <c r="GX16" s="94" t="e">
        <f t="shared" ca="1" si="112"/>
        <v>#N/A</v>
      </c>
      <c r="GY16" s="94" t="e">
        <f t="shared" ca="1" si="112"/>
        <v>#N/A</v>
      </c>
      <c r="GZ16" s="94" t="e">
        <f t="shared" ca="1" si="112"/>
        <v>#N/A</v>
      </c>
      <c r="HA16" s="94" t="e">
        <f t="shared" ca="1" si="112"/>
        <v>#N/A</v>
      </c>
      <c r="HB16" s="94" t="e">
        <f t="shared" ca="1" si="112"/>
        <v>#N/A</v>
      </c>
      <c r="HC16" s="94" t="e">
        <f t="shared" ca="1" si="112"/>
        <v>#N/A</v>
      </c>
      <c r="HD16" s="94" t="e">
        <f t="shared" ca="1" si="112"/>
        <v>#N/A</v>
      </c>
      <c r="HE16" s="94" t="e">
        <f t="shared" ca="1" si="112"/>
        <v>#N/A</v>
      </c>
      <c r="HF16" s="94" t="e">
        <f t="shared" ca="1" si="112"/>
        <v>#N/A</v>
      </c>
      <c r="HG16" s="94" t="e">
        <f t="shared" ca="1" si="112"/>
        <v>#N/A</v>
      </c>
      <c r="HH16" s="94" t="e">
        <f t="shared" ca="1" si="112"/>
        <v>#N/A</v>
      </c>
      <c r="HI16" s="94" t="e">
        <f t="shared" ca="1" si="112"/>
        <v>#N/A</v>
      </c>
      <c r="HJ16" s="94" t="e">
        <f t="shared" ca="1" si="112"/>
        <v>#N/A</v>
      </c>
      <c r="HK16" s="94" t="e">
        <f t="shared" ca="1" si="112"/>
        <v>#N/A</v>
      </c>
      <c r="HL16" s="94" t="e">
        <f t="shared" ca="1" si="112"/>
        <v>#N/A</v>
      </c>
      <c r="HM16" s="94" t="e">
        <f t="shared" ca="1" si="112"/>
        <v>#N/A</v>
      </c>
      <c r="HN16" s="94" t="e">
        <f t="shared" ca="1" si="112"/>
        <v>#N/A</v>
      </c>
      <c r="HO16" s="94" t="e">
        <f t="shared" ca="1" si="112"/>
        <v>#N/A</v>
      </c>
      <c r="HP16" s="94" t="e">
        <f t="shared" ca="1" si="112"/>
        <v>#N/A</v>
      </c>
      <c r="HQ16" s="94" t="e">
        <f t="shared" ca="1" si="112"/>
        <v>#N/A</v>
      </c>
      <c r="HR16" s="94" t="e">
        <f t="shared" ca="1" si="112"/>
        <v>#N/A</v>
      </c>
      <c r="HS16" s="94" t="e">
        <f t="shared" ca="1" si="112"/>
        <v>#N/A</v>
      </c>
      <c r="HT16" s="94" t="e">
        <f t="shared" ca="1" si="112"/>
        <v>#N/A</v>
      </c>
      <c r="HU16" s="94" t="e">
        <f t="shared" ca="1" si="112"/>
        <v>#N/A</v>
      </c>
      <c r="HV16" s="94" t="e">
        <f t="shared" ca="1" si="112"/>
        <v>#N/A</v>
      </c>
      <c r="HW16" s="94" t="e">
        <f t="shared" ca="1" si="112"/>
        <v>#N/A</v>
      </c>
      <c r="HX16" s="94" t="e">
        <f t="shared" ca="1" si="112"/>
        <v>#N/A</v>
      </c>
      <c r="HY16" s="94" t="e">
        <f t="shared" ca="1" si="112"/>
        <v>#N/A</v>
      </c>
      <c r="HZ16" s="94" t="e">
        <f t="shared" ca="1" si="112"/>
        <v>#N/A</v>
      </c>
      <c r="IA16" s="94" t="e">
        <f t="shared" ca="1" si="112"/>
        <v>#N/A</v>
      </c>
      <c r="IB16" s="94" t="e">
        <f t="shared" ca="1" si="112"/>
        <v>#N/A</v>
      </c>
      <c r="IC16" s="94" t="e">
        <f t="shared" ca="1" si="112"/>
        <v>#N/A</v>
      </c>
      <c r="ID16" s="94" t="e">
        <f t="shared" ca="1" si="112"/>
        <v>#N/A</v>
      </c>
      <c r="IE16" s="94" t="e">
        <f t="shared" ca="1" si="112"/>
        <v>#N/A</v>
      </c>
      <c r="IF16" s="94" t="e">
        <f t="shared" ca="1" si="112"/>
        <v>#N/A</v>
      </c>
      <c r="IG16" s="94" t="e">
        <f t="shared" ca="1" si="112"/>
        <v>#N/A</v>
      </c>
      <c r="IH16" s="94" t="e">
        <f t="shared" ca="1" si="112"/>
        <v>#N/A</v>
      </c>
      <c r="II16" s="94" t="e">
        <f t="shared" ca="1" si="112"/>
        <v>#N/A</v>
      </c>
      <c r="IJ16" s="94" t="e">
        <f t="shared" ca="1" si="112"/>
        <v>#N/A</v>
      </c>
      <c r="IK16" s="94" t="e">
        <f t="shared" ca="1" si="112"/>
        <v>#N/A</v>
      </c>
      <c r="IL16" s="94" t="e">
        <f t="shared" ca="1" si="112"/>
        <v>#N/A</v>
      </c>
      <c r="IM16" s="94" t="e">
        <f t="shared" ca="1" si="112"/>
        <v>#N/A</v>
      </c>
      <c r="IN16" s="94" t="e">
        <f t="shared" ca="1" si="112"/>
        <v>#N/A</v>
      </c>
    </row>
    <row r="17" spans="2:248" x14ac:dyDescent="0.3">
      <c r="B17" s="19" t="s">
        <v>497</v>
      </c>
      <c r="C17" s="23">
        <v>2.5000000000000001E-2</v>
      </c>
      <c r="E17" s="93" t="s">
        <v>586</v>
      </c>
      <c r="F17" s="19" t="s">
        <v>569</v>
      </c>
      <c r="G17" s="94" t="e">
        <f t="shared" ref="G17:AC17" ca="1" si="113">IFERROR(AVERAGE(E15:G15),NA())</f>
        <v>#N/A</v>
      </c>
      <c r="H17" s="94" t="e">
        <f t="shared" ca="1" si="113"/>
        <v>#N/A</v>
      </c>
      <c r="I17" s="94" t="e">
        <f t="shared" ca="1" si="113"/>
        <v>#N/A</v>
      </c>
      <c r="J17" s="94" t="e">
        <f t="shared" ca="1" si="113"/>
        <v>#N/A</v>
      </c>
      <c r="K17" s="94" t="e">
        <f t="shared" ca="1" si="113"/>
        <v>#N/A</v>
      </c>
      <c r="L17" s="94" t="e">
        <f t="shared" ca="1" si="113"/>
        <v>#N/A</v>
      </c>
      <c r="M17" s="94" t="e">
        <f t="shared" ca="1" si="113"/>
        <v>#N/A</v>
      </c>
      <c r="N17" s="94" t="e">
        <f t="shared" ca="1" si="113"/>
        <v>#N/A</v>
      </c>
      <c r="O17" s="94" t="e">
        <f t="shared" ca="1" si="113"/>
        <v>#N/A</v>
      </c>
      <c r="P17" s="94">
        <f t="shared" ca="1" si="113"/>
        <v>0.26735534271547262</v>
      </c>
      <c r="Q17" s="94">
        <f t="shared" ca="1" si="113"/>
        <v>0.33277327746865226</v>
      </c>
      <c r="R17" s="94">
        <f t="shared" ca="1" si="113"/>
        <v>0.43382968468155042</v>
      </c>
      <c r="S17" s="94">
        <f t="shared" ca="1" si="113"/>
        <v>0.46733091080649847</v>
      </c>
      <c r="T17" s="94">
        <f t="shared" ca="1" si="113"/>
        <v>0.50765076945859167</v>
      </c>
      <c r="U17" s="94">
        <f t="shared" ca="1" si="113"/>
        <v>0.50147402712824307</v>
      </c>
      <c r="V17" s="94">
        <f t="shared" ca="1" si="113"/>
        <v>0.46962812331465204</v>
      </c>
      <c r="W17" s="94">
        <f t="shared" ca="1" si="113"/>
        <v>0.39091843509148977</v>
      </c>
      <c r="X17" s="94">
        <f t="shared" ca="1" si="113"/>
        <v>0.34438552075470646</v>
      </c>
      <c r="Y17" s="94">
        <f t="shared" ca="1" si="113"/>
        <v>0.30435355830565669</v>
      </c>
      <c r="Z17" s="94">
        <f t="shared" ca="1" si="113"/>
        <v>0.27769234266814796</v>
      </c>
      <c r="AA17" s="94">
        <f t="shared" ca="1" si="113"/>
        <v>0.24256186668586807</v>
      </c>
      <c r="AB17" s="94">
        <f t="shared" ca="1" si="113"/>
        <v>0.22080586879509215</v>
      </c>
      <c r="AC17" s="94" t="e">
        <f t="shared" ca="1" si="113"/>
        <v>#N/A</v>
      </c>
      <c r="AD17" s="94" t="e">
        <f ca="1">IFERROR(AVERAGE(AB15:AD15),NA())</f>
        <v>#N/A</v>
      </c>
      <c r="AE17" s="94" t="e">
        <f t="shared" ref="K17:BS17" ca="1" si="114">IFERROR(AVERAGE(AA15:AE15),NA())</f>
        <v>#N/A</v>
      </c>
      <c r="AF17" s="94" t="e">
        <f t="shared" ca="1" si="114"/>
        <v>#N/A</v>
      </c>
      <c r="AG17" s="94" t="e">
        <f t="shared" ca="1" si="114"/>
        <v>#N/A</v>
      </c>
      <c r="AH17" s="94" t="e">
        <f t="shared" ca="1" si="114"/>
        <v>#N/A</v>
      </c>
      <c r="AI17" s="94" t="e">
        <f t="shared" ca="1" si="114"/>
        <v>#N/A</v>
      </c>
      <c r="AJ17" s="94" t="e">
        <f t="shared" ca="1" si="114"/>
        <v>#N/A</v>
      </c>
      <c r="AK17" s="94" t="e">
        <f t="shared" ca="1" si="114"/>
        <v>#N/A</v>
      </c>
      <c r="AL17" s="94" t="e">
        <f t="shared" ca="1" si="114"/>
        <v>#N/A</v>
      </c>
      <c r="AM17" s="94" t="e">
        <f t="shared" ca="1" si="114"/>
        <v>#N/A</v>
      </c>
      <c r="AN17" s="94" t="e">
        <f t="shared" ca="1" si="114"/>
        <v>#N/A</v>
      </c>
      <c r="AO17" s="94" t="e">
        <f t="shared" ca="1" si="114"/>
        <v>#N/A</v>
      </c>
      <c r="AP17" s="94" t="e">
        <f t="shared" ca="1" si="114"/>
        <v>#N/A</v>
      </c>
      <c r="AQ17" s="94" t="e">
        <f t="shared" ca="1" si="114"/>
        <v>#N/A</v>
      </c>
      <c r="AR17" s="94" t="e">
        <f t="shared" ca="1" si="114"/>
        <v>#N/A</v>
      </c>
      <c r="AS17" s="94" t="e">
        <f t="shared" ca="1" si="114"/>
        <v>#N/A</v>
      </c>
      <c r="AT17" s="94" t="e">
        <f t="shared" ca="1" si="114"/>
        <v>#N/A</v>
      </c>
      <c r="AU17" s="94" t="e">
        <f t="shared" ca="1" si="114"/>
        <v>#N/A</v>
      </c>
      <c r="AV17" s="94" t="e">
        <f t="shared" ca="1" si="114"/>
        <v>#N/A</v>
      </c>
      <c r="AW17" s="94" t="e">
        <f t="shared" ca="1" si="114"/>
        <v>#N/A</v>
      </c>
      <c r="AX17" s="94" t="e">
        <f t="shared" ca="1" si="114"/>
        <v>#N/A</v>
      </c>
      <c r="AY17" s="94" t="e">
        <f t="shared" ca="1" si="114"/>
        <v>#N/A</v>
      </c>
      <c r="AZ17" s="94" t="e">
        <f t="shared" ca="1" si="114"/>
        <v>#N/A</v>
      </c>
      <c r="BA17" s="94" t="e">
        <f t="shared" ca="1" si="114"/>
        <v>#N/A</v>
      </c>
      <c r="BB17" s="94" t="e">
        <f t="shared" ca="1" si="114"/>
        <v>#N/A</v>
      </c>
      <c r="BC17" s="94" t="e">
        <f t="shared" ca="1" si="114"/>
        <v>#N/A</v>
      </c>
      <c r="BD17" s="94" t="e">
        <f t="shared" ca="1" si="114"/>
        <v>#N/A</v>
      </c>
      <c r="BE17" s="94" t="e">
        <f t="shared" ca="1" si="114"/>
        <v>#N/A</v>
      </c>
      <c r="BF17" s="94" t="e">
        <f t="shared" ca="1" si="114"/>
        <v>#N/A</v>
      </c>
      <c r="BG17" s="94" t="e">
        <f t="shared" ca="1" si="114"/>
        <v>#N/A</v>
      </c>
      <c r="BH17" s="94" t="e">
        <f t="shared" ca="1" si="114"/>
        <v>#N/A</v>
      </c>
      <c r="BI17" s="94" t="e">
        <f t="shared" ca="1" si="114"/>
        <v>#N/A</v>
      </c>
      <c r="BJ17" s="94" t="e">
        <f t="shared" ca="1" si="114"/>
        <v>#N/A</v>
      </c>
      <c r="BK17" s="94" t="e">
        <f t="shared" ca="1" si="114"/>
        <v>#N/A</v>
      </c>
      <c r="BL17" s="94" t="e">
        <f t="shared" ca="1" si="114"/>
        <v>#N/A</v>
      </c>
      <c r="BM17" s="94" t="e">
        <f t="shared" ca="1" si="114"/>
        <v>#N/A</v>
      </c>
      <c r="BN17" s="94" t="e">
        <f t="shared" ca="1" si="114"/>
        <v>#N/A</v>
      </c>
      <c r="BO17" s="94" t="e">
        <f t="shared" ca="1" si="114"/>
        <v>#N/A</v>
      </c>
      <c r="BP17" s="94" t="e">
        <f t="shared" ca="1" si="114"/>
        <v>#N/A</v>
      </c>
      <c r="BQ17" s="94" t="e">
        <f t="shared" ca="1" si="114"/>
        <v>#N/A</v>
      </c>
      <c r="BR17" s="94" t="e">
        <f t="shared" ca="1" si="114"/>
        <v>#N/A</v>
      </c>
      <c r="BS17" s="94" t="e">
        <f t="shared" ca="1" si="114"/>
        <v>#N/A</v>
      </c>
      <c r="BT17" s="94" t="e">
        <f t="shared" ref="BT17:EE17" ca="1" si="115">IFERROR(AVERAGE(BP15:BT15),NA())</f>
        <v>#N/A</v>
      </c>
      <c r="BU17" s="94" t="e">
        <f t="shared" ca="1" si="115"/>
        <v>#N/A</v>
      </c>
      <c r="BV17" s="94" t="e">
        <f t="shared" ca="1" si="115"/>
        <v>#N/A</v>
      </c>
      <c r="BW17" s="94" t="e">
        <f t="shared" ca="1" si="115"/>
        <v>#N/A</v>
      </c>
      <c r="BX17" s="94" t="e">
        <f t="shared" ca="1" si="115"/>
        <v>#N/A</v>
      </c>
      <c r="BY17" s="94" t="e">
        <f t="shared" ca="1" si="115"/>
        <v>#N/A</v>
      </c>
      <c r="BZ17" s="94" t="e">
        <f t="shared" ca="1" si="115"/>
        <v>#N/A</v>
      </c>
      <c r="CA17" s="94" t="e">
        <f t="shared" ca="1" si="115"/>
        <v>#N/A</v>
      </c>
      <c r="CB17" s="94" t="e">
        <f t="shared" ca="1" si="115"/>
        <v>#N/A</v>
      </c>
      <c r="CC17" s="94" t="e">
        <f t="shared" ca="1" si="115"/>
        <v>#N/A</v>
      </c>
      <c r="CD17" s="94" t="e">
        <f t="shared" ca="1" si="115"/>
        <v>#N/A</v>
      </c>
      <c r="CE17" s="94" t="e">
        <f t="shared" ca="1" si="115"/>
        <v>#N/A</v>
      </c>
      <c r="CF17" s="94" t="e">
        <f t="shared" ca="1" si="115"/>
        <v>#N/A</v>
      </c>
      <c r="CG17" s="94" t="e">
        <f t="shared" ca="1" si="115"/>
        <v>#N/A</v>
      </c>
      <c r="CH17" s="94" t="e">
        <f t="shared" ca="1" si="115"/>
        <v>#N/A</v>
      </c>
      <c r="CI17" s="94" t="e">
        <f t="shared" ca="1" si="115"/>
        <v>#N/A</v>
      </c>
      <c r="CJ17" s="94" t="e">
        <f t="shared" ca="1" si="115"/>
        <v>#N/A</v>
      </c>
      <c r="CK17" s="94" t="e">
        <f t="shared" ca="1" si="115"/>
        <v>#N/A</v>
      </c>
      <c r="CL17" s="94" t="e">
        <f t="shared" ca="1" si="115"/>
        <v>#N/A</v>
      </c>
      <c r="CM17" s="94" t="e">
        <f t="shared" ca="1" si="115"/>
        <v>#N/A</v>
      </c>
      <c r="CN17" s="94" t="e">
        <f t="shared" ca="1" si="115"/>
        <v>#N/A</v>
      </c>
      <c r="CO17" s="94" t="e">
        <f t="shared" ca="1" si="115"/>
        <v>#N/A</v>
      </c>
      <c r="CP17" s="94" t="e">
        <f t="shared" ca="1" si="115"/>
        <v>#N/A</v>
      </c>
      <c r="CQ17" s="94" t="e">
        <f t="shared" ca="1" si="115"/>
        <v>#N/A</v>
      </c>
      <c r="CR17" s="94" t="e">
        <f t="shared" ca="1" si="115"/>
        <v>#N/A</v>
      </c>
      <c r="CS17" s="94" t="e">
        <f t="shared" ca="1" si="115"/>
        <v>#N/A</v>
      </c>
      <c r="CT17" s="94" t="e">
        <f t="shared" ca="1" si="115"/>
        <v>#N/A</v>
      </c>
      <c r="CU17" s="94" t="e">
        <f t="shared" ca="1" si="115"/>
        <v>#N/A</v>
      </c>
      <c r="CV17" s="94" t="e">
        <f t="shared" ca="1" si="115"/>
        <v>#N/A</v>
      </c>
      <c r="CW17" s="94" t="e">
        <f t="shared" ca="1" si="115"/>
        <v>#N/A</v>
      </c>
      <c r="CX17" s="94" t="e">
        <f t="shared" ca="1" si="115"/>
        <v>#N/A</v>
      </c>
      <c r="CY17" s="94" t="e">
        <f t="shared" ca="1" si="115"/>
        <v>#N/A</v>
      </c>
      <c r="CZ17" s="94" t="e">
        <f t="shared" ca="1" si="115"/>
        <v>#N/A</v>
      </c>
      <c r="DA17" s="94" t="e">
        <f t="shared" ca="1" si="115"/>
        <v>#N/A</v>
      </c>
      <c r="DB17" s="94" t="e">
        <f t="shared" ca="1" si="115"/>
        <v>#N/A</v>
      </c>
      <c r="DC17" s="94" t="e">
        <f t="shared" ca="1" si="115"/>
        <v>#N/A</v>
      </c>
      <c r="DD17" s="94" t="e">
        <f t="shared" ca="1" si="115"/>
        <v>#N/A</v>
      </c>
      <c r="DE17" s="94" t="e">
        <f t="shared" ca="1" si="115"/>
        <v>#N/A</v>
      </c>
      <c r="DF17" s="94" t="e">
        <f t="shared" ca="1" si="115"/>
        <v>#N/A</v>
      </c>
      <c r="DG17" s="94" t="e">
        <f t="shared" ca="1" si="115"/>
        <v>#N/A</v>
      </c>
      <c r="DH17" s="94" t="e">
        <f t="shared" ca="1" si="115"/>
        <v>#N/A</v>
      </c>
      <c r="DI17" s="94" t="e">
        <f t="shared" ca="1" si="115"/>
        <v>#N/A</v>
      </c>
      <c r="DJ17" s="94" t="e">
        <f t="shared" ca="1" si="115"/>
        <v>#N/A</v>
      </c>
      <c r="DK17" s="94" t="e">
        <f t="shared" ca="1" si="115"/>
        <v>#N/A</v>
      </c>
      <c r="DL17" s="94" t="e">
        <f t="shared" ca="1" si="115"/>
        <v>#N/A</v>
      </c>
      <c r="DM17" s="94" t="e">
        <f t="shared" ca="1" si="115"/>
        <v>#N/A</v>
      </c>
      <c r="DN17" s="94" t="e">
        <f t="shared" ca="1" si="115"/>
        <v>#N/A</v>
      </c>
      <c r="DO17" s="94" t="e">
        <f t="shared" ca="1" si="115"/>
        <v>#N/A</v>
      </c>
      <c r="DP17" s="94" t="e">
        <f t="shared" ca="1" si="115"/>
        <v>#N/A</v>
      </c>
      <c r="DQ17" s="94" t="e">
        <f t="shared" ca="1" si="115"/>
        <v>#N/A</v>
      </c>
      <c r="DR17" s="94" t="e">
        <f t="shared" ca="1" si="115"/>
        <v>#N/A</v>
      </c>
      <c r="DS17" s="94" t="e">
        <f t="shared" ca="1" si="115"/>
        <v>#N/A</v>
      </c>
      <c r="DT17" s="94" t="e">
        <f t="shared" ca="1" si="115"/>
        <v>#N/A</v>
      </c>
      <c r="DU17" s="94" t="e">
        <f t="shared" ca="1" si="115"/>
        <v>#N/A</v>
      </c>
      <c r="DV17" s="94" t="e">
        <f t="shared" ca="1" si="115"/>
        <v>#N/A</v>
      </c>
      <c r="DW17" s="94" t="e">
        <f t="shared" ca="1" si="115"/>
        <v>#N/A</v>
      </c>
      <c r="DX17" s="94" t="e">
        <f t="shared" ca="1" si="115"/>
        <v>#N/A</v>
      </c>
      <c r="DY17" s="94" t="e">
        <f t="shared" ca="1" si="115"/>
        <v>#N/A</v>
      </c>
      <c r="DZ17" s="94" t="e">
        <f t="shared" ca="1" si="115"/>
        <v>#N/A</v>
      </c>
      <c r="EA17" s="94" t="e">
        <f t="shared" ca="1" si="115"/>
        <v>#N/A</v>
      </c>
      <c r="EB17" s="94" t="e">
        <f t="shared" ca="1" si="115"/>
        <v>#N/A</v>
      </c>
      <c r="EC17" s="94" t="e">
        <f t="shared" ca="1" si="115"/>
        <v>#N/A</v>
      </c>
      <c r="ED17" s="94" t="e">
        <f t="shared" ca="1" si="115"/>
        <v>#N/A</v>
      </c>
      <c r="EE17" s="94" t="e">
        <f t="shared" ca="1" si="115"/>
        <v>#N/A</v>
      </c>
      <c r="EF17" s="94" t="e">
        <f t="shared" ref="EF17:GQ17" ca="1" si="116">IFERROR(AVERAGE(EB15:EF15),NA())</f>
        <v>#N/A</v>
      </c>
      <c r="EG17" s="94" t="e">
        <f t="shared" ca="1" si="116"/>
        <v>#N/A</v>
      </c>
      <c r="EH17" s="94" t="e">
        <f t="shared" ca="1" si="116"/>
        <v>#N/A</v>
      </c>
      <c r="EI17" s="94" t="e">
        <f t="shared" ca="1" si="116"/>
        <v>#N/A</v>
      </c>
      <c r="EJ17" s="94" t="e">
        <f t="shared" ca="1" si="116"/>
        <v>#N/A</v>
      </c>
      <c r="EK17" s="94" t="e">
        <f t="shared" ca="1" si="116"/>
        <v>#N/A</v>
      </c>
      <c r="EL17" s="94" t="e">
        <f t="shared" ca="1" si="116"/>
        <v>#N/A</v>
      </c>
      <c r="EM17" s="94" t="e">
        <f t="shared" ca="1" si="116"/>
        <v>#N/A</v>
      </c>
      <c r="EN17" s="94" t="e">
        <f t="shared" ca="1" si="116"/>
        <v>#N/A</v>
      </c>
      <c r="EO17" s="94" t="e">
        <f t="shared" ca="1" si="116"/>
        <v>#N/A</v>
      </c>
      <c r="EP17" s="94" t="e">
        <f t="shared" ca="1" si="116"/>
        <v>#N/A</v>
      </c>
      <c r="EQ17" s="94" t="e">
        <f t="shared" ca="1" si="116"/>
        <v>#N/A</v>
      </c>
      <c r="ER17" s="94" t="e">
        <f t="shared" ca="1" si="116"/>
        <v>#N/A</v>
      </c>
      <c r="ES17" s="94" t="e">
        <f t="shared" ca="1" si="116"/>
        <v>#N/A</v>
      </c>
      <c r="ET17" s="94" t="e">
        <f t="shared" ca="1" si="116"/>
        <v>#N/A</v>
      </c>
      <c r="EU17" s="94" t="e">
        <f t="shared" ca="1" si="116"/>
        <v>#N/A</v>
      </c>
      <c r="EV17" s="94" t="e">
        <f t="shared" ca="1" si="116"/>
        <v>#N/A</v>
      </c>
      <c r="EW17" s="94" t="e">
        <f t="shared" ca="1" si="116"/>
        <v>#N/A</v>
      </c>
      <c r="EX17" s="94" t="e">
        <f t="shared" ca="1" si="116"/>
        <v>#N/A</v>
      </c>
      <c r="EY17" s="94" t="e">
        <f t="shared" ca="1" si="116"/>
        <v>#N/A</v>
      </c>
      <c r="EZ17" s="94" t="e">
        <f t="shared" ca="1" si="116"/>
        <v>#N/A</v>
      </c>
      <c r="FA17" s="94" t="e">
        <f t="shared" ca="1" si="116"/>
        <v>#N/A</v>
      </c>
      <c r="FB17" s="94" t="e">
        <f t="shared" ca="1" si="116"/>
        <v>#N/A</v>
      </c>
      <c r="FC17" s="94" t="e">
        <f t="shared" ca="1" si="116"/>
        <v>#N/A</v>
      </c>
      <c r="FD17" s="94" t="e">
        <f t="shared" ca="1" si="116"/>
        <v>#N/A</v>
      </c>
      <c r="FE17" s="94" t="e">
        <f t="shared" ca="1" si="116"/>
        <v>#N/A</v>
      </c>
      <c r="FF17" s="94" t="e">
        <f t="shared" ca="1" si="116"/>
        <v>#N/A</v>
      </c>
      <c r="FG17" s="94" t="e">
        <f t="shared" ca="1" si="116"/>
        <v>#N/A</v>
      </c>
      <c r="FH17" s="94" t="e">
        <f t="shared" ca="1" si="116"/>
        <v>#N/A</v>
      </c>
      <c r="FI17" s="94" t="e">
        <f t="shared" ca="1" si="116"/>
        <v>#N/A</v>
      </c>
      <c r="FJ17" s="94" t="e">
        <f t="shared" ca="1" si="116"/>
        <v>#N/A</v>
      </c>
      <c r="FK17" s="94" t="e">
        <f t="shared" ca="1" si="116"/>
        <v>#N/A</v>
      </c>
      <c r="FL17" s="94" t="e">
        <f t="shared" ca="1" si="116"/>
        <v>#N/A</v>
      </c>
      <c r="FM17" s="94" t="e">
        <f t="shared" ca="1" si="116"/>
        <v>#N/A</v>
      </c>
      <c r="FN17" s="94" t="e">
        <f t="shared" ca="1" si="116"/>
        <v>#N/A</v>
      </c>
      <c r="FO17" s="94" t="e">
        <f t="shared" ca="1" si="116"/>
        <v>#N/A</v>
      </c>
      <c r="FP17" s="94" t="e">
        <f t="shared" ca="1" si="116"/>
        <v>#N/A</v>
      </c>
      <c r="FQ17" s="94" t="e">
        <f t="shared" ca="1" si="116"/>
        <v>#N/A</v>
      </c>
      <c r="FR17" s="94" t="e">
        <f t="shared" ca="1" si="116"/>
        <v>#N/A</v>
      </c>
      <c r="FS17" s="94" t="e">
        <f t="shared" ca="1" si="116"/>
        <v>#N/A</v>
      </c>
      <c r="FT17" s="94" t="e">
        <f t="shared" ca="1" si="116"/>
        <v>#N/A</v>
      </c>
      <c r="FU17" s="94" t="e">
        <f t="shared" ca="1" si="116"/>
        <v>#N/A</v>
      </c>
      <c r="FV17" s="94" t="e">
        <f t="shared" ca="1" si="116"/>
        <v>#N/A</v>
      </c>
      <c r="FW17" s="94" t="e">
        <f t="shared" ca="1" si="116"/>
        <v>#N/A</v>
      </c>
      <c r="FX17" s="94" t="e">
        <f t="shared" ca="1" si="116"/>
        <v>#N/A</v>
      </c>
      <c r="FY17" s="94" t="e">
        <f t="shared" ca="1" si="116"/>
        <v>#N/A</v>
      </c>
      <c r="FZ17" s="94" t="e">
        <f t="shared" ca="1" si="116"/>
        <v>#N/A</v>
      </c>
      <c r="GA17" s="94" t="e">
        <f t="shared" ca="1" si="116"/>
        <v>#N/A</v>
      </c>
      <c r="GB17" s="94" t="e">
        <f t="shared" ca="1" si="116"/>
        <v>#N/A</v>
      </c>
      <c r="GC17" s="94" t="e">
        <f t="shared" ca="1" si="116"/>
        <v>#N/A</v>
      </c>
      <c r="GD17" s="94" t="e">
        <f t="shared" ca="1" si="116"/>
        <v>#N/A</v>
      </c>
      <c r="GE17" s="94" t="e">
        <f t="shared" ca="1" si="116"/>
        <v>#N/A</v>
      </c>
      <c r="GF17" s="94" t="e">
        <f t="shared" ca="1" si="116"/>
        <v>#N/A</v>
      </c>
      <c r="GG17" s="94" t="e">
        <f t="shared" ca="1" si="116"/>
        <v>#N/A</v>
      </c>
      <c r="GH17" s="94" t="e">
        <f t="shared" ca="1" si="116"/>
        <v>#N/A</v>
      </c>
      <c r="GI17" s="94" t="e">
        <f t="shared" ca="1" si="116"/>
        <v>#N/A</v>
      </c>
      <c r="GJ17" s="94" t="e">
        <f t="shared" ca="1" si="116"/>
        <v>#N/A</v>
      </c>
      <c r="GK17" s="94" t="e">
        <f t="shared" ca="1" si="116"/>
        <v>#N/A</v>
      </c>
      <c r="GL17" s="94" t="e">
        <f t="shared" ca="1" si="116"/>
        <v>#N/A</v>
      </c>
      <c r="GM17" s="94" t="e">
        <f t="shared" ca="1" si="116"/>
        <v>#N/A</v>
      </c>
      <c r="GN17" s="94" t="e">
        <f t="shared" ca="1" si="116"/>
        <v>#N/A</v>
      </c>
      <c r="GO17" s="94" t="e">
        <f t="shared" ca="1" si="116"/>
        <v>#N/A</v>
      </c>
      <c r="GP17" s="94" t="e">
        <f t="shared" ca="1" si="116"/>
        <v>#N/A</v>
      </c>
      <c r="GQ17" s="94" t="e">
        <f t="shared" ca="1" si="116"/>
        <v>#N/A</v>
      </c>
      <c r="GR17" s="94" t="e">
        <f t="shared" ref="GR17:IN17" ca="1" si="117">IFERROR(AVERAGE(GN15:GR15),NA())</f>
        <v>#N/A</v>
      </c>
      <c r="GS17" s="94" t="e">
        <f t="shared" ca="1" si="117"/>
        <v>#N/A</v>
      </c>
      <c r="GT17" s="94" t="e">
        <f t="shared" ca="1" si="117"/>
        <v>#N/A</v>
      </c>
      <c r="GU17" s="94" t="e">
        <f t="shared" ca="1" si="117"/>
        <v>#N/A</v>
      </c>
      <c r="GV17" s="94" t="e">
        <f t="shared" ca="1" si="117"/>
        <v>#N/A</v>
      </c>
      <c r="GW17" s="94" t="e">
        <f t="shared" ca="1" si="117"/>
        <v>#N/A</v>
      </c>
      <c r="GX17" s="94" t="e">
        <f t="shared" ca="1" si="117"/>
        <v>#N/A</v>
      </c>
      <c r="GY17" s="94" t="e">
        <f t="shared" ca="1" si="117"/>
        <v>#N/A</v>
      </c>
      <c r="GZ17" s="94" t="e">
        <f t="shared" ca="1" si="117"/>
        <v>#N/A</v>
      </c>
      <c r="HA17" s="94" t="e">
        <f t="shared" ca="1" si="117"/>
        <v>#N/A</v>
      </c>
      <c r="HB17" s="94" t="e">
        <f t="shared" ca="1" si="117"/>
        <v>#N/A</v>
      </c>
      <c r="HC17" s="94" t="e">
        <f t="shared" ca="1" si="117"/>
        <v>#N/A</v>
      </c>
      <c r="HD17" s="94" t="e">
        <f t="shared" ca="1" si="117"/>
        <v>#N/A</v>
      </c>
      <c r="HE17" s="94" t="e">
        <f t="shared" ca="1" si="117"/>
        <v>#N/A</v>
      </c>
      <c r="HF17" s="94" t="e">
        <f t="shared" ca="1" si="117"/>
        <v>#N/A</v>
      </c>
      <c r="HG17" s="94" t="e">
        <f t="shared" ca="1" si="117"/>
        <v>#N/A</v>
      </c>
      <c r="HH17" s="94" t="e">
        <f t="shared" ca="1" si="117"/>
        <v>#N/A</v>
      </c>
      <c r="HI17" s="94" t="e">
        <f t="shared" ca="1" si="117"/>
        <v>#N/A</v>
      </c>
      <c r="HJ17" s="94" t="e">
        <f t="shared" ca="1" si="117"/>
        <v>#N/A</v>
      </c>
      <c r="HK17" s="94" t="e">
        <f t="shared" ca="1" si="117"/>
        <v>#N/A</v>
      </c>
      <c r="HL17" s="94" t="e">
        <f t="shared" ca="1" si="117"/>
        <v>#N/A</v>
      </c>
      <c r="HM17" s="94" t="e">
        <f t="shared" ca="1" si="117"/>
        <v>#N/A</v>
      </c>
      <c r="HN17" s="94" t="e">
        <f t="shared" ca="1" si="117"/>
        <v>#N/A</v>
      </c>
      <c r="HO17" s="94" t="e">
        <f t="shared" ca="1" si="117"/>
        <v>#N/A</v>
      </c>
      <c r="HP17" s="94" t="e">
        <f t="shared" ca="1" si="117"/>
        <v>#N/A</v>
      </c>
      <c r="HQ17" s="94" t="e">
        <f t="shared" ca="1" si="117"/>
        <v>#N/A</v>
      </c>
      <c r="HR17" s="94" t="e">
        <f t="shared" ca="1" si="117"/>
        <v>#N/A</v>
      </c>
      <c r="HS17" s="94" t="e">
        <f t="shared" ca="1" si="117"/>
        <v>#N/A</v>
      </c>
      <c r="HT17" s="94" t="e">
        <f t="shared" ca="1" si="117"/>
        <v>#N/A</v>
      </c>
      <c r="HU17" s="94" t="e">
        <f t="shared" ca="1" si="117"/>
        <v>#N/A</v>
      </c>
      <c r="HV17" s="94" t="e">
        <f t="shared" ca="1" si="117"/>
        <v>#N/A</v>
      </c>
      <c r="HW17" s="94" t="e">
        <f t="shared" ca="1" si="117"/>
        <v>#N/A</v>
      </c>
      <c r="HX17" s="94" t="e">
        <f t="shared" ca="1" si="117"/>
        <v>#N/A</v>
      </c>
      <c r="HY17" s="94" t="e">
        <f t="shared" ca="1" si="117"/>
        <v>#N/A</v>
      </c>
      <c r="HZ17" s="94" t="e">
        <f t="shared" ca="1" si="117"/>
        <v>#N/A</v>
      </c>
      <c r="IA17" s="94" t="e">
        <f t="shared" ca="1" si="117"/>
        <v>#N/A</v>
      </c>
      <c r="IB17" s="94" t="e">
        <f t="shared" ca="1" si="117"/>
        <v>#N/A</v>
      </c>
      <c r="IC17" s="94" t="e">
        <f t="shared" ca="1" si="117"/>
        <v>#N/A</v>
      </c>
      <c r="ID17" s="94" t="e">
        <f t="shared" ca="1" si="117"/>
        <v>#N/A</v>
      </c>
      <c r="IE17" s="94" t="e">
        <f t="shared" ca="1" si="117"/>
        <v>#N/A</v>
      </c>
      <c r="IF17" s="94" t="e">
        <f t="shared" ca="1" si="117"/>
        <v>#N/A</v>
      </c>
      <c r="IG17" s="94" t="e">
        <f t="shared" ca="1" si="117"/>
        <v>#N/A</v>
      </c>
      <c r="IH17" s="94" t="e">
        <f t="shared" ca="1" si="117"/>
        <v>#N/A</v>
      </c>
      <c r="II17" s="94" t="e">
        <f t="shared" ca="1" si="117"/>
        <v>#N/A</v>
      </c>
      <c r="IJ17" s="94" t="e">
        <f t="shared" ca="1" si="117"/>
        <v>#N/A</v>
      </c>
      <c r="IK17" s="94" t="e">
        <f t="shared" ca="1" si="117"/>
        <v>#N/A</v>
      </c>
      <c r="IL17" s="94" t="e">
        <f t="shared" ca="1" si="117"/>
        <v>#N/A</v>
      </c>
      <c r="IM17" s="94" t="e">
        <f t="shared" ca="1" si="117"/>
        <v>#N/A</v>
      </c>
      <c r="IN17" s="94" t="e">
        <f t="shared" ca="1" si="117"/>
        <v>#N/A</v>
      </c>
    </row>
    <row r="19" spans="2:248" x14ac:dyDescent="0.3">
      <c r="B19" s="19" t="s">
        <v>478</v>
      </c>
      <c r="C19" s="40">
        <f>VLOOKUP(B2,Country_Data!B:J,9,FALSE)</f>
        <v>67886011</v>
      </c>
      <c r="F19" s="19" t="s">
        <v>465</v>
      </c>
      <c r="G19" s="40">
        <f>$C$16</f>
        <v>4480.4767259999999</v>
      </c>
      <c r="H19" s="40">
        <f t="shared" ref="H19:BS19" si="118">$C$16</f>
        <v>4480.4767259999999</v>
      </c>
      <c r="I19" s="40">
        <f t="shared" si="118"/>
        <v>4480.4767259999999</v>
      </c>
      <c r="J19" s="40">
        <f t="shared" si="118"/>
        <v>4480.4767259999999</v>
      </c>
      <c r="K19" s="40">
        <f t="shared" si="118"/>
        <v>4480.4767259999999</v>
      </c>
      <c r="L19" s="40">
        <f t="shared" si="118"/>
        <v>4480.4767259999999</v>
      </c>
      <c r="M19" s="40">
        <f t="shared" si="118"/>
        <v>4480.4767259999999</v>
      </c>
      <c r="N19" s="40">
        <f t="shared" si="118"/>
        <v>4480.4767259999999</v>
      </c>
      <c r="O19" s="40">
        <f t="shared" si="118"/>
        <v>4480.4767259999999</v>
      </c>
      <c r="P19" s="40">
        <f t="shared" si="118"/>
        <v>4480.4767259999999</v>
      </c>
      <c r="Q19" s="40">
        <f t="shared" si="118"/>
        <v>4480.4767259999999</v>
      </c>
      <c r="R19" s="40">
        <f t="shared" si="118"/>
        <v>4480.4767259999999</v>
      </c>
      <c r="S19" s="40">
        <f t="shared" si="118"/>
        <v>4480.4767259999999</v>
      </c>
      <c r="T19" s="40">
        <f t="shared" si="118"/>
        <v>4480.4767259999999</v>
      </c>
      <c r="U19" s="40">
        <f t="shared" si="118"/>
        <v>4480.4767259999999</v>
      </c>
      <c r="V19" s="40">
        <f t="shared" si="118"/>
        <v>4480.4767259999999</v>
      </c>
      <c r="W19" s="40">
        <f t="shared" si="118"/>
        <v>4480.4767259999999</v>
      </c>
      <c r="X19" s="40">
        <f t="shared" si="118"/>
        <v>4480.4767259999999</v>
      </c>
      <c r="Y19" s="40">
        <f t="shared" si="118"/>
        <v>4480.4767259999999</v>
      </c>
      <c r="Z19" s="40">
        <f t="shared" si="118"/>
        <v>4480.4767259999999</v>
      </c>
      <c r="AA19" s="40">
        <f t="shared" si="118"/>
        <v>4480.4767259999999</v>
      </c>
      <c r="AB19" s="40">
        <f t="shared" si="118"/>
        <v>4480.4767259999999</v>
      </c>
      <c r="AC19" s="40">
        <f t="shared" si="118"/>
        <v>4480.4767259999999</v>
      </c>
      <c r="AD19" s="40">
        <f t="shared" si="118"/>
        <v>4480.4767259999999</v>
      </c>
      <c r="AE19" s="40">
        <f t="shared" si="118"/>
        <v>4480.4767259999999</v>
      </c>
      <c r="AF19" s="40">
        <f t="shared" si="118"/>
        <v>4480.4767259999999</v>
      </c>
      <c r="AG19" s="40">
        <f t="shared" si="118"/>
        <v>4480.4767259999999</v>
      </c>
      <c r="AH19" s="40">
        <f t="shared" si="118"/>
        <v>4480.4767259999999</v>
      </c>
      <c r="AI19" s="40">
        <f t="shared" si="118"/>
        <v>4480.4767259999999</v>
      </c>
      <c r="AJ19" s="40">
        <f t="shared" si="118"/>
        <v>4480.4767259999999</v>
      </c>
      <c r="AK19" s="40">
        <f t="shared" si="118"/>
        <v>4480.4767259999999</v>
      </c>
      <c r="AL19" s="40">
        <f t="shared" si="118"/>
        <v>4480.4767259999999</v>
      </c>
      <c r="AM19" s="40">
        <f t="shared" si="118"/>
        <v>4480.4767259999999</v>
      </c>
      <c r="AN19" s="40">
        <f t="shared" si="118"/>
        <v>4480.4767259999999</v>
      </c>
      <c r="AO19" s="40">
        <f t="shared" si="118"/>
        <v>4480.4767259999999</v>
      </c>
      <c r="AP19" s="40">
        <f t="shared" si="118"/>
        <v>4480.4767259999999</v>
      </c>
      <c r="AQ19" s="40">
        <f t="shared" si="118"/>
        <v>4480.4767259999999</v>
      </c>
      <c r="AR19" s="40">
        <f t="shared" si="118"/>
        <v>4480.4767259999999</v>
      </c>
      <c r="AS19" s="40">
        <f t="shared" si="118"/>
        <v>4480.4767259999999</v>
      </c>
      <c r="AT19" s="40">
        <f t="shared" si="118"/>
        <v>4480.4767259999999</v>
      </c>
      <c r="AU19" s="40">
        <f t="shared" si="118"/>
        <v>4480.4767259999999</v>
      </c>
      <c r="AV19" s="40">
        <f t="shared" si="118"/>
        <v>4480.4767259999999</v>
      </c>
      <c r="AW19" s="40">
        <f t="shared" si="118"/>
        <v>4480.4767259999999</v>
      </c>
      <c r="AX19" s="40">
        <f t="shared" si="118"/>
        <v>4480.4767259999999</v>
      </c>
      <c r="AY19" s="40">
        <f t="shared" si="118"/>
        <v>4480.4767259999999</v>
      </c>
      <c r="AZ19" s="40">
        <f t="shared" si="118"/>
        <v>4480.4767259999999</v>
      </c>
      <c r="BA19" s="40">
        <f t="shared" si="118"/>
        <v>4480.4767259999999</v>
      </c>
      <c r="BB19" s="40">
        <f t="shared" si="118"/>
        <v>4480.4767259999999</v>
      </c>
      <c r="BC19" s="40">
        <f t="shared" si="118"/>
        <v>4480.4767259999999</v>
      </c>
      <c r="BD19" s="40">
        <f t="shared" si="118"/>
        <v>4480.4767259999999</v>
      </c>
      <c r="BE19" s="40">
        <f t="shared" si="118"/>
        <v>4480.4767259999999</v>
      </c>
      <c r="BF19" s="40">
        <f t="shared" si="118"/>
        <v>4480.4767259999999</v>
      </c>
      <c r="BG19" s="40">
        <f t="shared" si="118"/>
        <v>4480.4767259999999</v>
      </c>
      <c r="BH19" s="40">
        <f t="shared" si="118"/>
        <v>4480.4767259999999</v>
      </c>
      <c r="BI19" s="40">
        <f t="shared" si="118"/>
        <v>4480.4767259999999</v>
      </c>
      <c r="BJ19" s="40">
        <f t="shared" si="118"/>
        <v>4480.4767259999999</v>
      </c>
      <c r="BK19" s="40">
        <f t="shared" si="118"/>
        <v>4480.4767259999999</v>
      </c>
      <c r="BL19" s="40">
        <f t="shared" si="118"/>
        <v>4480.4767259999999</v>
      </c>
      <c r="BM19" s="40">
        <f t="shared" si="118"/>
        <v>4480.4767259999999</v>
      </c>
      <c r="BN19" s="40">
        <f t="shared" si="118"/>
        <v>4480.4767259999999</v>
      </c>
      <c r="BO19" s="40">
        <f t="shared" si="118"/>
        <v>4480.4767259999999</v>
      </c>
      <c r="BP19" s="40">
        <f t="shared" si="118"/>
        <v>4480.4767259999999</v>
      </c>
      <c r="BQ19" s="40">
        <f t="shared" si="118"/>
        <v>4480.4767259999999</v>
      </c>
      <c r="BR19" s="40">
        <f t="shared" si="118"/>
        <v>4480.4767259999999</v>
      </c>
      <c r="BS19" s="40">
        <f t="shared" si="118"/>
        <v>4480.4767259999999</v>
      </c>
      <c r="BT19" s="40">
        <f t="shared" ref="BT19:EE19" si="119">$C$16</f>
        <v>4480.4767259999999</v>
      </c>
      <c r="BU19" s="40">
        <f t="shared" si="119"/>
        <v>4480.4767259999999</v>
      </c>
      <c r="BV19" s="40">
        <f t="shared" si="119"/>
        <v>4480.4767259999999</v>
      </c>
      <c r="BW19" s="40">
        <f t="shared" si="119"/>
        <v>4480.4767259999999</v>
      </c>
      <c r="BX19" s="40">
        <f t="shared" si="119"/>
        <v>4480.4767259999999</v>
      </c>
      <c r="BY19" s="40">
        <f t="shared" si="119"/>
        <v>4480.4767259999999</v>
      </c>
      <c r="BZ19" s="40">
        <f t="shared" si="119"/>
        <v>4480.4767259999999</v>
      </c>
      <c r="CA19" s="40">
        <f t="shared" si="119"/>
        <v>4480.4767259999999</v>
      </c>
      <c r="CB19" s="40">
        <f t="shared" si="119"/>
        <v>4480.4767259999999</v>
      </c>
      <c r="CC19" s="40">
        <f t="shared" si="119"/>
        <v>4480.4767259999999</v>
      </c>
      <c r="CD19" s="40">
        <f t="shared" si="119"/>
        <v>4480.4767259999999</v>
      </c>
      <c r="CE19" s="40">
        <f t="shared" si="119"/>
        <v>4480.4767259999999</v>
      </c>
      <c r="CF19" s="40">
        <f t="shared" si="119"/>
        <v>4480.4767259999999</v>
      </c>
      <c r="CG19" s="40">
        <f t="shared" si="119"/>
        <v>4480.4767259999999</v>
      </c>
      <c r="CH19" s="40">
        <f t="shared" si="119"/>
        <v>4480.4767259999999</v>
      </c>
      <c r="CI19" s="40">
        <f t="shared" si="119"/>
        <v>4480.4767259999999</v>
      </c>
      <c r="CJ19" s="40">
        <f t="shared" si="119"/>
        <v>4480.4767259999999</v>
      </c>
      <c r="CK19" s="40">
        <f t="shared" si="119"/>
        <v>4480.4767259999999</v>
      </c>
      <c r="CL19" s="40">
        <f t="shared" si="119"/>
        <v>4480.4767259999999</v>
      </c>
      <c r="CM19" s="40">
        <f t="shared" si="119"/>
        <v>4480.4767259999999</v>
      </c>
      <c r="CN19" s="40">
        <f t="shared" si="119"/>
        <v>4480.4767259999999</v>
      </c>
      <c r="CO19" s="40">
        <f t="shared" si="119"/>
        <v>4480.4767259999999</v>
      </c>
      <c r="CP19" s="40">
        <f t="shared" si="119"/>
        <v>4480.4767259999999</v>
      </c>
      <c r="CQ19" s="40">
        <f t="shared" si="119"/>
        <v>4480.4767259999999</v>
      </c>
      <c r="CR19" s="40">
        <f t="shared" si="119"/>
        <v>4480.4767259999999</v>
      </c>
      <c r="CS19" s="40">
        <f t="shared" si="119"/>
        <v>4480.4767259999999</v>
      </c>
      <c r="CT19" s="40">
        <f t="shared" si="119"/>
        <v>4480.4767259999999</v>
      </c>
      <c r="CU19" s="40">
        <f t="shared" si="119"/>
        <v>4480.4767259999999</v>
      </c>
      <c r="CV19" s="40">
        <f t="shared" si="119"/>
        <v>4480.4767259999999</v>
      </c>
      <c r="CW19" s="40">
        <f t="shared" si="119"/>
        <v>4480.4767259999999</v>
      </c>
      <c r="CX19" s="40">
        <f t="shared" si="119"/>
        <v>4480.4767259999999</v>
      </c>
      <c r="CY19" s="40">
        <f t="shared" si="119"/>
        <v>4480.4767259999999</v>
      </c>
      <c r="CZ19" s="40">
        <f t="shared" si="119"/>
        <v>4480.4767259999999</v>
      </c>
      <c r="DA19" s="40">
        <f t="shared" si="119"/>
        <v>4480.4767259999999</v>
      </c>
      <c r="DB19" s="40">
        <f t="shared" si="119"/>
        <v>4480.4767259999999</v>
      </c>
      <c r="DC19" s="40">
        <f t="shared" si="119"/>
        <v>4480.4767259999999</v>
      </c>
      <c r="DD19" s="40">
        <f t="shared" si="119"/>
        <v>4480.4767259999999</v>
      </c>
      <c r="DE19" s="40">
        <f t="shared" si="119"/>
        <v>4480.4767259999999</v>
      </c>
      <c r="DF19" s="40">
        <f t="shared" si="119"/>
        <v>4480.4767259999999</v>
      </c>
      <c r="DG19" s="40">
        <f t="shared" si="119"/>
        <v>4480.4767259999999</v>
      </c>
      <c r="DH19" s="40">
        <f t="shared" si="119"/>
        <v>4480.4767259999999</v>
      </c>
      <c r="DI19" s="40">
        <f t="shared" si="119"/>
        <v>4480.4767259999999</v>
      </c>
      <c r="DJ19" s="40">
        <f t="shared" si="119"/>
        <v>4480.4767259999999</v>
      </c>
      <c r="DK19" s="40">
        <f t="shared" si="119"/>
        <v>4480.4767259999999</v>
      </c>
      <c r="DL19" s="40">
        <f t="shared" si="119"/>
        <v>4480.4767259999999</v>
      </c>
      <c r="DM19" s="40">
        <f t="shared" si="119"/>
        <v>4480.4767259999999</v>
      </c>
      <c r="DN19" s="40">
        <f t="shared" si="119"/>
        <v>4480.4767259999999</v>
      </c>
      <c r="DO19" s="40">
        <f t="shared" si="119"/>
        <v>4480.4767259999999</v>
      </c>
      <c r="DP19" s="40">
        <f t="shared" si="119"/>
        <v>4480.4767259999999</v>
      </c>
      <c r="DQ19" s="40">
        <f t="shared" si="119"/>
        <v>4480.4767259999999</v>
      </c>
      <c r="DR19" s="40">
        <f t="shared" si="119"/>
        <v>4480.4767259999999</v>
      </c>
      <c r="DS19" s="40">
        <f t="shared" si="119"/>
        <v>4480.4767259999999</v>
      </c>
      <c r="DT19" s="40">
        <f t="shared" si="119"/>
        <v>4480.4767259999999</v>
      </c>
      <c r="DU19" s="40">
        <f t="shared" si="119"/>
        <v>4480.4767259999999</v>
      </c>
      <c r="DV19" s="40">
        <f t="shared" si="119"/>
        <v>4480.4767259999999</v>
      </c>
      <c r="DW19" s="40">
        <f t="shared" si="119"/>
        <v>4480.4767259999999</v>
      </c>
      <c r="DX19" s="40">
        <f t="shared" si="119"/>
        <v>4480.4767259999999</v>
      </c>
      <c r="DY19" s="40">
        <f t="shared" si="119"/>
        <v>4480.4767259999999</v>
      </c>
      <c r="DZ19" s="40">
        <f t="shared" si="119"/>
        <v>4480.4767259999999</v>
      </c>
      <c r="EA19" s="40">
        <f t="shared" si="119"/>
        <v>4480.4767259999999</v>
      </c>
      <c r="EB19" s="40">
        <f t="shared" si="119"/>
        <v>4480.4767259999999</v>
      </c>
      <c r="EC19" s="40">
        <f t="shared" si="119"/>
        <v>4480.4767259999999</v>
      </c>
      <c r="ED19" s="40">
        <f t="shared" si="119"/>
        <v>4480.4767259999999</v>
      </c>
      <c r="EE19" s="40">
        <f t="shared" si="119"/>
        <v>4480.4767259999999</v>
      </c>
      <c r="EF19" s="40">
        <f t="shared" ref="EF19:GQ19" si="120">$C$16</f>
        <v>4480.4767259999999</v>
      </c>
      <c r="EG19" s="40">
        <f t="shared" si="120"/>
        <v>4480.4767259999999</v>
      </c>
      <c r="EH19" s="40">
        <f t="shared" si="120"/>
        <v>4480.4767259999999</v>
      </c>
      <c r="EI19" s="40">
        <f t="shared" si="120"/>
        <v>4480.4767259999999</v>
      </c>
      <c r="EJ19" s="40">
        <f t="shared" si="120"/>
        <v>4480.4767259999999</v>
      </c>
      <c r="EK19" s="40">
        <f t="shared" si="120"/>
        <v>4480.4767259999999</v>
      </c>
      <c r="EL19" s="40">
        <f t="shared" si="120"/>
        <v>4480.4767259999999</v>
      </c>
      <c r="EM19" s="40">
        <f t="shared" si="120"/>
        <v>4480.4767259999999</v>
      </c>
      <c r="EN19" s="40">
        <f t="shared" si="120"/>
        <v>4480.4767259999999</v>
      </c>
      <c r="EO19" s="40">
        <f t="shared" si="120"/>
        <v>4480.4767259999999</v>
      </c>
      <c r="EP19" s="40">
        <f t="shared" si="120"/>
        <v>4480.4767259999999</v>
      </c>
      <c r="EQ19" s="40">
        <f t="shared" si="120"/>
        <v>4480.4767259999999</v>
      </c>
      <c r="ER19" s="40">
        <f t="shared" si="120"/>
        <v>4480.4767259999999</v>
      </c>
      <c r="ES19" s="40">
        <f t="shared" si="120"/>
        <v>4480.4767259999999</v>
      </c>
      <c r="ET19" s="40">
        <f t="shared" si="120"/>
        <v>4480.4767259999999</v>
      </c>
      <c r="EU19" s="40">
        <f t="shared" si="120"/>
        <v>4480.4767259999999</v>
      </c>
      <c r="EV19" s="40">
        <f t="shared" si="120"/>
        <v>4480.4767259999999</v>
      </c>
      <c r="EW19" s="40">
        <f t="shared" si="120"/>
        <v>4480.4767259999999</v>
      </c>
      <c r="EX19" s="40">
        <f t="shared" si="120"/>
        <v>4480.4767259999999</v>
      </c>
      <c r="EY19" s="40">
        <f t="shared" si="120"/>
        <v>4480.4767259999999</v>
      </c>
      <c r="EZ19" s="40">
        <f t="shared" si="120"/>
        <v>4480.4767259999999</v>
      </c>
      <c r="FA19" s="40">
        <f t="shared" si="120"/>
        <v>4480.4767259999999</v>
      </c>
      <c r="FB19" s="40">
        <f t="shared" si="120"/>
        <v>4480.4767259999999</v>
      </c>
      <c r="FC19" s="40">
        <f t="shared" si="120"/>
        <v>4480.4767259999999</v>
      </c>
      <c r="FD19" s="40">
        <f t="shared" si="120"/>
        <v>4480.4767259999999</v>
      </c>
      <c r="FE19" s="40">
        <f t="shared" si="120"/>
        <v>4480.4767259999999</v>
      </c>
      <c r="FF19" s="40">
        <f t="shared" si="120"/>
        <v>4480.4767259999999</v>
      </c>
      <c r="FG19" s="40">
        <f t="shared" si="120"/>
        <v>4480.4767259999999</v>
      </c>
      <c r="FH19" s="40">
        <f t="shared" si="120"/>
        <v>4480.4767259999999</v>
      </c>
      <c r="FI19" s="40">
        <f t="shared" si="120"/>
        <v>4480.4767259999999</v>
      </c>
      <c r="FJ19" s="40">
        <f t="shared" si="120"/>
        <v>4480.4767259999999</v>
      </c>
      <c r="FK19" s="40">
        <f t="shared" si="120"/>
        <v>4480.4767259999999</v>
      </c>
      <c r="FL19" s="40">
        <f t="shared" si="120"/>
        <v>4480.4767259999999</v>
      </c>
      <c r="FM19" s="40">
        <f t="shared" si="120"/>
        <v>4480.4767259999999</v>
      </c>
      <c r="FN19" s="40">
        <f t="shared" si="120"/>
        <v>4480.4767259999999</v>
      </c>
      <c r="FO19" s="40">
        <f t="shared" si="120"/>
        <v>4480.4767259999999</v>
      </c>
      <c r="FP19" s="40">
        <f t="shared" si="120"/>
        <v>4480.4767259999999</v>
      </c>
      <c r="FQ19" s="40">
        <f t="shared" si="120"/>
        <v>4480.4767259999999</v>
      </c>
      <c r="FR19" s="40">
        <f t="shared" si="120"/>
        <v>4480.4767259999999</v>
      </c>
      <c r="FS19" s="40">
        <f t="shared" si="120"/>
        <v>4480.4767259999999</v>
      </c>
      <c r="FT19" s="40">
        <f t="shared" si="120"/>
        <v>4480.4767259999999</v>
      </c>
      <c r="FU19" s="40">
        <f t="shared" si="120"/>
        <v>4480.4767259999999</v>
      </c>
      <c r="FV19" s="40">
        <f t="shared" si="120"/>
        <v>4480.4767259999999</v>
      </c>
      <c r="FW19" s="40">
        <f t="shared" si="120"/>
        <v>4480.4767259999999</v>
      </c>
      <c r="FX19" s="40">
        <f t="shared" si="120"/>
        <v>4480.4767259999999</v>
      </c>
      <c r="FY19" s="40">
        <f t="shared" si="120"/>
        <v>4480.4767259999999</v>
      </c>
      <c r="FZ19" s="40">
        <f t="shared" si="120"/>
        <v>4480.4767259999999</v>
      </c>
      <c r="GA19" s="40">
        <f t="shared" si="120"/>
        <v>4480.4767259999999</v>
      </c>
      <c r="GB19" s="40">
        <f t="shared" si="120"/>
        <v>4480.4767259999999</v>
      </c>
      <c r="GC19" s="40">
        <f t="shared" si="120"/>
        <v>4480.4767259999999</v>
      </c>
      <c r="GD19" s="40">
        <f t="shared" si="120"/>
        <v>4480.4767259999999</v>
      </c>
      <c r="GE19" s="40">
        <f t="shared" si="120"/>
        <v>4480.4767259999999</v>
      </c>
      <c r="GF19" s="40">
        <f t="shared" si="120"/>
        <v>4480.4767259999999</v>
      </c>
      <c r="GG19" s="40">
        <f t="shared" si="120"/>
        <v>4480.4767259999999</v>
      </c>
      <c r="GH19" s="40">
        <f t="shared" si="120"/>
        <v>4480.4767259999999</v>
      </c>
      <c r="GI19" s="40">
        <f t="shared" si="120"/>
        <v>4480.4767259999999</v>
      </c>
      <c r="GJ19" s="40">
        <f t="shared" si="120"/>
        <v>4480.4767259999999</v>
      </c>
      <c r="GK19" s="40">
        <f t="shared" si="120"/>
        <v>4480.4767259999999</v>
      </c>
      <c r="GL19" s="40">
        <f t="shared" si="120"/>
        <v>4480.4767259999999</v>
      </c>
      <c r="GM19" s="40">
        <f t="shared" si="120"/>
        <v>4480.4767259999999</v>
      </c>
      <c r="GN19" s="40">
        <f t="shared" si="120"/>
        <v>4480.4767259999999</v>
      </c>
      <c r="GO19" s="40">
        <f t="shared" si="120"/>
        <v>4480.4767259999999</v>
      </c>
      <c r="GP19" s="40">
        <f t="shared" si="120"/>
        <v>4480.4767259999999</v>
      </c>
      <c r="GQ19" s="40">
        <f t="shared" si="120"/>
        <v>4480.4767259999999</v>
      </c>
      <c r="GR19" s="40">
        <f t="shared" ref="GR19:IN19" si="121">$C$16</f>
        <v>4480.4767259999999</v>
      </c>
      <c r="GS19" s="40">
        <f t="shared" si="121"/>
        <v>4480.4767259999999</v>
      </c>
      <c r="GT19" s="40">
        <f t="shared" si="121"/>
        <v>4480.4767259999999</v>
      </c>
      <c r="GU19" s="40">
        <f t="shared" si="121"/>
        <v>4480.4767259999999</v>
      </c>
      <c r="GV19" s="40">
        <f t="shared" si="121"/>
        <v>4480.4767259999999</v>
      </c>
      <c r="GW19" s="40">
        <f t="shared" si="121"/>
        <v>4480.4767259999999</v>
      </c>
      <c r="GX19" s="40">
        <f t="shared" si="121"/>
        <v>4480.4767259999999</v>
      </c>
      <c r="GY19" s="40">
        <f t="shared" si="121"/>
        <v>4480.4767259999999</v>
      </c>
      <c r="GZ19" s="40">
        <f t="shared" si="121"/>
        <v>4480.4767259999999</v>
      </c>
      <c r="HA19" s="40">
        <f t="shared" si="121"/>
        <v>4480.4767259999999</v>
      </c>
      <c r="HB19" s="40">
        <f t="shared" si="121"/>
        <v>4480.4767259999999</v>
      </c>
      <c r="HC19" s="40">
        <f t="shared" si="121"/>
        <v>4480.4767259999999</v>
      </c>
      <c r="HD19" s="40">
        <f t="shared" si="121"/>
        <v>4480.4767259999999</v>
      </c>
      <c r="HE19" s="40">
        <f t="shared" si="121"/>
        <v>4480.4767259999999</v>
      </c>
      <c r="HF19" s="40">
        <f t="shared" si="121"/>
        <v>4480.4767259999999</v>
      </c>
      <c r="HG19" s="40">
        <f t="shared" si="121"/>
        <v>4480.4767259999999</v>
      </c>
      <c r="HH19" s="40">
        <f t="shared" si="121"/>
        <v>4480.4767259999999</v>
      </c>
      <c r="HI19" s="40">
        <f t="shared" si="121"/>
        <v>4480.4767259999999</v>
      </c>
      <c r="HJ19" s="40">
        <f t="shared" si="121"/>
        <v>4480.4767259999999</v>
      </c>
      <c r="HK19" s="40">
        <f t="shared" si="121"/>
        <v>4480.4767259999999</v>
      </c>
      <c r="HL19" s="40">
        <f t="shared" si="121"/>
        <v>4480.4767259999999</v>
      </c>
      <c r="HM19" s="40">
        <f t="shared" si="121"/>
        <v>4480.4767259999999</v>
      </c>
      <c r="HN19" s="40">
        <f t="shared" si="121"/>
        <v>4480.4767259999999</v>
      </c>
      <c r="HO19" s="40">
        <f t="shared" si="121"/>
        <v>4480.4767259999999</v>
      </c>
      <c r="HP19" s="40">
        <f t="shared" si="121"/>
        <v>4480.4767259999999</v>
      </c>
      <c r="HQ19" s="40">
        <f t="shared" si="121"/>
        <v>4480.4767259999999</v>
      </c>
      <c r="HR19" s="40">
        <f t="shared" si="121"/>
        <v>4480.4767259999999</v>
      </c>
      <c r="HS19" s="40">
        <f t="shared" si="121"/>
        <v>4480.4767259999999</v>
      </c>
      <c r="HT19" s="40">
        <f t="shared" si="121"/>
        <v>4480.4767259999999</v>
      </c>
      <c r="HU19" s="40">
        <f t="shared" si="121"/>
        <v>4480.4767259999999</v>
      </c>
      <c r="HV19" s="40">
        <f t="shared" si="121"/>
        <v>4480.4767259999999</v>
      </c>
      <c r="HW19" s="40">
        <f t="shared" si="121"/>
        <v>4480.4767259999999</v>
      </c>
      <c r="HX19" s="40">
        <f t="shared" si="121"/>
        <v>4480.4767259999999</v>
      </c>
      <c r="HY19" s="40">
        <f t="shared" si="121"/>
        <v>4480.4767259999999</v>
      </c>
      <c r="HZ19" s="40">
        <f t="shared" si="121"/>
        <v>4480.4767259999999</v>
      </c>
      <c r="IA19" s="40">
        <f t="shared" si="121"/>
        <v>4480.4767259999999</v>
      </c>
      <c r="IB19" s="40">
        <f t="shared" si="121"/>
        <v>4480.4767259999999</v>
      </c>
      <c r="IC19" s="40">
        <f t="shared" si="121"/>
        <v>4480.4767259999999</v>
      </c>
      <c r="ID19" s="40">
        <f t="shared" si="121"/>
        <v>4480.4767259999999</v>
      </c>
      <c r="IE19" s="40">
        <f t="shared" si="121"/>
        <v>4480.4767259999999</v>
      </c>
      <c r="IF19" s="40">
        <f t="shared" si="121"/>
        <v>4480.4767259999999</v>
      </c>
      <c r="IG19" s="40">
        <f t="shared" si="121"/>
        <v>4480.4767259999999</v>
      </c>
      <c r="IH19" s="40">
        <f t="shared" si="121"/>
        <v>4480.4767259999999</v>
      </c>
      <c r="II19" s="40">
        <f t="shared" si="121"/>
        <v>4480.4767259999999</v>
      </c>
      <c r="IJ19" s="40">
        <f t="shared" si="121"/>
        <v>4480.4767259999999</v>
      </c>
      <c r="IK19" s="40">
        <f t="shared" si="121"/>
        <v>4480.4767259999999</v>
      </c>
      <c r="IL19" s="40">
        <f t="shared" si="121"/>
        <v>4480.4767259999999</v>
      </c>
      <c r="IM19" s="40">
        <f t="shared" si="121"/>
        <v>4480.4767259999999</v>
      </c>
      <c r="IN19" s="40">
        <f t="shared" si="121"/>
        <v>4480.4767259999999</v>
      </c>
    </row>
    <row r="20" spans="2:248" x14ac:dyDescent="0.3">
      <c r="B20" s="19" t="s">
        <v>490</v>
      </c>
      <c r="C20" s="42">
        <v>0.4</v>
      </c>
      <c r="F20" s="19" t="s">
        <v>552</v>
      </c>
      <c r="G20" s="40">
        <f>G9*$C$15</f>
        <v>14.239756180155773</v>
      </c>
      <c r="H20" s="40">
        <f t="shared" ref="H20:BS20" ca="1" si="122">H9*$C$15</f>
        <v>20.132069082289195</v>
      </c>
      <c r="I20" s="40">
        <f t="shared" ca="1" si="122"/>
        <v>25.41059939045039</v>
      </c>
      <c r="J20" s="40">
        <f t="shared" ca="1" si="122"/>
        <v>33.635286149678294</v>
      </c>
      <c r="K20" s="40">
        <f t="shared" ca="1" si="122"/>
        <v>39.527599051811713</v>
      </c>
      <c r="L20" s="40">
        <f t="shared" ca="1" si="122"/>
        <v>47.138503217067388</v>
      </c>
      <c r="M20" s="40">
        <f t="shared" ca="1" si="122"/>
        <v>56.345242126650859</v>
      </c>
      <c r="N20" s="40">
        <f t="shared" ca="1" si="122"/>
        <v>72.180833051134442</v>
      </c>
      <c r="O20" s="40">
        <f t="shared" ca="1" si="122"/>
        <v>98.082458516762614</v>
      </c>
      <c r="P20" s="40">
        <f t="shared" ca="1" si="122"/>
        <v>138.83762275651878</v>
      </c>
      <c r="Q20" s="40">
        <f t="shared" ca="1" si="122"/>
        <v>163.02065695902471</v>
      </c>
      <c r="R20" s="40">
        <f t="shared" ca="1" si="122"/>
        <v>156.02353538774128</v>
      </c>
      <c r="S20" s="40">
        <f t="shared" ca="1" si="122"/>
        <v>206.84473416864205</v>
      </c>
      <c r="T20" s="40">
        <f t="shared" ca="1" si="122"/>
        <v>281.84896715204877</v>
      </c>
      <c r="U20" s="40">
        <f t="shared" ca="1" si="122"/>
        <v>275.58838469353202</v>
      </c>
      <c r="V20" s="40">
        <f t="shared" ca="1" si="122"/>
        <v>426.45614629190652</v>
      </c>
      <c r="W20" s="40">
        <f t="shared" ca="1" si="122"/>
        <v>539.51490010159159</v>
      </c>
      <c r="X20" s="40">
        <f t="shared" ca="1" si="122"/>
        <v>606.0489332881815</v>
      </c>
      <c r="Y20" s="40">
        <f t="shared" ca="1" si="122"/>
        <v>697.37978327124961</v>
      </c>
      <c r="Z20" s="40">
        <f t="shared" ca="1" si="122"/>
        <v>827.25618015577379</v>
      </c>
      <c r="AA20" s="40">
        <f t="shared" ca="1" si="122"/>
        <v>947.55756857433119</v>
      </c>
      <c r="AB20" s="40">
        <f t="shared" ca="1" si="122"/>
        <v>1192.579580088046</v>
      </c>
      <c r="AC20" s="40">
        <f t="shared" ca="1" si="122"/>
        <v>1397.6040612651207</v>
      </c>
      <c r="AD20" s="40">
        <f t="shared" ca="1" si="122"/>
        <v>1637.8756979224404</v>
      </c>
      <c r="AE20" s="40">
        <f t="shared" ca="1" si="122"/>
        <v>1919.4540687128372</v>
      </c>
      <c r="AF20" s="40">
        <f t="shared" ca="1" si="122"/>
        <v>2249.4404957419001</v>
      </c>
      <c r="AG20" s="40">
        <f t="shared" ca="1" si="122"/>
        <v>2636.1571377827909</v>
      </c>
      <c r="AH20" s="40">
        <f t="shared" ca="1" si="122"/>
        <v>3089.3568726258582</v>
      </c>
      <c r="AI20" s="40">
        <f t="shared" ca="1" si="122"/>
        <v>3620.4692617329938</v>
      </c>
      <c r="AJ20" s="40">
        <f t="shared" ca="1" si="122"/>
        <v>4242.888800351584</v>
      </c>
      <c r="AK20" s="40">
        <f t="shared" ca="1" si="122"/>
        <v>4972.3127226695242</v>
      </c>
      <c r="AL20" s="40">
        <f t="shared" ca="1" si="122"/>
        <v>5827.136881356043</v>
      </c>
      <c r="AM20" s="40">
        <f t="shared" ca="1" si="122"/>
        <v>6828.9196854516968</v>
      </c>
      <c r="AN20" s="40">
        <f t="shared" ca="1" si="122"/>
        <v>8002.925796982031</v>
      </c>
      <c r="AO20" s="40">
        <f t="shared" ca="1" si="122"/>
        <v>9378.7632981605511</v>
      </c>
      <c r="AP20" s="40">
        <f t="shared" ca="1" si="122"/>
        <v>10991.130398346852</v>
      </c>
      <c r="AQ20" s="40">
        <f t="shared" ca="1" si="122"/>
        <v>12880.690512485538</v>
      </c>
      <c r="AR20" s="40">
        <f t="shared" ca="1" si="122"/>
        <v>15095.097780241915</v>
      </c>
      <c r="AS20" s="40">
        <f t="shared" ca="1" si="122"/>
        <v>17690.198889119547</v>
      </c>
      <c r="AT20" s="40">
        <f t="shared" ca="1" si="122"/>
        <v>20731.441511178557</v>
      </c>
      <c r="AU20" s="40">
        <f t="shared" ca="1" si="122"/>
        <v>24295.524873706403</v>
      </c>
      <c r="AV20" s="40">
        <f t="shared" ca="1" si="122"/>
        <v>28472.334090738794</v>
      </c>
      <c r="AW20" s="40">
        <f t="shared" ca="1" si="122"/>
        <v>33367.207038691733</v>
      </c>
      <c r="AX20" s="40">
        <f t="shared" ca="1" si="122"/>
        <v>39103.590946028751</v>
      </c>
      <c r="AY20" s="40">
        <f t="shared" ca="1" si="122"/>
        <v>45826.155695358277</v>
      </c>
      <c r="AZ20" s="40">
        <f t="shared" ca="1" si="122"/>
        <v>53704.442354506857</v>
      </c>
      <c r="BA20" s="40">
        <f t="shared" ca="1" si="122"/>
        <v>62937.138951428278</v>
      </c>
      <c r="BB20" s="40">
        <f t="shared" ca="1" si="122"/>
        <v>73757.091326709924</v>
      </c>
      <c r="BC20" s="40">
        <f t="shared" ca="1" si="122"/>
        <v>86437.175435874698</v>
      </c>
      <c r="BD20" s="40">
        <f t="shared" ca="1" si="122"/>
        <v>101297.17919918215</v>
      </c>
      <c r="BE20" s="40">
        <f t="shared" ca="1" si="122"/>
        <v>118711.86745711809</v>
      </c>
      <c r="BF20" s="40">
        <f t="shared" ca="1" si="122"/>
        <v>139120.43342733235</v>
      </c>
      <c r="BG20" s="40">
        <f t="shared" ca="1" si="122"/>
        <v>163037.57502593554</v>
      </c>
      <c r="BH20" s="40">
        <f t="shared" ca="1" si="122"/>
        <v>191066.4753946581</v>
      </c>
      <c r="BI20" s="40">
        <f t="shared" ca="1" si="122"/>
        <v>223914.01499887469</v>
      </c>
      <c r="BJ20" s="40">
        <f t="shared" ca="1" si="122"/>
        <v>262408.59894104709</v>
      </c>
      <c r="BK20" s="40">
        <f t="shared" ca="1" si="122"/>
        <v>307521.04908908607</v>
      </c>
      <c r="BL20" s="40">
        <f t="shared" ca="1" si="122"/>
        <v>360389.08791284717</v>
      </c>
      <c r="BM20" s="40">
        <f t="shared" ca="1" si="122"/>
        <v>422346.03150377766</v>
      </c>
      <c r="BN20" s="40">
        <f t="shared" ca="1" si="122"/>
        <v>494954.41540706868</v>
      </c>
      <c r="BO20" s="40">
        <f t="shared" ca="1" si="122"/>
        <v>580045.40129972051</v>
      </c>
      <c r="BP20" s="40">
        <f t="shared" ca="1" si="122"/>
        <v>679764.95833912864</v>
      </c>
      <c r="BQ20" s="40">
        <f t="shared" ca="1" si="122"/>
        <v>796627.98386195884</v>
      </c>
      <c r="BR20" s="40">
        <f t="shared" ca="1" si="122"/>
        <v>933581.72834111471</v>
      </c>
      <c r="BS20" s="40">
        <f t="shared" ca="1" si="122"/>
        <v>1094080.1241591971</v>
      </c>
      <c r="BT20" s="40">
        <f t="shared" ref="BT20:EE20" ca="1" si="123">BT9*$C$15</f>
        <v>1282170.8927478462</v>
      </c>
      <c r="BU20" s="40">
        <f t="shared" ca="1" si="123"/>
        <v>1502597.6269089042</v>
      </c>
      <c r="BV20" s="40">
        <f t="shared" ca="1" si="123"/>
        <v>1760919.4228029421</v>
      </c>
      <c r="BW20" s="40">
        <f t="shared" ca="1" si="123"/>
        <v>2063651.0786880383</v>
      </c>
      <c r="BX20" s="40">
        <f t="shared" ca="1" si="123"/>
        <v>2418427.3961789762</v>
      </c>
      <c r="BY20" s="40">
        <f t="shared" ca="1" si="123"/>
        <v>2834195.7276553637</v>
      </c>
      <c r="BZ20" s="40">
        <f t="shared" ca="1" si="123"/>
        <v>3321441.6258065989</v>
      </c>
      <c r="CA20" s="40">
        <f t="shared" ca="1" si="123"/>
        <v>3333380.1540805963</v>
      </c>
      <c r="CB20" s="40">
        <f t="shared" ca="1" si="123"/>
        <v>3333380.1540805963</v>
      </c>
      <c r="CC20" s="40">
        <f t="shared" ca="1" si="123"/>
        <v>3333380.1540805963</v>
      </c>
      <c r="CD20" s="40">
        <f t="shared" ca="1" si="123"/>
        <v>3333380.1540805963</v>
      </c>
      <c r="CE20" s="40">
        <f t="shared" ca="1" si="123"/>
        <v>3333380.1540805963</v>
      </c>
      <c r="CF20" s="40">
        <f t="shared" ca="1" si="123"/>
        <v>3333380.1540805963</v>
      </c>
      <c r="CG20" s="40">
        <f t="shared" ca="1" si="123"/>
        <v>3333380.1540805963</v>
      </c>
      <c r="CH20" s="40">
        <f t="shared" ca="1" si="123"/>
        <v>3333380.1540805963</v>
      </c>
      <c r="CI20" s="40">
        <f t="shared" ca="1" si="123"/>
        <v>3333380.1540805963</v>
      </c>
      <c r="CJ20" s="40">
        <f t="shared" ca="1" si="123"/>
        <v>3333380.1540805963</v>
      </c>
      <c r="CK20" s="40">
        <f t="shared" ca="1" si="123"/>
        <v>3333380.1540805963</v>
      </c>
      <c r="CL20" s="40">
        <f t="shared" ca="1" si="123"/>
        <v>3333380.1540805963</v>
      </c>
      <c r="CM20" s="40">
        <f t="shared" ca="1" si="123"/>
        <v>3333380.1540805963</v>
      </c>
      <c r="CN20" s="40">
        <f t="shared" ca="1" si="123"/>
        <v>3333380.1540805963</v>
      </c>
      <c r="CO20" s="40">
        <f t="shared" ca="1" si="123"/>
        <v>3333380.1540805963</v>
      </c>
      <c r="CP20" s="40">
        <f t="shared" ca="1" si="123"/>
        <v>3333380.1540805963</v>
      </c>
      <c r="CQ20" s="40">
        <f t="shared" ca="1" si="123"/>
        <v>3333380.1540805963</v>
      </c>
      <c r="CR20" s="40">
        <f t="shared" ca="1" si="123"/>
        <v>3333380.1540805963</v>
      </c>
      <c r="CS20" s="40">
        <f t="shared" ca="1" si="123"/>
        <v>3333380.1540805963</v>
      </c>
      <c r="CT20" s="40">
        <f t="shared" ca="1" si="123"/>
        <v>3333380.1540805963</v>
      </c>
      <c r="CU20" s="40">
        <f t="shared" ca="1" si="123"/>
        <v>3333380.1540805963</v>
      </c>
      <c r="CV20" s="40">
        <f t="shared" ca="1" si="123"/>
        <v>3333380.1540805963</v>
      </c>
      <c r="CW20" s="40">
        <f t="shared" ca="1" si="123"/>
        <v>3333380.1540805963</v>
      </c>
      <c r="CX20" s="40">
        <f t="shared" ca="1" si="123"/>
        <v>3333380.1540805963</v>
      </c>
      <c r="CY20" s="40">
        <f t="shared" ca="1" si="123"/>
        <v>3333380.1540805963</v>
      </c>
      <c r="CZ20" s="40">
        <f t="shared" ca="1" si="123"/>
        <v>3333380.1540805963</v>
      </c>
      <c r="DA20" s="40">
        <f t="shared" ca="1" si="123"/>
        <v>3333380.1540805963</v>
      </c>
      <c r="DB20" s="40">
        <f t="shared" ca="1" si="123"/>
        <v>3333380.1540805963</v>
      </c>
      <c r="DC20" s="40">
        <f t="shared" ca="1" si="123"/>
        <v>3333380.1540805963</v>
      </c>
      <c r="DD20" s="40">
        <f t="shared" ca="1" si="123"/>
        <v>3333380.1540805963</v>
      </c>
      <c r="DE20" s="40">
        <f t="shared" ca="1" si="123"/>
        <v>3333380.1540805963</v>
      </c>
      <c r="DF20" s="40">
        <f t="shared" ca="1" si="123"/>
        <v>3333380.1540805963</v>
      </c>
      <c r="DG20" s="40">
        <f t="shared" ca="1" si="123"/>
        <v>3333380.1540805963</v>
      </c>
      <c r="DH20" s="40">
        <f t="shared" ca="1" si="123"/>
        <v>3333380.1540805963</v>
      </c>
      <c r="DI20" s="40">
        <f t="shared" ca="1" si="123"/>
        <v>3333380.1540805963</v>
      </c>
      <c r="DJ20" s="40">
        <f t="shared" ca="1" si="123"/>
        <v>3333380.1540805963</v>
      </c>
      <c r="DK20" s="40">
        <f t="shared" ca="1" si="123"/>
        <v>3333380.1540805963</v>
      </c>
      <c r="DL20" s="40">
        <f t="shared" ca="1" si="123"/>
        <v>3333380.1540805963</v>
      </c>
      <c r="DM20" s="40">
        <f t="shared" ca="1" si="123"/>
        <v>3333380.1540805963</v>
      </c>
      <c r="DN20" s="40">
        <f t="shared" ca="1" si="123"/>
        <v>3333380.1540805963</v>
      </c>
      <c r="DO20" s="40">
        <f t="shared" ca="1" si="123"/>
        <v>3333380.1540805963</v>
      </c>
      <c r="DP20" s="40">
        <f t="shared" ca="1" si="123"/>
        <v>3333380.1540805963</v>
      </c>
      <c r="DQ20" s="40">
        <f t="shared" ca="1" si="123"/>
        <v>3333380.1540805963</v>
      </c>
      <c r="DR20" s="40">
        <f t="shared" ca="1" si="123"/>
        <v>3333380.1540805963</v>
      </c>
      <c r="DS20" s="40">
        <f t="shared" ca="1" si="123"/>
        <v>3333380.1540805963</v>
      </c>
      <c r="DT20" s="40">
        <f t="shared" ca="1" si="123"/>
        <v>3333380.1540805963</v>
      </c>
      <c r="DU20" s="40">
        <f t="shared" ca="1" si="123"/>
        <v>3333380.1540805963</v>
      </c>
      <c r="DV20" s="40">
        <f t="shared" ca="1" si="123"/>
        <v>3333380.1540805963</v>
      </c>
      <c r="DW20" s="40">
        <f t="shared" ca="1" si="123"/>
        <v>3333380.1540805963</v>
      </c>
      <c r="DX20" s="40">
        <f t="shared" ca="1" si="123"/>
        <v>3333380.1540805963</v>
      </c>
      <c r="DY20" s="40">
        <f t="shared" ca="1" si="123"/>
        <v>3333380.1540805963</v>
      </c>
      <c r="DZ20" s="40">
        <f t="shared" ca="1" si="123"/>
        <v>3333380.1540805963</v>
      </c>
      <c r="EA20" s="40">
        <f t="shared" ca="1" si="123"/>
        <v>3333380.1540805963</v>
      </c>
      <c r="EB20" s="40">
        <f t="shared" ca="1" si="123"/>
        <v>3333380.1540805963</v>
      </c>
      <c r="EC20" s="40">
        <f t="shared" ca="1" si="123"/>
        <v>3333380.1540805963</v>
      </c>
      <c r="ED20" s="40">
        <f t="shared" ca="1" si="123"/>
        <v>3333380.1540805963</v>
      </c>
      <c r="EE20" s="40">
        <f t="shared" ca="1" si="123"/>
        <v>3333380.1540805963</v>
      </c>
      <c r="EF20" s="40">
        <f t="shared" ref="EF20:GQ20" ca="1" si="124">EF9*$C$15</f>
        <v>3333380.1540805963</v>
      </c>
      <c r="EG20" s="40">
        <f t="shared" ca="1" si="124"/>
        <v>3333380.1540805963</v>
      </c>
      <c r="EH20" s="40">
        <f t="shared" ca="1" si="124"/>
        <v>3333380.1540805963</v>
      </c>
      <c r="EI20" s="40">
        <f t="shared" ca="1" si="124"/>
        <v>3333380.1540805963</v>
      </c>
      <c r="EJ20" s="40">
        <f t="shared" ca="1" si="124"/>
        <v>3333380.1540805963</v>
      </c>
      <c r="EK20" s="40">
        <f t="shared" ca="1" si="124"/>
        <v>3333380.1540805963</v>
      </c>
      <c r="EL20" s="40">
        <f t="shared" ca="1" si="124"/>
        <v>3333380.1540805963</v>
      </c>
      <c r="EM20" s="40">
        <f t="shared" ca="1" si="124"/>
        <v>3333380.1540805963</v>
      </c>
      <c r="EN20" s="40">
        <f t="shared" ca="1" si="124"/>
        <v>3333380.1540805963</v>
      </c>
      <c r="EO20" s="40">
        <f t="shared" ca="1" si="124"/>
        <v>3333380.1540805963</v>
      </c>
      <c r="EP20" s="40">
        <f t="shared" ca="1" si="124"/>
        <v>3333380.1540805963</v>
      </c>
      <c r="EQ20" s="40">
        <f t="shared" ca="1" si="124"/>
        <v>3333380.1540805963</v>
      </c>
      <c r="ER20" s="40">
        <f t="shared" ca="1" si="124"/>
        <v>3333380.1540805963</v>
      </c>
      <c r="ES20" s="40">
        <f t="shared" ca="1" si="124"/>
        <v>3333380.1540805963</v>
      </c>
      <c r="ET20" s="40">
        <f t="shared" ca="1" si="124"/>
        <v>3333380.1540805963</v>
      </c>
      <c r="EU20" s="40">
        <f t="shared" ca="1" si="124"/>
        <v>3333380.1540805963</v>
      </c>
      <c r="EV20" s="40">
        <f t="shared" ca="1" si="124"/>
        <v>3333380.1540805963</v>
      </c>
      <c r="EW20" s="40">
        <f t="shared" ca="1" si="124"/>
        <v>3333380.1540805963</v>
      </c>
      <c r="EX20" s="40">
        <f t="shared" ca="1" si="124"/>
        <v>3333380.1540805963</v>
      </c>
      <c r="EY20" s="40">
        <f t="shared" ca="1" si="124"/>
        <v>3333380.1540805963</v>
      </c>
      <c r="EZ20" s="40">
        <f t="shared" ca="1" si="124"/>
        <v>3333380.1540805963</v>
      </c>
      <c r="FA20" s="40">
        <f t="shared" ca="1" si="124"/>
        <v>3333380.1540805963</v>
      </c>
      <c r="FB20" s="40">
        <f t="shared" ca="1" si="124"/>
        <v>3333380.1540805963</v>
      </c>
      <c r="FC20" s="40">
        <f t="shared" ca="1" si="124"/>
        <v>3333380.1540805963</v>
      </c>
      <c r="FD20" s="40">
        <f t="shared" ca="1" si="124"/>
        <v>3333380.1540805963</v>
      </c>
      <c r="FE20" s="40">
        <f t="shared" ca="1" si="124"/>
        <v>3333380.1540805963</v>
      </c>
      <c r="FF20" s="40">
        <f t="shared" ca="1" si="124"/>
        <v>3333380.1540805963</v>
      </c>
      <c r="FG20" s="40">
        <f t="shared" ca="1" si="124"/>
        <v>3333380.1540805963</v>
      </c>
      <c r="FH20" s="40">
        <f t="shared" ca="1" si="124"/>
        <v>3333380.1540805963</v>
      </c>
      <c r="FI20" s="40">
        <f t="shared" ca="1" si="124"/>
        <v>3333380.1540805963</v>
      </c>
      <c r="FJ20" s="40">
        <f t="shared" ca="1" si="124"/>
        <v>3333380.1540805963</v>
      </c>
      <c r="FK20" s="40">
        <f t="shared" ca="1" si="124"/>
        <v>3333380.1540805963</v>
      </c>
      <c r="FL20" s="40">
        <f t="shared" ca="1" si="124"/>
        <v>3333380.1540805963</v>
      </c>
      <c r="FM20" s="40">
        <f t="shared" ca="1" si="124"/>
        <v>3333380.1540805963</v>
      </c>
      <c r="FN20" s="40">
        <f t="shared" ca="1" si="124"/>
        <v>3333380.1540805963</v>
      </c>
      <c r="FO20" s="40">
        <f t="shared" ca="1" si="124"/>
        <v>3333380.1540805963</v>
      </c>
      <c r="FP20" s="40">
        <f t="shared" ca="1" si="124"/>
        <v>3333380.1540805963</v>
      </c>
      <c r="FQ20" s="40">
        <f t="shared" ca="1" si="124"/>
        <v>3333380.1540805963</v>
      </c>
      <c r="FR20" s="40">
        <f t="shared" ca="1" si="124"/>
        <v>3333380.1540805963</v>
      </c>
      <c r="FS20" s="40">
        <f t="shared" ca="1" si="124"/>
        <v>3333380.1540805963</v>
      </c>
      <c r="FT20" s="40">
        <f t="shared" ca="1" si="124"/>
        <v>3333380.1540805963</v>
      </c>
      <c r="FU20" s="40">
        <f t="shared" ca="1" si="124"/>
        <v>3333380.1540805963</v>
      </c>
      <c r="FV20" s="40">
        <f t="shared" ca="1" si="124"/>
        <v>3333380.1540805963</v>
      </c>
      <c r="FW20" s="40">
        <f t="shared" ca="1" si="124"/>
        <v>3333380.1540805963</v>
      </c>
      <c r="FX20" s="40">
        <f t="shared" ca="1" si="124"/>
        <v>3333380.1540805963</v>
      </c>
      <c r="FY20" s="40">
        <f t="shared" ca="1" si="124"/>
        <v>3333380.1540805963</v>
      </c>
      <c r="FZ20" s="40">
        <f t="shared" ca="1" si="124"/>
        <v>3333380.1540805963</v>
      </c>
      <c r="GA20" s="40">
        <f t="shared" ca="1" si="124"/>
        <v>3333380.1540805963</v>
      </c>
      <c r="GB20" s="40">
        <f t="shared" ca="1" si="124"/>
        <v>3333380.1540805963</v>
      </c>
      <c r="GC20" s="40">
        <f t="shared" ca="1" si="124"/>
        <v>3333380.1540805963</v>
      </c>
      <c r="GD20" s="40">
        <f t="shared" ca="1" si="124"/>
        <v>3333380.1540805963</v>
      </c>
      <c r="GE20" s="40">
        <f t="shared" ca="1" si="124"/>
        <v>3333380.1540805963</v>
      </c>
      <c r="GF20" s="40">
        <f t="shared" ca="1" si="124"/>
        <v>3333380.1540805963</v>
      </c>
      <c r="GG20" s="40">
        <f t="shared" ca="1" si="124"/>
        <v>3333380.1540805963</v>
      </c>
      <c r="GH20" s="40">
        <f t="shared" ca="1" si="124"/>
        <v>3333380.1540805963</v>
      </c>
      <c r="GI20" s="40">
        <f t="shared" ca="1" si="124"/>
        <v>3333380.1540805963</v>
      </c>
      <c r="GJ20" s="40">
        <f t="shared" ca="1" si="124"/>
        <v>3333380.1540805963</v>
      </c>
      <c r="GK20" s="40">
        <f t="shared" ca="1" si="124"/>
        <v>3333380.1540805963</v>
      </c>
      <c r="GL20" s="40">
        <f t="shared" ca="1" si="124"/>
        <v>3333380.1540805963</v>
      </c>
      <c r="GM20" s="40">
        <f t="shared" ca="1" si="124"/>
        <v>3333380.1540805963</v>
      </c>
      <c r="GN20" s="40">
        <f t="shared" ca="1" si="124"/>
        <v>3333380.1540805963</v>
      </c>
      <c r="GO20" s="40">
        <f t="shared" ca="1" si="124"/>
        <v>3333380.1540805963</v>
      </c>
      <c r="GP20" s="40">
        <f t="shared" ca="1" si="124"/>
        <v>3333380.1540805963</v>
      </c>
      <c r="GQ20" s="40">
        <f t="shared" ca="1" si="124"/>
        <v>3333380.1540805963</v>
      </c>
      <c r="GR20" s="40">
        <f t="shared" ref="GR20:IN20" ca="1" si="125">GR9*$C$15</f>
        <v>3333380.1540805963</v>
      </c>
      <c r="GS20" s="40">
        <f t="shared" ca="1" si="125"/>
        <v>3333380.1540805963</v>
      </c>
      <c r="GT20" s="40">
        <f t="shared" ca="1" si="125"/>
        <v>3333380.1540805963</v>
      </c>
      <c r="GU20" s="40">
        <f t="shared" ca="1" si="125"/>
        <v>3333380.1540805963</v>
      </c>
      <c r="GV20" s="40">
        <f t="shared" ca="1" si="125"/>
        <v>3333380.1540805963</v>
      </c>
      <c r="GW20" s="40">
        <f t="shared" ca="1" si="125"/>
        <v>3333380.1540805963</v>
      </c>
      <c r="GX20" s="40">
        <f t="shared" ca="1" si="125"/>
        <v>3333380.1540805963</v>
      </c>
      <c r="GY20" s="40">
        <f t="shared" ca="1" si="125"/>
        <v>3333380.1540805963</v>
      </c>
      <c r="GZ20" s="40">
        <f t="shared" ca="1" si="125"/>
        <v>3333380.1540805963</v>
      </c>
      <c r="HA20" s="40">
        <f t="shared" ca="1" si="125"/>
        <v>3333380.1540805963</v>
      </c>
      <c r="HB20" s="40">
        <f t="shared" ca="1" si="125"/>
        <v>3333380.1540805963</v>
      </c>
      <c r="HC20" s="40">
        <f t="shared" ca="1" si="125"/>
        <v>3333380.1540805963</v>
      </c>
      <c r="HD20" s="40">
        <f t="shared" ca="1" si="125"/>
        <v>3333380.1540805963</v>
      </c>
      <c r="HE20" s="40">
        <f t="shared" ca="1" si="125"/>
        <v>3333380.1540805963</v>
      </c>
      <c r="HF20" s="40">
        <f t="shared" ca="1" si="125"/>
        <v>3333380.1540805963</v>
      </c>
      <c r="HG20" s="40">
        <f t="shared" ca="1" si="125"/>
        <v>3333380.1540805963</v>
      </c>
      <c r="HH20" s="40">
        <f t="shared" ca="1" si="125"/>
        <v>3333380.1540805963</v>
      </c>
      <c r="HI20" s="40">
        <f t="shared" ca="1" si="125"/>
        <v>3333380.1540805963</v>
      </c>
      <c r="HJ20" s="40">
        <f t="shared" ca="1" si="125"/>
        <v>3333380.1540805963</v>
      </c>
      <c r="HK20" s="40">
        <f t="shared" ca="1" si="125"/>
        <v>3333380.1540805963</v>
      </c>
      <c r="HL20" s="40">
        <f t="shared" ca="1" si="125"/>
        <v>3333380.1540805963</v>
      </c>
      <c r="HM20" s="40">
        <f t="shared" ca="1" si="125"/>
        <v>3333380.1540805963</v>
      </c>
      <c r="HN20" s="40">
        <f t="shared" ca="1" si="125"/>
        <v>3333380.1540805963</v>
      </c>
      <c r="HO20" s="40">
        <f t="shared" ca="1" si="125"/>
        <v>3333380.1540805963</v>
      </c>
      <c r="HP20" s="40">
        <f t="shared" ca="1" si="125"/>
        <v>3333380.1540805963</v>
      </c>
      <c r="HQ20" s="40">
        <f t="shared" ca="1" si="125"/>
        <v>3333380.1540805963</v>
      </c>
      <c r="HR20" s="40">
        <f t="shared" ca="1" si="125"/>
        <v>3333380.1540805963</v>
      </c>
      <c r="HS20" s="40">
        <f t="shared" ca="1" si="125"/>
        <v>3333380.1540805963</v>
      </c>
      <c r="HT20" s="40">
        <f t="shared" ca="1" si="125"/>
        <v>3333380.1540805963</v>
      </c>
      <c r="HU20" s="40">
        <f t="shared" ca="1" si="125"/>
        <v>3333380.1540805963</v>
      </c>
      <c r="HV20" s="40">
        <f t="shared" ca="1" si="125"/>
        <v>3333380.1540805963</v>
      </c>
      <c r="HW20" s="40">
        <f t="shared" ca="1" si="125"/>
        <v>3333380.1540805963</v>
      </c>
      <c r="HX20" s="40">
        <f t="shared" ca="1" si="125"/>
        <v>3333380.1540805963</v>
      </c>
      <c r="HY20" s="40">
        <f t="shared" ca="1" si="125"/>
        <v>3333380.1540805963</v>
      </c>
      <c r="HZ20" s="40">
        <f t="shared" ca="1" si="125"/>
        <v>3333380.1540805963</v>
      </c>
      <c r="IA20" s="40">
        <f t="shared" ca="1" si="125"/>
        <v>3333380.1540805963</v>
      </c>
      <c r="IB20" s="40">
        <f t="shared" ca="1" si="125"/>
        <v>3333380.1540805963</v>
      </c>
      <c r="IC20" s="40">
        <f t="shared" ca="1" si="125"/>
        <v>3333380.1540805963</v>
      </c>
      <c r="ID20" s="40">
        <f t="shared" ca="1" si="125"/>
        <v>3333380.1540805963</v>
      </c>
      <c r="IE20" s="40">
        <f t="shared" ca="1" si="125"/>
        <v>3333380.1540805963</v>
      </c>
      <c r="IF20" s="40">
        <f t="shared" ca="1" si="125"/>
        <v>3333380.1540805963</v>
      </c>
      <c r="IG20" s="40">
        <f t="shared" ca="1" si="125"/>
        <v>3333380.1540805963</v>
      </c>
      <c r="IH20" s="40">
        <f t="shared" ca="1" si="125"/>
        <v>3333380.1540805963</v>
      </c>
      <c r="II20" s="40">
        <f t="shared" ca="1" si="125"/>
        <v>3333380.1540805963</v>
      </c>
      <c r="IJ20" s="40">
        <f t="shared" ca="1" si="125"/>
        <v>3333380.1540805963</v>
      </c>
      <c r="IK20" s="40">
        <f t="shared" ca="1" si="125"/>
        <v>3333380.1540805963</v>
      </c>
      <c r="IL20" s="40">
        <f t="shared" ca="1" si="125"/>
        <v>3333380.1540805963</v>
      </c>
      <c r="IM20" s="40">
        <f t="shared" ca="1" si="125"/>
        <v>3333380.1540805963</v>
      </c>
      <c r="IN20" s="40">
        <f t="shared" ca="1" si="125"/>
        <v>3333380.1540805963</v>
      </c>
    </row>
    <row r="21" spans="2:248" x14ac:dyDescent="0.3">
      <c r="B21" s="19" t="s">
        <v>491</v>
      </c>
      <c r="C21" s="40">
        <f>C20*C19</f>
        <v>27154404.400000002</v>
      </c>
      <c r="F21" s="19" t="s">
        <v>493</v>
      </c>
      <c r="G21" s="40">
        <f>G10*$C$15</f>
        <v>14.239756180155773</v>
      </c>
      <c r="H21" s="40">
        <f t="shared" ref="H21:BS22" ca="1" si="126">H10*$C$15</f>
        <v>20.132069082289195</v>
      </c>
      <c r="I21" s="40">
        <f t="shared" ca="1" si="126"/>
        <v>25.41059939045039</v>
      </c>
      <c r="J21" s="40">
        <f t="shared" ca="1" si="126"/>
        <v>33.635286149678294</v>
      </c>
      <c r="K21" s="40">
        <f t="shared" ca="1" si="126"/>
        <v>39.527599051811713</v>
      </c>
      <c r="L21" s="40">
        <f t="shared" ca="1" si="126"/>
        <v>47.138503217067388</v>
      </c>
      <c r="M21" s="40">
        <f t="shared" ca="1" si="126"/>
        <v>56.345242126650859</v>
      </c>
      <c r="N21" s="40">
        <f t="shared" ca="1" si="126"/>
        <v>72.180833051134442</v>
      </c>
      <c r="O21" s="40">
        <f t="shared" ca="1" si="126"/>
        <v>98.082458516762614</v>
      </c>
      <c r="P21" s="40">
        <f t="shared" ca="1" si="126"/>
        <v>138.83762275651878</v>
      </c>
      <c r="Q21" s="40">
        <f t="shared" ca="1" si="126"/>
        <v>163.02065695902471</v>
      </c>
      <c r="R21" s="40">
        <f t="shared" ca="1" si="126"/>
        <v>156.02353538774128</v>
      </c>
      <c r="S21" s="40">
        <f t="shared" ca="1" si="126"/>
        <v>206.84473416864205</v>
      </c>
      <c r="T21" s="40">
        <f t="shared" ca="1" si="126"/>
        <v>281.84896715204877</v>
      </c>
      <c r="U21" s="40">
        <f t="shared" ca="1" si="126"/>
        <v>275.58838469353202</v>
      </c>
      <c r="V21" s="40">
        <f t="shared" ca="1" si="126"/>
        <v>426.45614629190652</v>
      </c>
      <c r="W21" s="40">
        <f t="shared" ca="1" si="126"/>
        <v>539.51490010159159</v>
      </c>
      <c r="X21" s="40">
        <f t="shared" ca="1" si="126"/>
        <v>606.0489332881815</v>
      </c>
      <c r="Y21" s="40">
        <f t="shared" ca="1" si="126"/>
        <v>697.37978327124961</v>
      </c>
      <c r="Z21" s="40">
        <f t="shared" ca="1" si="126"/>
        <v>827.25618015577379</v>
      </c>
      <c r="AA21" s="40">
        <f t="shared" ca="1" si="126"/>
        <v>947.55756857433119</v>
      </c>
      <c r="AB21" s="40">
        <f t="shared" ca="1" si="126"/>
        <v>1192.579580088046</v>
      </c>
      <c r="AC21" s="40">
        <f t="shared" ca="1" si="126"/>
        <v>1311.8375380968507</v>
      </c>
      <c r="AD21" s="40">
        <f t="shared" ca="1" si="126"/>
        <v>1443.0212919065359</v>
      </c>
      <c r="AE21" s="40">
        <f t="shared" ca="1" si="126"/>
        <v>1587.3234210971896</v>
      </c>
      <c r="AF21" s="40">
        <f t="shared" ca="1" si="126"/>
        <v>1746.0557632069085</v>
      </c>
      <c r="AG21" s="40">
        <f t="shared" ca="1" si="126"/>
        <v>1920.6613395275997</v>
      </c>
      <c r="AH21" s="40">
        <f t="shared" ca="1" si="126"/>
        <v>2112.7274734803595</v>
      </c>
      <c r="AI21" s="40">
        <f t="shared" ca="1" si="126"/>
        <v>2324.0002208283959</v>
      </c>
      <c r="AJ21" s="40">
        <f t="shared" ca="1" si="126"/>
        <v>2556.4002429112356</v>
      </c>
      <c r="AK21" s="40">
        <f t="shared" ca="1" si="126"/>
        <v>2812.0402672023592</v>
      </c>
      <c r="AL21" s="40">
        <f t="shared" ca="1" si="126"/>
        <v>3093.2442939225953</v>
      </c>
      <c r="AM21" s="40">
        <f t="shared" ca="1" si="126"/>
        <v>3402.5687233148556</v>
      </c>
      <c r="AN21" s="40">
        <f t="shared" ca="1" si="126"/>
        <v>3742.8255956463413</v>
      </c>
      <c r="AO21" s="40">
        <f t="shared" ca="1" si="126"/>
        <v>4117.1081552109754</v>
      </c>
      <c r="AP21" s="40">
        <f t="shared" ca="1" si="126"/>
        <v>4528.8189707320735</v>
      </c>
      <c r="AQ21" s="40">
        <f t="shared" ca="1" si="126"/>
        <v>4981.7008678052816</v>
      </c>
      <c r="AR21" s="40">
        <f t="shared" ca="1" si="126"/>
        <v>5479.8709545858101</v>
      </c>
      <c r="AS21" s="40">
        <f t="shared" ca="1" si="126"/>
        <v>6027.8580500443913</v>
      </c>
      <c r="AT21" s="40">
        <f t="shared" ca="1" si="126"/>
        <v>6630.643855048831</v>
      </c>
      <c r="AU21" s="40">
        <f t="shared" ca="1" si="126"/>
        <v>7293.7082405537149</v>
      </c>
      <c r="AV21" s="40">
        <f t="shared" ca="1" si="126"/>
        <v>8023.0790646090882</v>
      </c>
      <c r="AW21" s="40">
        <f t="shared" ca="1" si="126"/>
        <v>8825.3869710699983</v>
      </c>
      <c r="AX21" s="40">
        <f t="shared" ca="1" si="126"/>
        <v>9707.9256681769984</v>
      </c>
      <c r="AY21" s="40">
        <f t="shared" ca="1" si="126"/>
        <v>10678.7182349947</v>
      </c>
      <c r="AZ21" s="40">
        <f t="shared" ca="1" si="126"/>
        <v>11746.59005849417</v>
      </c>
      <c r="BA21" s="40">
        <f t="shared" ca="1" si="126"/>
        <v>12921.249064343587</v>
      </c>
      <c r="BB21" s="40">
        <f t="shared" ca="1" si="126"/>
        <v>14213.373970777948</v>
      </c>
      <c r="BC21" s="40">
        <f t="shared" ca="1" si="126"/>
        <v>15634.711367855743</v>
      </c>
      <c r="BD21" s="40">
        <f t="shared" ca="1" si="126"/>
        <v>17198.182504641321</v>
      </c>
      <c r="BE21" s="40">
        <f t="shared" ca="1" si="126"/>
        <v>18918.000755105451</v>
      </c>
      <c r="BF21" s="40">
        <f t="shared" ca="1" si="126"/>
        <v>20809.800830615997</v>
      </c>
      <c r="BG21" s="40">
        <f t="shared" ca="1" si="126"/>
        <v>22890.780913677598</v>
      </c>
      <c r="BH21" s="40">
        <f t="shared" ca="1" si="126"/>
        <v>25179.85900504536</v>
      </c>
      <c r="BI21" s="40">
        <f t="shared" ca="1" si="126"/>
        <v>27697.844905549897</v>
      </c>
      <c r="BJ21" s="40">
        <f t="shared" ca="1" si="126"/>
        <v>30467.62939610489</v>
      </c>
      <c r="BK21" s="40">
        <f t="shared" ca="1" si="126"/>
        <v>33514.392335715384</v>
      </c>
      <c r="BL21" s="40">
        <f t="shared" ca="1" si="126"/>
        <v>36865.831569286922</v>
      </c>
      <c r="BM21" s="40">
        <f t="shared" ca="1" si="126"/>
        <v>40552.414726215618</v>
      </c>
      <c r="BN21" s="40">
        <f t="shared" ca="1" si="126"/>
        <v>44607.65619883719</v>
      </c>
      <c r="BO21" s="40">
        <f t="shared" ca="1" si="126"/>
        <v>49068.421818720912</v>
      </c>
      <c r="BP21" s="40">
        <f t="shared" ca="1" si="126"/>
        <v>53975.264000593008</v>
      </c>
      <c r="BQ21" s="40">
        <f t="shared" ca="1" si="126"/>
        <v>59372.790400652317</v>
      </c>
      <c r="BR21" s="40">
        <f t="shared" ca="1" si="126"/>
        <v>65310.069440717562</v>
      </c>
      <c r="BS21" s="40">
        <f t="shared" ca="1" si="126"/>
        <v>71841.076384789325</v>
      </c>
      <c r="BT21" s="40">
        <f t="shared" ref="BT21:EE23" ca="1" si="127">BT10*$C$15</f>
        <v>79025.184023268259</v>
      </c>
      <c r="BU21" s="40">
        <f t="shared" ca="1" si="127"/>
        <v>86927.702425595096</v>
      </c>
      <c r="BV21" s="40">
        <f t="shared" ca="1" si="127"/>
        <v>95620.472668154602</v>
      </c>
      <c r="BW21" s="40">
        <f t="shared" ca="1" si="127"/>
        <v>105182.51993497009</v>
      </c>
      <c r="BX21" s="40">
        <f t="shared" ca="1" si="127"/>
        <v>115700.7719284671</v>
      </c>
      <c r="BY21" s="40">
        <f t="shared" ca="1" si="127"/>
        <v>127270.84912131382</v>
      </c>
      <c r="BZ21" s="40">
        <f t="shared" ca="1" si="127"/>
        <v>139997.9340334452</v>
      </c>
      <c r="CA21" s="40">
        <f t="shared" ca="1" si="127"/>
        <v>153997.72743678975</v>
      </c>
      <c r="CB21" s="40">
        <f t="shared" ca="1" si="127"/>
        <v>169397.50018046875</v>
      </c>
      <c r="CC21" s="40">
        <f t="shared" ca="1" si="127"/>
        <v>186337.25019851563</v>
      </c>
      <c r="CD21" s="40">
        <f t="shared" ca="1" si="127"/>
        <v>204970.97521836721</v>
      </c>
      <c r="CE21" s="40">
        <f t="shared" ca="1" si="127"/>
        <v>225468.07274020393</v>
      </c>
      <c r="CF21" s="40">
        <f t="shared" ca="1" si="127"/>
        <v>248014.88001422436</v>
      </c>
      <c r="CG21" s="40">
        <f t="shared" ca="1" si="127"/>
        <v>272816.36801564682</v>
      </c>
      <c r="CH21" s="40">
        <f t="shared" ca="1" si="127"/>
        <v>300098.00481721148</v>
      </c>
      <c r="CI21" s="40">
        <f t="shared" ca="1" si="127"/>
        <v>330107.80529893271</v>
      </c>
      <c r="CJ21" s="40">
        <f t="shared" ca="1" si="127"/>
        <v>363118.58582882601</v>
      </c>
      <c r="CK21" s="40">
        <f t="shared" ca="1" si="127"/>
        <v>399430.44441170862</v>
      </c>
      <c r="CL21" s="40">
        <f t="shared" ca="1" si="127"/>
        <v>439373.4888528795</v>
      </c>
      <c r="CM21" s="40">
        <f t="shared" ca="1" si="127"/>
        <v>483310.83773816755</v>
      </c>
      <c r="CN21" s="40">
        <f t="shared" ca="1" si="127"/>
        <v>531641.92151198431</v>
      </c>
      <c r="CO21" s="40">
        <f t="shared" ca="1" si="127"/>
        <v>584806.11366318283</v>
      </c>
      <c r="CP21" s="40">
        <f t="shared" ca="1" si="127"/>
        <v>643286.72502950125</v>
      </c>
      <c r="CQ21" s="40">
        <f t="shared" ca="1" si="127"/>
        <v>707615.39753245143</v>
      </c>
      <c r="CR21" s="40">
        <f t="shared" ca="1" si="127"/>
        <v>778376.93728569662</v>
      </c>
      <c r="CS21" s="40">
        <f t="shared" ca="1" si="127"/>
        <v>856214.6310142664</v>
      </c>
      <c r="CT21" s="40">
        <f t="shared" ca="1" si="127"/>
        <v>941836.09411569301</v>
      </c>
      <c r="CU21" s="40">
        <f t="shared" ca="1" si="127"/>
        <v>1036019.7035272623</v>
      </c>
      <c r="CV21" s="40">
        <f t="shared" ca="1" si="127"/>
        <v>1139621.6738799887</v>
      </c>
      <c r="CW21" s="40">
        <f t="shared" ca="1" si="127"/>
        <v>1253583.8412679876</v>
      </c>
      <c r="CX21" s="40">
        <f t="shared" ca="1" si="127"/>
        <v>1378942.2253947866</v>
      </c>
      <c r="CY21" s="40">
        <f t="shared" ca="1" si="127"/>
        <v>1516836.4479342652</v>
      </c>
      <c r="CZ21" s="40">
        <f t="shared" ca="1" si="127"/>
        <v>1668520.0927276921</v>
      </c>
      <c r="DA21" s="40">
        <f t="shared" ca="1" si="127"/>
        <v>1835372.1020004614</v>
      </c>
      <c r="DB21" s="40">
        <f t="shared" ca="1" si="127"/>
        <v>2018909.3122005076</v>
      </c>
      <c r="DC21" s="40">
        <f t="shared" ca="1" si="127"/>
        <v>2220800.2434205585</v>
      </c>
      <c r="DD21" s="40">
        <f t="shared" ca="1" si="127"/>
        <v>2442880.2677626144</v>
      </c>
      <c r="DE21" s="40">
        <f t="shared" ca="1" si="127"/>
        <v>2687168.294538876</v>
      </c>
      <c r="DF21" s="40">
        <f t="shared" ca="1" si="127"/>
        <v>2955885.1239927639</v>
      </c>
      <c r="DG21" s="40">
        <f t="shared" ca="1" si="127"/>
        <v>3251473.6363920406</v>
      </c>
      <c r="DH21" s="40">
        <f t="shared" ca="1" si="127"/>
        <v>3333380.1540805963</v>
      </c>
      <c r="DI21" s="40">
        <f t="shared" ca="1" si="127"/>
        <v>3333380.1540805963</v>
      </c>
      <c r="DJ21" s="40">
        <f t="shared" ca="1" si="127"/>
        <v>3333380.1540805963</v>
      </c>
      <c r="DK21" s="40">
        <f t="shared" ca="1" si="127"/>
        <v>3333380.1540805963</v>
      </c>
      <c r="DL21" s="40">
        <f t="shared" ca="1" si="127"/>
        <v>3333380.1540805963</v>
      </c>
      <c r="DM21" s="40">
        <f t="shared" ca="1" si="127"/>
        <v>3333380.1540805963</v>
      </c>
      <c r="DN21" s="40">
        <f t="shared" ca="1" si="127"/>
        <v>3333380.1540805963</v>
      </c>
      <c r="DO21" s="40">
        <f t="shared" ca="1" si="127"/>
        <v>3333380.1540805963</v>
      </c>
      <c r="DP21" s="40">
        <f t="shared" ca="1" si="127"/>
        <v>3333380.1540805963</v>
      </c>
      <c r="DQ21" s="40">
        <f t="shared" ca="1" si="127"/>
        <v>3333380.1540805963</v>
      </c>
      <c r="DR21" s="40">
        <f t="shared" ca="1" si="127"/>
        <v>3333380.1540805963</v>
      </c>
      <c r="DS21" s="40">
        <f t="shared" ca="1" si="127"/>
        <v>3333380.1540805963</v>
      </c>
      <c r="DT21" s="40">
        <f t="shared" ca="1" si="127"/>
        <v>3333380.1540805963</v>
      </c>
      <c r="DU21" s="40">
        <f t="shared" ca="1" si="127"/>
        <v>3333380.1540805963</v>
      </c>
      <c r="DV21" s="40">
        <f t="shared" ca="1" si="127"/>
        <v>3333380.1540805963</v>
      </c>
      <c r="DW21" s="40">
        <f t="shared" ca="1" si="127"/>
        <v>3333380.1540805963</v>
      </c>
      <c r="DX21" s="40">
        <f t="shared" ca="1" si="127"/>
        <v>3333380.1540805963</v>
      </c>
      <c r="DY21" s="40">
        <f t="shared" ca="1" si="127"/>
        <v>3333380.1540805963</v>
      </c>
      <c r="DZ21" s="40">
        <f t="shared" ca="1" si="127"/>
        <v>3333380.1540805963</v>
      </c>
      <c r="EA21" s="40">
        <f t="shared" ca="1" si="127"/>
        <v>3333380.1540805963</v>
      </c>
      <c r="EB21" s="40">
        <f t="shared" ca="1" si="127"/>
        <v>3333380.1540805963</v>
      </c>
      <c r="EC21" s="40">
        <f t="shared" ca="1" si="127"/>
        <v>3333380.1540805963</v>
      </c>
      <c r="ED21" s="40">
        <f t="shared" ca="1" si="127"/>
        <v>3333380.1540805963</v>
      </c>
      <c r="EE21" s="40">
        <f t="shared" ca="1" si="127"/>
        <v>3333380.1540805963</v>
      </c>
      <c r="EF21" s="40">
        <f t="shared" ref="EF21:GQ23" ca="1" si="128">EF10*$C$15</f>
        <v>3333380.1540805963</v>
      </c>
      <c r="EG21" s="40">
        <f t="shared" ca="1" si="128"/>
        <v>3333380.1540805963</v>
      </c>
      <c r="EH21" s="40">
        <f t="shared" ca="1" si="128"/>
        <v>3333380.1540805963</v>
      </c>
      <c r="EI21" s="40">
        <f t="shared" ca="1" si="128"/>
        <v>3333380.1540805963</v>
      </c>
      <c r="EJ21" s="40">
        <f t="shared" ca="1" si="128"/>
        <v>3333380.1540805963</v>
      </c>
      <c r="EK21" s="40">
        <f t="shared" ca="1" si="128"/>
        <v>3333380.1540805963</v>
      </c>
      <c r="EL21" s="40">
        <f t="shared" ca="1" si="128"/>
        <v>3333380.1540805963</v>
      </c>
      <c r="EM21" s="40">
        <f t="shared" ca="1" si="128"/>
        <v>3333380.1540805963</v>
      </c>
      <c r="EN21" s="40">
        <f t="shared" ca="1" si="128"/>
        <v>3333380.1540805963</v>
      </c>
      <c r="EO21" s="40">
        <f t="shared" ca="1" si="128"/>
        <v>3333380.1540805963</v>
      </c>
      <c r="EP21" s="40">
        <f t="shared" ca="1" si="128"/>
        <v>3333380.1540805963</v>
      </c>
      <c r="EQ21" s="40">
        <f t="shared" ca="1" si="128"/>
        <v>3333380.1540805963</v>
      </c>
      <c r="ER21" s="40">
        <f t="shared" ca="1" si="128"/>
        <v>3333380.1540805963</v>
      </c>
      <c r="ES21" s="40">
        <f t="shared" ca="1" si="128"/>
        <v>3333380.1540805963</v>
      </c>
      <c r="ET21" s="40">
        <f t="shared" ca="1" si="128"/>
        <v>3333380.1540805963</v>
      </c>
      <c r="EU21" s="40">
        <f t="shared" ca="1" si="128"/>
        <v>3333380.1540805963</v>
      </c>
      <c r="EV21" s="40">
        <f t="shared" ca="1" si="128"/>
        <v>3333380.1540805963</v>
      </c>
      <c r="EW21" s="40">
        <f t="shared" ca="1" si="128"/>
        <v>3333380.1540805963</v>
      </c>
      <c r="EX21" s="40">
        <f t="shared" ca="1" si="128"/>
        <v>3333380.1540805963</v>
      </c>
      <c r="EY21" s="40">
        <f t="shared" ca="1" si="128"/>
        <v>3333380.1540805963</v>
      </c>
      <c r="EZ21" s="40">
        <f t="shared" ca="1" si="128"/>
        <v>3333380.1540805963</v>
      </c>
      <c r="FA21" s="40">
        <f t="shared" ca="1" si="128"/>
        <v>3333380.1540805963</v>
      </c>
      <c r="FB21" s="40">
        <f t="shared" ca="1" si="128"/>
        <v>3333380.1540805963</v>
      </c>
      <c r="FC21" s="40">
        <f t="shared" ca="1" si="128"/>
        <v>3333380.1540805963</v>
      </c>
      <c r="FD21" s="40">
        <f t="shared" ca="1" si="128"/>
        <v>3333380.1540805963</v>
      </c>
      <c r="FE21" s="40">
        <f t="shared" ca="1" si="128"/>
        <v>3333380.1540805963</v>
      </c>
      <c r="FF21" s="40">
        <f t="shared" ca="1" si="128"/>
        <v>3333380.1540805963</v>
      </c>
      <c r="FG21" s="40">
        <f t="shared" ca="1" si="128"/>
        <v>3333380.1540805963</v>
      </c>
      <c r="FH21" s="40">
        <f t="shared" ca="1" si="128"/>
        <v>3333380.1540805963</v>
      </c>
      <c r="FI21" s="40">
        <f t="shared" ca="1" si="128"/>
        <v>3333380.1540805963</v>
      </c>
      <c r="FJ21" s="40">
        <f t="shared" ca="1" si="128"/>
        <v>3333380.1540805963</v>
      </c>
      <c r="FK21" s="40">
        <f t="shared" ca="1" si="128"/>
        <v>3333380.1540805963</v>
      </c>
      <c r="FL21" s="40">
        <f t="shared" ca="1" si="128"/>
        <v>3333380.1540805963</v>
      </c>
      <c r="FM21" s="40">
        <f t="shared" ca="1" si="128"/>
        <v>3333380.1540805963</v>
      </c>
      <c r="FN21" s="40">
        <f t="shared" ca="1" si="128"/>
        <v>3333380.1540805963</v>
      </c>
      <c r="FO21" s="40">
        <f t="shared" ca="1" si="128"/>
        <v>3333380.1540805963</v>
      </c>
      <c r="FP21" s="40">
        <f t="shared" ca="1" si="128"/>
        <v>3333380.1540805963</v>
      </c>
      <c r="FQ21" s="40">
        <f t="shared" ca="1" si="128"/>
        <v>3333380.1540805963</v>
      </c>
      <c r="FR21" s="40">
        <f t="shared" ca="1" si="128"/>
        <v>3333380.1540805963</v>
      </c>
      <c r="FS21" s="40">
        <f t="shared" ca="1" si="128"/>
        <v>3333380.1540805963</v>
      </c>
      <c r="FT21" s="40">
        <f t="shared" ca="1" si="128"/>
        <v>3333380.1540805963</v>
      </c>
      <c r="FU21" s="40">
        <f t="shared" ca="1" si="128"/>
        <v>3333380.1540805963</v>
      </c>
      <c r="FV21" s="40">
        <f t="shared" ca="1" si="128"/>
        <v>3333380.1540805963</v>
      </c>
      <c r="FW21" s="40">
        <f t="shared" ca="1" si="128"/>
        <v>3333380.1540805963</v>
      </c>
      <c r="FX21" s="40">
        <f t="shared" ca="1" si="128"/>
        <v>3333380.1540805963</v>
      </c>
      <c r="FY21" s="40">
        <f t="shared" ca="1" si="128"/>
        <v>3333380.1540805963</v>
      </c>
      <c r="FZ21" s="40">
        <f t="shared" ca="1" si="128"/>
        <v>3333380.1540805963</v>
      </c>
      <c r="GA21" s="40">
        <f t="shared" ca="1" si="128"/>
        <v>3333380.1540805963</v>
      </c>
      <c r="GB21" s="40">
        <f t="shared" ca="1" si="128"/>
        <v>3333380.1540805963</v>
      </c>
      <c r="GC21" s="40">
        <f t="shared" ca="1" si="128"/>
        <v>3333380.1540805963</v>
      </c>
      <c r="GD21" s="40">
        <f t="shared" ca="1" si="128"/>
        <v>3333380.1540805963</v>
      </c>
      <c r="GE21" s="40">
        <f t="shared" ca="1" si="128"/>
        <v>3333380.1540805963</v>
      </c>
      <c r="GF21" s="40">
        <f t="shared" ca="1" si="128"/>
        <v>3333380.1540805963</v>
      </c>
      <c r="GG21" s="40">
        <f t="shared" ca="1" si="128"/>
        <v>3333380.1540805963</v>
      </c>
      <c r="GH21" s="40">
        <f t="shared" ca="1" si="128"/>
        <v>3333380.1540805963</v>
      </c>
      <c r="GI21" s="40">
        <f t="shared" ca="1" si="128"/>
        <v>3333380.1540805963</v>
      </c>
      <c r="GJ21" s="40">
        <f t="shared" ca="1" si="128"/>
        <v>3333380.1540805963</v>
      </c>
      <c r="GK21" s="40">
        <f t="shared" ca="1" si="128"/>
        <v>3333380.1540805963</v>
      </c>
      <c r="GL21" s="40">
        <f t="shared" ca="1" si="128"/>
        <v>3333380.1540805963</v>
      </c>
      <c r="GM21" s="40">
        <f t="shared" ca="1" si="128"/>
        <v>3333380.1540805963</v>
      </c>
      <c r="GN21" s="40">
        <f t="shared" ca="1" si="128"/>
        <v>3333380.1540805963</v>
      </c>
      <c r="GO21" s="40">
        <f t="shared" ca="1" si="128"/>
        <v>3333380.1540805963</v>
      </c>
      <c r="GP21" s="40">
        <f t="shared" ca="1" si="128"/>
        <v>3333380.1540805963</v>
      </c>
      <c r="GQ21" s="40">
        <f t="shared" ca="1" si="128"/>
        <v>3333380.1540805963</v>
      </c>
      <c r="GR21" s="40">
        <f t="shared" ref="GR21:IN23" ca="1" si="129">GR10*$C$15</f>
        <v>3333380.1540805963</v>
      </c>
      <c r="GS21" s="40">
        <f t="shared" ca="1" si="129"/>
        <v>3333380.1540805963</v>
      </c>
      <c r="GT21" s="40">
        <f t="shared" ca="1" si="129"/>
        <v>3333380.1540805963</v>
      </c>
      <c r="GU21" s="40">
        <f t="shared" ca="1" si="129"/>
        <v>3333380.1540805963</v>
      </c>
      <c r="GV21" s="40">
        <f t="shared" ca="1" si="129"/>
        <v>3333380.1540805963</v>
      </c>
      <c r="GW21" s="40">
        <f t="shared" ca="1" si="129"/>
        <v>3333380.1540805963</v>
      </c>
      <c r="GX21" s="40">
        <f t="shared" ca="1" si="129"/>
        <v>3333380.1540805963</v>
      </c>
      <c r="GY21" s="40">
        <f t="shared" ca="1" si="129"/>
        <v>3333380.1540805963</v>
      </c>
      <c r="GZ21" s="40">
        <f t="shared" ca="1" si="129"/>
        <v>3333380.1540805963</v>
      </c>
      <c r="HA21" s="40">
        <f t="shared" ca="1" si="129"/>
        <v>3333380.1540805963</v>
      </c>
      <c r="HB21" s="40">
        <f t="shared" ca="1" si="129"/>
        <v>3333380.1540805963</v>
      </c>
      <c r="HC21" s="40">
        <f t="shared" ca="1" si="129"/>
        <v>3333380.1540805963</v>
      </c>
      <c r="HD21" s="40">
        <f t="shared" ca="1" si="129"/>
        <v>3333380.1540805963</v>
      </c>
      <c r="HE21" s="40">
        <f t="shared" ca="1" si="129"/>
        <v>3333380.1540805963</v>
      </c>
      <c r="HF21" s="40">
        <f t="shared" ca="1" si="129"/>
        <v>3333380.1540805963</v>
      </c>
      <c r="HG21" s="40">
        <f t="shared" ca="1" si="129"/>
        <v>3333380.1540805963</v>
      </c>
      <c r="HH21" s="40">
        <f t="shared" ca="1" si="129"/>
        <v>3333380.1540805963</v>
      </c>
      <c r="HI21" s="40">
        <f t="shared" ca="1" si="129"/>
        <v>3333380.1540805963</v>
      </c>
      <c r="HJ21" s="40">
        <f t="shared" ca="1" si="129"/>
        <v>3333380.1540805963</v>
      </c>
      <c r="HK21" s="40">
        <f t="shared" ca="1" si="129"/>
        <v>3333380.1540805963</v>
      </c>
      <c r="HL21" s="40">
        <f t="shared" ca="1" si="129"/>
        <v>3333380.1540805963</v>
      </c>
      <c r="HM21" s="40">
        <f t="shared" ca="1" si="129"/>
        <v>3333380.1540805963</v>
      </c>
      <c r="HN21" s="40">
        <f t="shared" ca="1" si="129"/>
        <v>3333380.1540805963</v>
      </c>
      <c r="HO21" s="40">
        <f t="shared" ca="1" si="129"/>
        <v>3333380.1540805963</v>
      </c>
      <c r="HP21" s="40">
        <f t="shared" ca="1" si="129"/>
        <v>3333380.1540805963</v>
      </c>
      <c r="HQ21" s="40">
        <f t="shared" ca="1" si="129"/>
        <v>3333380.1540805963</v>
      </c>
      <c r="HR21" s="40">
        <f t="shared" ca="1" si="129"/>
        <v>3333380.1540805963</v>
      </c>
      <c r="HS21" s="40">
        <f t="shared" ca="1" si="129"/>
        <v>3333380.1540805963</v>
      </c>
      <c r="HT21" s="40">
        <f t="shared" ca="1" si="129"/>
        <v>3333380.1540805963</v>
      </c>
      <c r="HU21" s="40">
        <f t="shared" ca="1" si="129"/>
        <v>3333380.1540805963</v>
      </c>
      <c r="HV21" s="40">
        <f t="shared" ca="1" si="129"/>
        <v>3333380.1540805963</v>
      </c>
      <c r="HW21" s="40">
        <f t="shared" ca="1" si="129"/>
        <v>3333380.1540805963</v>
      </c>
      <c r="HX21" s="40">
        <f t="shared" ca="1" si="129"/>
        <v>3333380.1540805963</v>
      </c>
      <c r="HY21" s="40">
        <f t="shared" ca="1" si="129"/>
        <v>3333380.1540805963</v>
      </c>
      <c r="HZ21" s="40">
        <f t="shared" ca="1" si="129"/>
        <v>3333380.1540805963</v>
      </c>
      <c r="IA21" s="40">
        <f t="shared" ca="1" si="129"/>
        <v>3333380.1540805963</v>
      </c>
      <c r="IB21" s="40">
        <f t="shared" ca="1" si="129"/>
        <v>3333380.1540805963</v>
      </c>
      <c r="IC21" s="40">
        <f t="shared" ca="1" si="129"/>
        <v>3333380.1540805963</v>
      </c>
      <c r="ID21" s="40">
        <f t="shared" ca="1" si="129"/>
        <v>3333380.1540805963</v>
      </c>
      <c r="IE21" s="40">
        <f t="shared" ca="1" si="129"/>
        <v>3333380.1540805963</v>
      </c>
      <c r="IF21" s="40">
        <f t="shared" ca="1" si="129"/>
        <v>3333380.1540805963</v>
      </c>
      <c r="IG21" s="40">
        <f t="shared" ca="1" si="129"/>
        <v>3333380.1540805963</v>
      </c>
      <c r="IH21" s="40">
        <f t="shared" ca="1" si="129"/>
        <v>3333380.1540805963</v>
      </c>
      <c r="II21" s="40">
        <f t="shared" ca="1" si="129"/>
        <v>3333380.1540805963</v>
      </c>
      <c r="IJ21" s="40">
        <f t="shared" ca="1" si="129"/>
        <v>3333380.1540805963</v>
      </c>
      <c r="IK21" s="40">
        <f t="shared" ca="1" si="129"/>
        <v>3333380.1540805963</v>
      </c>
      <c r="IL21" s="40">
        <f t="shared" ca="1" si="129"/>
        <v>3333380.1540805963</v>
      </c>
      <c r="IM21" s="40">
        <f t="shared" ca="1" si="129"/>
        <v>3333380.1540805963</v>
      </c>
      <c r="IN21" s="40">
        <f t="shared" ca="1" si="129"/>
        <v>3333380.1540805963</v>
      </c>
    </row>
    <row r="22" spans="2:248" x14ac:dyDescent="0.3">
      <c r="C22" s="40"/>
      <c r="F22" s="19" t="s">
        <v>496</v>
      </c>
      <c r="G22" s="40">
        <f t="shared" ref="G22:V23" si="130">G11*$C$15</f>
        <v>14.239756180155773</v>
      </c>
      <c r="H22" s="40">
        <f t="shared" ca="1" si="130"/>
        <v>20.132069082289195</v>
      </c>
      <c r="I22" s="40">
        <f t="shared" ca="1" si="130"/>
        <v>25.41059939045039</v>
      </c>
      <c r="J22" s="40">
        <f t="shared" ca="1" si="130"/>
        <v>33.635286149678294</v>
      </c>
      <c r="K22" s="40">
        <f t="shared" ca="1" si="130"/>
        <v>39.527599051811713</v>
      </c>
      <c r="L22" s="40">
        <f t="shared" ca="1" si="130"/>
        <v>47.138503217067388</v>
      </c>
      <c r="M22" s="40">
        <f t="shared" ca="1" si="130"/>
        <v>56.345242126650859</v>
      </c>
      <c r="N22" s="40">
        <f t="shared" ca="1" si="130"/>
        <v>72.180833051134442</v>
      </c>
      <c r="O22" s="40">
        <f t="shared" ca="1" si="130"/>
        <v>98.082458516762614</v>
      </c>
      <c r="P22" s="40">
        <f t="shared" ca="1" si="130"/>
        <v>138.83762275651878</v>
      </c>
      <c r="Q22" s="40">
        <f t="shared" ca="1" si="130"/>
        <v>163.02065695902471</v>
      </c>
      <c r="R22" s="40">
        <f t="shared" ca="1" si="130"/>
        <v>156.02353538774128</v>
      </c>
      <c r="S22" s="40">
        <f t="shared" ca="1" si="130"/>
        <v>206.84473416864205</v>
      </c>
      <c r="T22" s="40">
        <f t="shared" ca="1" si="130"/>
        <v>281.84896715204877</v>
      </c>
      <c r="U22" s="40">
        <f t="shared" ca="1" si="130"/>
        <v>275.58838469353202</v>
      </c>
      <c r="V22" s="40">
        <f t="shared" ca="1" si="130"/>
        <v>426.45614629190652</v>
      </c>
      <c r="W22" s="40">
        <f t="shared" ca="1" si="126"/>
        <v>539.51490010159159</v>
      </c>
      <c r="X22" s="40">
        <f t="shared" ca="1" si="126"/>
        <v>606.0489332881815</v>
      </c>
      <c r="Y22" s="40">
        <f t="shared" ca="1" si="126"/>
        <v>697.37978327124961</v>
      </c>
      <c r="Z22" s="40">
        <f t="shared" ca="1" si="126"/>
        <v>827.25618015577379</v>
      </c>
      <c r="AA22" s="40">
        <f t="shared" ca="1" si="126"/>
        <v>947.55756857433119</v>
      </c>
      <c r="AB22" s="40">
        <f t="shared" ca="1" si="126"/>
        <v>1192.579580088046</v>
      </c>
      <c r="AC22" s="40">
        <f t="shared" ca="1" si="126"/>
        <v>1490.7244751100575</v>
      </c>
      <c r="AD22" s="40">
        <f t="shared" ca="1" si="126"/>
        <v>1863.405593887572</v>
      </c>
      <c r="AE22" s="40">
        <f t="shared" ca="1" si="126"/>
        <v>2329.2569923594647</v>
      </c>
      <c r="AF22" s="40">
        <f t="shared" ca="1" si="126"/>
        <v>2911.5712404493311</v>
      </c>
      <c r="AG22" s="40">
        <f t="shared" ca="1" si="126"/>
        <v>3639.464050561664</v>
      </c>
      <c r="AH22" s="40">
        <f t="shared" ca="1" si="126"/>
        <v>4549.3300632020801</v>
      </c>
      <c r="AI22" s="40">
        <f t="shared" ca="1" si="126"/>
        <v>5686.6625790026001</v>
      </c>
      <c r="AJ22" s="40">
        <f t="shared" ca="1" si="126"/>
        <v>7108.3282237532494</v>
      </c>
      <c r="AK22" s="40">
        <f t="shared" ca="1" si="126"/>
        <v>8885.4102796915631</v>
      </c>
      <c r="AL22" s="40">
        <f t="shared" ca="1" si="126"/>
        <v>11106.762849614453</v>
      </c>
      <c r="AM22" s="40">
        <f t="shared" ca="1" si="126"/>
        <v>13883.453562018067</v>
      </c>
      <c r="AN22" s="40">
        <f t="shared" ca="1" si="126"/>
        <v>17354.316952522582</v>
      </c>
      <c r="AO22" s="40">
        <f t="shared" ca="1" si="126"/>
        <v>21692.896190653228</v>
      </c>
      <c r="AP22" s="40">
        <f t="shared" ca="1" si="126"/>
        <v>27116.120238316536</v>
      </c>
      <c r="AQ22" s="40">
        <f t="shared" ca="1" si="126"/>
        <v>33895.150297895671</v>
      </c>
      <c r="AR22" s="40">
        <f t="shared" ca="1" si="126"/>
        <v>42368.937872369585</v>
      </c>
      <c r="AS22" s="40">
        <f t="shared" ca="1" si="126"/>
        <v>52961.172340461984</v>
      </c>
      <c r="AT22" s="40">
        <f t="shared" ca="1" si="126"/>
        <v>66201.46542557748</v>
      </c>
      <c r="AU22" s="40">
        <f t="shared" ca="1" si="126"/>
        <v>82751.83178197185</v>
      </c>
      <c r="AV22" s="40">
        <f t="shared" ca="1" si="126"/>
        <v>103439.78972746481</v>
      </c>
      <c r="AW22" s="40">
        <f t="shared" ca="1" si="126"/>
        <v>129299.73715933101</v>
      </c>
      <c r="AX22" s="40">
        <f t="shared" ca="1" si="126"/>
        <v>161624.67144916378</v>
      </c>
      <c r="AY22" s="40">
        <f t="shared" ca="1" si="126"/>
        <v>202030.83931145474</v>
      </c>
      <c r="AZ22" s="40">
        <f t="shared" ca="1" si="126"/>
        <v>252538.54913931841</v>
      </c>
      <c r="BA22" s="40">
        <f t="shared" ca="1" si="126"/>
        <v>315673.18642414798</v>
      </c>
      <c r="BB22" s="40">
        <f t="shared" ca="1" si="126"/>
        <v>394591.48303018505</v>
      </c>
      <c r="BC22" s="40">
        <f t="shared" ca="1" si="126"/>
        <v>493239.35378773132</v>
      </c>
      <c r="BD22" s="40">
        <f t="shared" ca="1" si="126"/>
        <v>616549.19223466411</v>
      </c>
      <c r="BE22" s="40">
        <f t="shared" ca="1" si="126"/>
        <v>770686.49029333016</v>
      </c>
      <c r="BF22" s="40">
        <f t="shared" ca="1" si="126"/>
        <v>963358.11286666268</v>
      </c>
      <c r="BG22" s="40">
        <f t="shared" ca="1" si="126"/>
        <v>1204197.6410833285</v>
      </c>
      <c r="BH22" s="40">
        <f t="shared" ca="1" si="126"/>
        <v>1505247.0513541605</v>
      </c>
      <c r="BI22" s="40">
        <f t="shared" ca="1" si="126"/>
        <v>1881558.8141927007</v>
      </c>
      <c r="BJ22" s="40">
        <f t="shared" ca="1" si="126"/>
        <v>2351948.5177408759</v>
      </c>
      <c r="BK22" s="40">
        <f t="shared" ca="1" si="126"/>
        <v>2939935.6471760948</v>
      </c>
      <c r="BL22" s="40">
        <f t="shared" ca="1" si="126"/>
        <v>3333380.1540805963</v>
      </c>
      <c r="BM22" s="40">
        <f t="shared" ca="1" si="126"/>
        <v>3333380.1540805963</v>
      </c>
      <c r="BN22" s="40">
        <f t="shared" ca="1" si="126"/>
        <v>3333380.1540805963</v>
      </c>
      <c r="BO22" s="40">
        <f t="shared" ca="1" si="126"/>
        <v>3333380.1540805963</v>
      </c>
      <c r="BP22" s="40">
        <f t="shared" ca="1" si="126"/>
        <v>3333380.1540805963</v>
      </c>
      <c r="BQ22" s="40">
        <f t="shared" ca="1" si="126"/>
        <v>3333380.1540805963</v>
      </c>
      <c r="BR22" s="40">
        <f t="shared" ca="1" si="126"/>
        <v>3333380.1540805963</v>
      </c>
      <c r="BS22" s="40">
        <f t="shared" ca="1" si="126"/>
        <v>3333380.1540805963</v>
      </c>
      <c r="BT22" s="40">
        <f t="shared" ca="1" si="127"/>
        <v>3333380.1540805963</v>
      </c>
      <c r="BU22" s="40">
        <f t="shared" ca="1" si="127"/>
        <v>3333380.1540805963</v>
      </c>
      <c r="BV22" s="40">
        <f t="shared" ca="1" si="127"/>
        <v>3333380.1540805963</v>
      </c>
      <c r="BW22" s="40">
        <f t="shared" ca="1" si="127"/>
        <v>3333380.1540805963</v>
      </c>
      <c r="BX22" s="40">
        <f t="shared" ca="1" si="127"/>
        <v>3333380.1540805963</v>
      </c>
      <c r="BY22" s="40">
        <f t="shared" ca="1" si="127"/>
        <v>3333380.1540805963</v>
      </c>
      <c r="BZ22" s="40">
        <f t="shared" ca="1" si="127"/>
        <v>3333380.1540805963</v>
      </c>
      <c r="CA22" s="40">
        <f t="shared" ca="1" si="127"/>
        <v>3333380.1540805963</v>
      </c>
      <c r="CB22" s="40">
        <f t="shared" ca="1" si="127"/>
        <v>3333380.1540805963</v>
      </c>
      <c r="CC22" s="40">
        <f t="shared" ca="1" si="127"/>
        <v>3333380.1540805963</v>
      </c>
      <c r="CD22" s="40">
        <f t="shared" ca="1" si="127"/>
        <v>3333380.1540805963</v>
      </c>
      <c r="CE22" s="40">
        <f t="shared" ca="1" si="127"/>
        <v>3333380.1540805963</v>
      </c>
      <c r="CF22" s="40">
        <f t="shared" ca="1" si="127"/>
        <v>3333380.1540805963</v>
      </c>
      <c r="CG22" s="40">
        <f t="shared" ca="1" si="127"/>
        <v>3333380.1540805963</v>
      </c>
      <c r="CH22" s="40">
        <f t="shared" ca="1" si="127"/>
        <v>3333380.1540805963</v>
      </c>
      <c r="CI22" s="40">
        <f t="shared" ca="1" si="127"/>
        <v>3333380.1540805963</v>
      </c>
      <c r="CJ22" s="40">
        <f t="shared" ca="1" si="127"/>
        <v>3333380.1540805963</v>
      </c>
      <c r="CK22" s="40">
        <f t="shared" ca="1" si="127"/>
        <v>3333380.1540805963</v>
      </c>
      <c r="CL22" s="40">
        <f t="shared" ca="1" si="127"/>
        <v>3333380.1540805963</v>
      </c>
      <c r="CM22" s="40">
        <f t="shared" ca="1" si="127"/>
        <v>3333380.1540805963</v>
      </c>
      <c r="CN22" s="40">
        <f t="shared" ca="1" si="127"/>
        <v>3333380.1540805963</v>
      </c>
      <c r="CO22" s="40">
        <f t="shared" ca="1" si="127"/>
        <v>3333380.1540805963</v>
      </c>
      <c r="CP22" s="40">
        <f t="shared" ca="1" si="127"/>
        <v>3333380.1540805963</v>
      </c>
      <c r="CQ22" s="40">
        <f t="shared" ca="1" si="127"/>
        <v>3333380.1540805963</v>
      </c>
      <c r="CR22" s="40">
        <f t="shared" ca="1" si="127"/>
        <v>3333380.1540805963</v>
      </c>
      <c r="CS22" s="40">
        <f t="shared" ca="1" si="127"/>
        <v>3333380.1540805963</v>
      </c>
      <c r="CT22" s="40">
        <f t="shared" ca="1" si="127"/>
        <v>3333380.1540805963</v>
      </c>
      <c r="CU22" s="40">
        <f t="shared" ca="1" si="127"/>
        <v>3333380.1540805963</v>
      </c>
      <c r="CV22" s="40">
        <f t="shared" ca="1" si="127"/>
        <v>3333380.1540805963</v>
      </c>
      <c r="CW22" s="40">
        <f t="shared" ca="1" si="127"/>
        <v>3333380.1540805963</v>
      </c>
      <c r="CX22" s="40">
        <f t="shared" ca="1" si="127"/>
        <v>3333380.1540805963</v>
      </c>
      <c r="CY22" s="40">
        <f t="shared" ca="1" si="127"/>
        <v>3333380.1540805963</v>
      </c>
      <c r="CZ22" s="40">
        <f t="shared" ca="1" si="127"/>
        <v>3333380.1540805963</v>
      </c>
      <c r="DA22" s="40">
        <f t="shared" ca="1" si="127"/>
        <v>3333380.1540805963</v>
      </c>
      <c r="DB22" s="40">
        <f t="shared" ca="1" si="127"/>
        <v>3333380.1540805963</v>
      </c>
      <c r="DC22" s="40">
        <f t="shared" ca="1" si="127"/>
        <v>3333380.1540805963</v>
      </c>
      <c r="DD22" s="40">
        <f t="shared" ca="1" si="127"/>
        <v>3333380.1540805963</v>
      </c>
      <c r="DE22" s="40">
        <f t="shared" ca="1" si="127"/>
        <v>3333380.1540805963</v>
      </c>
      <c r="DF22" s="40">
        <f t="shared" ca="1" si="127"/>
        <v>3333380.1540805963</v>
      </c>
      <c r="DG22" s="40">
        <f t="shared" ca="1" si="127"/>
        <v>3333380.1540805963</v>
      </c>
      <c r="DH22" s="40">
        <f t="shared" ca="1" si="127"/>
        <v>3333380.1540805963</v>
      </c>
      <c r="DI22" s="40">
        <f t="shared" ca="1" si="127"/>
        <v>3333380.1540805963</v>
      </c>
      <c r="DJ22" s="40">
        <f t="shared" ca="1" si="127"/>
        <v>3333380.1540805963</v>
      </c>
      <c r="DK22" s="40">
        <f t="shared" ca="1" si="127"/>
        <v>3333380.1540805963</v>
      </c>
      <c r="DL22" s="40">
        <f t="shared" ca="1" si="127"/>
        <v>3333380.1540805963</v>
      </c>
      <c r="DM22" s="40">
        <f t="shared" ca="1" si="127"/>
        <v>3333380.1540805963</v>
      </c>
      <c r="DN22" s="40">
        <f t="shared" ca="1" si="127"/>
        <v>3333380.1540805963</v>
      </c>
      <c r="DO22" s="40">
        <f t="shared" ca="1" si="127"/>
        <v>3333380.1540805963</v>
      </c>
      <c r="DP22" s="40">
        <f t="shared" ca="1" si="127"/>
        <v>3333380.1540805963</v>
      </c>
      <c r="DQ22" s="40">
        <f t="shared" ca="1" si="127"/>
        <v>3333380.1540805963</v>
      </c>
      <c r="DR22" s="40">
        <f t="shared" ca="1" si="127"/>
        <v>3333380.1540805963</v>
      </c>
      <c r="DS22" s="40">
        <f t="shared" ca="1" si="127"/>
        <v>3333380.1540805963</v>
      </c>
      <c r="DT22" s="40">
        <f t="shared" ca="1" si="127"/>
        <v>3333380.1540805963</v>
      </c>
      <c r="DU22" s="40">
        <f t="shared" ca="1" si="127"/>
        <v>3333380.1540805963</v>
      </c>
      <c r="DV22" s="40">
        <f t="shared" ca="1" si="127"/>
        <v>3333380.1540805963</v>
      </c>
      <c r="DW22" s="40">
        <f t="shared" ca="1" si="127"/>
        <v>3333380.1540805963</v>
      </c>
      <c r="DX22" s="40">
        <f t="shared" ca="1" si="127"/>
        <v>3333380.1540805963</v>
      </c>
      <c r="DY22" s="40">
        <f t="shared" ca="1" si="127"/>
        <v>3333380.1540805963</v>
      </c>
      <c r="DZ22" s="40">
        <f t="shared" ca="1" si="127"/>
        <v>3333380.1540805963</v>
      </c>
      <c r="EA22" s="40">
        <f t="shared" ca="1" si="127"/>
        <v>3333380.1540805963</v>
      </c>
      <c r="EB22" s="40">
        <f t="shared" ca="1" si="127"/>
        <v>3333380.1540805963</v>
      </c>
      <c r="EC22" s="40">
        <f t="shared" ca="1" si="127"/>
        <v>3333380.1540805963</v>
      </c>
      <c r="ED22" s="40">
        <f t="shared" ca="1" si="127"/>
        <v>3333380.1540805963</v>
      </c>
      <c r="EE22" s="40">
        <f t="shared" ca="1" si="127"/>
        <v>3333380.1540805963</v>
      </c>
      <c r="EF22" s="40">
        <f t="shared" ca="1" si="128"/>
        <v>3333380.1540805963</v>
      </c>
      <c r="EG22" s="40">
        <f t="shared" ca="1" si="128"/>
        <v>3333380.1540805963</v>
      </c>
      <c r="EH22" s="40">
        <f t="shared" ca="1" si="128"/>
        <v>3333380.1540805963</v>
      </c>
      <c r="EI22" s="40">
        <f t="shared" ca="1" si="128"/>
        <v>3333380.1540805963</v>
      </c>
      <c r="EJ22" s="40">
        <f t="shared" ca="1" si="128"/>
        <v>3333380.1540805963</v>
      </c>
      <c r="EK22" s="40">
        <f t="shared" ca="1" si="128"/>
        <v>3333380.1540805963</v>
      </c>
      <c r="EL22" s="40">
        <f t="shared" ca="1" si="128"/>
        <v>3333380.1540805963</v>
      </c>
      <c r="EM22" s="40">
        <f t="shared" ca="1" si="128"/>
        <v>3333380.1540805963</v>
      </c>
      <c r="EN22" s="40">
        <f t="shared" ca="1" si="128"/>
        <v>3333380.1540805963</v>
      </c>
      <c r="EO22" s="40">
        <f t="shared" ca="1" si="128"/>
        <v>3333380.1540805963</v>
      </c>
      <c r="EP22" s="40">
        <f t="shared" ca="1" si="128"/>
        <v>3333380.1540805963</v>
      </c>
      <c r="EQ22" s="40">
        <f t="shared" ca="1" si="128"/>
        <v>3333380.1540805963</v>
      </c>
      <c r="ER22" s="40">
        <f t="shared" ca="1" si="128"/>
        <v>3333380.1540805963</v>
      </c>
      <c r="ES22" s="40">
        <f t="shared" ca="1" si="128"/>
        <v>3333380.1540805963</v>
      </c>
      <c r="ET22" s="40">
        <f t="shared" ca="1" si="128"/>
        <v>3333380.1540805963</v>
      </c>
      <c r="EU22" s="40">
        <f t="shared" ca="1" si="128"/>
        <v>3333380.1540805963</v>
      </c>
      <c r="EV22" s="40">
        <f t="shared" ca="1" si="128"/>
        <v>3333380.1540805963</v>
      </c>
      <c r="EW22" s="40">
        <f t="shared" ca="1" si="128"/>
        <v>3333380.1540805963</v>
      </c>
      <c r="EX22" s="40">
        <f t="shared" ca="1" si="128"/>
        <v>3333380.1540805963</v>
      </c>
      <c r="EY22" s="40">
        <f t="shared" ca="1" si="128"/>
        <v>3333380.1540805963</v>
      </c>
      <c r="EZ22" s="40">
        <f t="shared" ca="1" si="128"/>
        <v>3333380.1540805963</v>
      </c>
      <c r="FA22" s="40">
        <f t="shared" ca="1" si="128"/>
        <v>3333380.1540805963</v>
      </c>
      <c r="FB22" s="40">
        <f t="shared" ca="1" si="128"/>
        <v>3333380.1540805963</v>
      </c>
      <c r="FC22" s="40">
        <f t="shared" ca="1" si="128"/>
        <v>3333380.1540805963</v>
      </c>
      <c r="FD22" s="40">
        <f t="shared" ca="1" si="128"/>
        <v>3333380.1540805963</v>
      </c>
      <c r="FE22" s="40">
        <f t="shared" ca="1" si="128"/>
        <v>3333380.1540805963</v>
      </c>
      <c r="FF22" s="40">
        <f t="shared" ca="1" si="128"/>
        <v>3333380.1540805963</v>
      </c>
      <c r="FG22" s="40">
        <f t="shared" ca="1" si="128"/>
        <v>3333380.1540805963</v>
      </c>
      <c r="FH22" s="40">
        <f t="shared" ca="1" si="128"/>
        <v>3333380.1540805963</v>
      </c>
      <c r="FI22" s="40">
        <f t="shared" ca="1" si="128"/>
        <v>3333380.1540805963</v>
      </c>
      <c r="FJ22" s="40">
        <f t="shared" ca="1" si="128"/>
        <v>3333380.1540805963</v>
      </c>
      <c r="FK22" s="40">
        <f t="shared" ca="1" si="128"/>
        <v>3333380.1540805963</v>
      </c>
      <c r="FL22" s="40">
        <f t="shared" ca="1" si="128"/>
        <v>3333380.1540805963</v>
      </c>
      <c r="FM22" s="40">
        <f t="shared" ca="1" si="128"/>
        <v>3333380.1540805963</v>
      </c>
      <c r="FN22" s="40">
        <f t="shared" ca="1" si="128"/>
        <v>3333380.1540805963</v>
      </c>
      <c r="FO22" s="40">
        <f t="shared" ca="1" si="128"/>
        <v>3333380.1540805963</v>
      </c>
      <c r="FP22" s="40">
        <f t="shared" ca="1" si="128"/>
        <v>3333380.1540805963</v>
      </c>
      <c r="FQ22" s="40">
        <f t="shared" ca="1" si="128"/>
        <v>3333380.1540805963</v>
      </c>
      <c r="FR22" s="40">
        <f t="shared" ca="1" si="128"/>
        <v>3333380.1540805963</v>
      </c>
      <c r="FS22" s="40">
        <f t="shared" ca="1" si="128"/>
        <v>3333380.1540805963</v>
      </c>
      <c r="FT22" s="40">
        <f t="shared" ca="1" si="128"/>
        <v>3333380.1540805963</v>
      </c>
      <c r="FU22" s="40">
        <f t="shared" ca="1" si="128"/>
        <v>3333380.1540805963</v>
      </c>
      <c r="FV22" s="40">
        <f t="shared" ca="1" si="128"/>
        <v>3333380.1540805963</v>
      </c>
      <c r="FW22" s="40">
        <f t="shared" ca="1" si="128"/>
        <v>3333380.1540805963</v>
      </c>
      <c r="FX22" s="40">
        <f t="shared" ca="1" si="128"/>
        <v>3333380.1540805963</v>
      </c>
      <c r="FY22" s="40">
        <f t="shared" ca="1" si="128"/>
        <v>3333380.1540805963</v>
      </c>
      <c r="FZ22" s="40">
        <f t="shared" ca="1" si="128"/>
        <v>3333380.1540805963</v>
      </c>
      <c r="GA22" s="40">
        <f t="shared" ca="1" si="128"/>
        <v>3333380.1540805963</v>
      </c>
      <c r="GB22" s="40">
        <f t="shared" ca="1" si="128"/>
        <v>3333380.1540805963</v>
      </c>
      <c r="GC22" s="40">
        <f t="shared" ca="1" si="128"/>
        <v>3333380.1540805963</v>
      </c>
      <c r="GD22" s="40">
        <f t="shared" ca="1" si="128"/>
        <v>3333380.1540805963</v>
      </c>
      <c r="GE22" s="40">
        <f t="shared" ca="1" si="128"/>
        <v>3333380.1540805963</v>
      </c>
      <c r="GF22" s="40">
        <f t="shared" ca="1" si="128"/>
        <v>3333380.1540805963</v>
      </c>
      <c r="GG22" s="40">
        <f t="shared" ca="1" si="128"/>
        <v>3333380.1540805963</v>
      </c>
      <c r="GH22" s="40">
        <f t="shared" ca="1" si="128"/>
        <v>3333380.1540805963</v>
      </c>
      <c r="GI22" s="40">
        <f t="shared" ca="1" si="128"/>
        <v>3333380.1540805963</v>
      </c>
      <c r="GJ22" s="40">
        <f t="shared" ca="1" si="128"/>
        <v>3333380.1540805963</v>
      </c>
      <c r="GK22" s="40">
        <f t="shared" ca="1" si="128"/>
        <v>3333380.1540805963</v>
      </c>
      <c r="GL22" s="40">
        <f t="shared" ca="1" si="128"/>
        <v>3333380.1540805963</v>
      </c>
      <c r="GM22" s="40">
        <f t="shared" ca="1" si="128"/>
        <v>3333380.1540805963</v>
      </c>
      <c r="GN22" s="40">
        <f t="shared" ca="1" si="128"/>
        <v>3333380.1540805963</v>
      </c>
      <c r="GO22" s="40">
        <f t="shared" ca="1" si="128"/>
        <v>3333380.1540805963</v>
      </c>
      <c r="GP22" s="40">
        <f t="shared" ca="1" si="128"/>
        <v>3333380.1540805963</v>
      </c>
      <c r="GQ22" s="40">
        <f t="shared" ca="1" si="128"/>
        <v>3333380.1540805963</v>
      </c>
      <c r="GR22" s="40">
        <f t="shared" ca="1" si="129"/>
        <v>3333380.1540805963</v>
      </c>
      <c r="GS22" s="40">
        <f t="shared" ca="1" si="129"/>
        <v>3333380.1540805963</v>
      </c>
      <c r="GT22" s="40">
        <f t="shared" ca="1" si="129"/>
        <v>3333380.1540805963</v>
      </c>
      <c r="GU22" s="40">
        <f t="shared" ca="1" si="129"/>
        <v>3333380.1540805963</v>
      </c>
      <c r="GV22" s="40">
        <f t="shared" ca="1" si="129"/>
        <v>3333380.1540805963</v>
      </c>
      <c r="GW22" s="40">
        <f t="shared" ca="1" si="129"/>
        <v>3333380.1540805963</v>
      </c>
      <c r="GX22" s="40">
        <f t="shared" ca="1" si="129"/>
        <v>3333380.1540805963</v>
      </c>
      <c r="GY22" s="40">
        <f t="shared" ca="1" si="129"/>
        <v>3333380.1540805963</v>
      </c>
      <c r="GZ22" s="40">
        <f t="shared" ca="1" si="129"/>
        <v>3333380.1540805963</v>
      </c>
      <c r="HA22" s="40">
        <f t="shared" ca="1" si="129"/>
        <v>3333380.1540805963</v>
      </c>
      <c r="HB22" s="40">
        <f t="shared" ca="1" si="129"/>
        <v>3333380.1540805963</v>
      </c>
      <c r="HC22" s="40">
        <f t="shared" ca="1" si="129"/>
        <v>3333380.1540805963</v>
      </c>
      <c r="HD22" s="40">
        <f t="shared" ca="1" si="129"/>
        <v>3333380.1540805963</v>
      </c>
      <c r="HE22" s="40">
        <f t="shared" ca="1" si="129"/>
        <v>3333380.1540805963</v>
      </c>
      <c r="HF22" s="40">
        <f t="shared" ca="1" si="129"/>
        <v>3333380.1540805963</v>
      </c>
      <c r="HG22" s="40">
        <f t="shared" ca="1" si="129"/>
        <v>3333380.1540805963</v>
      </c>
      <c r="HH22" s="40">
        <f t="shared" ca="1" si="129"/>
        <v>3333380.1540805963</v>
      </c>
      <c r="HI22" s="40">
        <f t="shared" ca="1" si="129"/>
        <v>3333380.1540805963</v>
      </c>
      <c r="HJ22" s="40">
        <f t="shared" ca="1" si="129"/>
        <v>3333380.1540805963</v>
      </c>
      <c r="HK22" s="40">
        <f t="shared" ca="1" si="129"/>
        <v>3333380.1540805963</v>
      </c>
      <c r="HL22" s="40">
        <f t="shared" ca="1" si="129"/>
        <v>3333380.1540805963</v>
      </c>
      <c r="HM22" s="40">
        <f t="shared" ca="1" si="129"/>
        <v>3333380.1540805963</v>
      </c>
      <c r="HN22" s="40">
        <f t="shared" ca="1" si="129"/>
        <v>3333380.1540805963</v>
      </c>
      <c r="HO22" s="40">
        <f t="shared" ca="1" si="129"/>
        <v>3333380.1540805963</v>
      </c>
      <c r="HP22" s="40">
        <f t="shared" ca="1" si="129"/>
        <v>3333380.1540805963</v>
      </c>
      <c r="HQ22" s="40">
        <f t="shared" ca="1" si="129"/>
        <v>3333380.1540805963</v>
      </c>
      <c r="HR22" s="40">
        <f t="shared" ca="1" si="129"/>
        <v>3333380.1540805963</v>
      </c>
      <c r="HS22" s="40">
        <f t="shared" ca="1" si="129"/>
        <v>3333380.1540805963</v>
      </c>
      <c r="HT22" s="40">
        <f t="shared" ca="1" si="129"/>
        <v>3333380.1540805963</v>
      </c>
      <c r="HU22" s="40">
        <f t="shared" ca="1" si="129"/>
        <v>3333380.1540805963</v>
      </c>
      <c r="HV22" s="40">
        <f t="shared" ca="1" si="129"/>
        <v>3333380.1540805963</v>
      </c>
      <c r="HW22" s="40">
        <f t="shared" ca="1" si="129"/>
        <v>3333380.1540805963</v>
      </c>
      <c r="HX22" s="40">
        <f t="shared" ca="1" si="129"/>
        <v>3333380.1540805963</v>
      </c>
      <c r="HY22" s="40">
        <f t="shared" ca="1" si="129"/>
        <v>3333380.1540805963</v>
      </c>
      <c r="HZ22" s="40">
        <f t="shared" ca="1" si="129"/>
        <v>3333380.1540805963</v>
      </c>
      <c r="IA22" s="40">
        <f t="shared" ca="1" si="129"/>
        <v>3333380.1540805963</v>
      </c>
      <c r="IB22" s="40">
        <f t="shared" ca="1" si="129"/>
        <v>3333380.1540805963</v>
      </c>
      <c r="IC22" s="40">
        <f t="shared" ca="1" si="129"/>
        <v>3333380.1540805963</v>
      </c>
      <c r="ID22" s="40">
        <f t="shared" ca="1" si="129"/>
        <v>3333380.1540805963</v>
      </c>
      <c r="IE22" s="40">
        <f t="shared" ca="1" si="129"/>
        <v>3333380.1540805963</v>
      </c>
      <c r="IF22" s="40">
        <f t="shared" ca="1" si="129"/>
        <v>3333380.1540805963</v>
      </c>
      <c r="IG22" s="40">
        <f t="shared" ca="1" si="129"/>
        <v>3333380.1540805963</v>
      </c>
      <c r="IH22" s="40">
        <f t="shared" ca="1" si="129"/>
        <v>3333380.1540805963</v>
      </c>
      <c r="II22" s="40">
        <f t="shared" ca="1" si="129"/>
        <v>3333380.1540805963</v>
      </c>
      <c r="IJ22" s="40">
        <f t="shared" ca="1" si="129"/>
        <v>3333380.1540805963</v>
      </c>
      <c r="IK22" s="40">
        <f t="shared" ca="1" si="129"/>
        <v>3333380.1540805963</v>
      </c>
      <c r="IL22" s="40">
        <f t="shared" ca="1" si="129"/>
        <v>3333380.1540805963</v>
      </c>
      <c r="IM22" s="40">
        <f t="shared" ca="1" si="129"/>
        <v>3333380.1540805963</v>
      </c>
      <c r="IN22" s="40">
        <f t="shared" ca="1" si="129"/>
        <v>3333380.1540805963</v>
      </c>
    </row>
    <row r="23" spans="2:248" x14ac:dyDescent="0.3">
      <c r="B23" s="19" t="s">
        <v>500</v>
      </c>
      <c r="C23" s="54">
        <f>IF(VLOOKUP(B2,Country_Data!C:I,7,FALSE)="","Not initiated",VLOOKUP(B2,Country_Data!C:I,7,FALSE))</f>
        <v>43904</v>
      </c>
      <c r="F23" s="19" t="s">
        <v>494</v>
      </c>
      <c r="G23" s="40">
        <f t="shared" si="130"/>
        <v>14.239756180155773</v>
      </c>
      <c r="H23" s="40">
        <f t="shared" ref="H23:BS23" ca="1" si="131">H12*$C$15</f>
        <v>20.132069082289195</v>
      </c>
      <c r="I23" s="40">
        <f t="shared" ca="1" si="131"/>
        <v>25.41059939045039</v>
      </c>
      <c r="J23" s="40">
        <f t="shared" ca="1" si="131"/>
        <v>33.635286149678294</v>
      </c>
      <c r="K23" s="40">
        <f t="shared" ca="1" si="131"/>
        <v>39.527599051811713</v>
      </c>
      <c r="L23" s="40">
        <f t="shared" ca="1" si="131"/>
        <v>47.138503217067388</v>
      </c>
      <c r="M23" s="40">
        <f t="shared" ca="1" si="131"/>
        <v>56.345242126650859</v>
      </c>
      <c r="N23" s="40">
        <f t="shared" ca="1" si="131"/>
        <v>72.180833051134442</v>
      </c>
      <c r="O23" s="40">
        <f t="shared" ca="1" si="131"/>
        <v>98.082458516762614</v>
      </c>
      <c r="P23" s="40">
        <f t="shared" ca="1" si="131"/>
        <v>138.83762275651878</v>
      </c>
      <c r="Q23" s="40">
        <f t="shared" ca="1" si="131"/>
        <v>163.02065695902471</v>
      </c>
      <c r="R23" s="40">
        <f t="shared" ca="1" si="131"/>
        <v>156.02353538774128</v>
      </c>
      <c r="S23" s="40">
        <f t="shared" ca="1" si="131"/>
        <v>206.84473416864205</v>
      </c>
      <c r="T23" s="40">
        <f t="shared" ca="1" si="131"/>
        <v>281.84896715204877</v>
      </c>
      <c r="U23" s="40">
        <f t="shared" ca="1" si="131"/>
        <v>275.58838469353202</v>
      </c>
      <c r="V23" s="40">
        <f t="shared" ca="1" si="131"/>
        <v>426.45614629190652</v>
      </c>
      <c r="W23" s="40">
        <f t="shared" ca="1" si="131"/>
        <v>539.51490010159159</v>
      </c>
      <c r="X23" s="40">
        <f t="shared" ca="1" si="131"/>
        <v>606.0489332881815</v>
      </c>
      <c r="Y23" s="40">
        <f t="shared" ca="1" si="131"/>
        <v>697.37978327124961</v>
      </c>
      <c r="Z23" s="40">
        <f t="shared" ca="1" si="131"/>
        <v>827.25618015577379</v>
      </c>
      <c r="AA23" s="40">
        <f t="shared" ca="1" si="131"/>
        <v>947.55756857433119</v>
      </c>
      <c r="AB23" s="40">
        <f t="shared" ca="1" si="131"/>
        <v>1192.579580088046</v>
      </c>
      <c r="AC23" s="40">
        <f t="shared" ca="1" si="131"/>
        <v>1669.6114121232645</v>
      </c>
      <c r="AD23" s="40">
        <f t="shared" ca="1" si="131"/>
        <v>2337.4559769725702</v>
      </c>
      <c r="AE23" s="40">
        <f t="shared" ca="1" si="131"/>
        <v>3272.4383677615979</v>
      </c>
      <c r="AF23" s="40">
        <f t="shared" ca="1" si="131"/>
        <v>4581.4137148662367</v>
      </c>
      <c r="AG23" s="40">
        <f t="shared" ca="1" si="131"/>
        <v>6413.9792008127315</v>
      </c>
      <c r="AH23" s="40">
        <f t="shared" ca="1" si="131"/>
        <v>8979.5708811378227</v>
      </c>
      <c r="AI23" s="40">
        <f t="shared" ca="1" si="131"/>
        <v>12571.399233592951</v>
      </c>
      <c r="AJ23" s="40">
        <f t="shared" ca="1" si="131"/>
        <v>17599.958927030129</v>
      </c>
      <c r="AK23" s="40">
        <f t="shared" ca="1" si="131"/>
        <v>24639.942497842178</v>
      </c>
      <c r="AL23" s="40">
        <f t="shared" ca="1" si="131"/>
        <v>34495.919496979048</v>
      </c>
      <c r="AM23" s="40">
        <f t="shared" ca="1" si="131"/>
        <v>48294.287295770664</v>
      </c>
      <c r="AN23" s="40">
        <f t="shared" ca="1" si="131"/>
        <v>67612.002214078922</v>
      </c>
      <c r="AO23" s="40">
        <f t="shared" ca="1" si="131"/>
        <v>94656.803099710494</v>
      </c>
      <c r="AP23" s="40">
        <f t="shared" ca="1" si="131"/>
        <v>132519.52433959467</v>
      </c>
      <c r="AQ23" s="40">
        <f t="shared" ca="1" si="131"/>
        <v>185527.33407543256</v>
      </c>
      <c r="AR23" s="40">
        <f t="shared" ca="1" si="131"/>
        <v>259738.26770560557</v>
      </c>
      <c r="AS23" s="40">
        <f t="shared" ca="1" si="131"/>
        <v>363633.57478784781</v>
      </c>
      <c r="AT23" s="40">
        <f t="shared" ca="1" si="131"/>
        <v>509087.00470298686</v>
      </c>
      <c r="AU23" s="40">
        <f t="shared" ca="1" si="131"/>
        <v>712721.8065841815</v>
      </c>
      <c r="AV23" s="40">
        <f t="shared" ca="1" si="131"/>
        <v>997810.52921785403</v>
      </c>
      <c r="AW23" s="40">
        <f t="shared" ca="1" si="131"/>
        <v>1396934.7409049957</v>
      </c>
      <c r="AX23" s="40">
        <f t="shared" ca="1" si="131"/>
        <v>1955708.6372669938</v>
      </c>
      <c r="AY23" s="40">
        <f t="shared" ca="1" si="131"/>
        <v>2737992.0921737915</v>
      </c>
      <c r="AZ23" s="40">
        <f t="shared" ca="1" si="131"/>
        <v>3333380.1540805963</v>
      </c>
      <c r="BA23" s="40">
        <f t="shared" ca="1" si="131"/>
        <v>3333380.1540805963</v>
      </c>
      <c r="BB23" s="40">
        <f t="shared" ca="1" si="131"/>
        <v>3333380.1540805963</v>
      </c>
      <c r="BC23" s="40">
        <f t="shared" ca="1" si="131"/>
        <v>3333380.1540805963</v>
      </c>
      <c r="BD23" s="40">
        <f t="shared" ca="1" si="131"/>
        <v>3333380.1540805963</v>
      </c>
      <c r="BE23" s="40">
        <f t="shared" ca="1" si="131"/>
        <v>3333380.1540805963</v>
      </c>
      <c r="BF23" s="40">
        <f t="shared" ca="1" si="131"/>
        <v>3333380.1540805963</v>
      </c>
      <c r="BG23" s="40">
        <f t="shared" ca="1" si="131"/>
        <v>3333380.1540805963</v>
      </c>
      <c r="BH23" s="40">
        <f t="shared" ca="1" si="131"/>
        <v>3333380.1540805963</v>
      </c>
      <c r="BI23" s="40">
        <f t="shared" ca="1" si="131"/>
        <v>3333380.1540805963</v>
      </c>
      <c r="BJ23" s="40">
        <f t="shared" ca="1" si="131"/>
        <v>3333380.1540805963</v>
      </c>
      <c r="BK23" s="40">
        <f t="shared" ca="1" si="131"/>
        <v>3333380.1540805963</v>
      </c>
      <c r="BL23" s="40">
        <f t="shared" ca="1" si="131"/>
        <v>3333380.1540805963</v>
      </c>
      <c r="BM23" s="40">
        <f t="shared" ca="1" si="131"/>
        <v>3333380.1540805963</v>
      </c>
      <c r="BN23" s="40">
        <f t="shared" ca="1" si="131"/>
        <v>3333380.1540805963</v>
      </c>
      <c r="BO23" s="40">
        <f t="shared" ca="1" si="131"/>
        <v>3333380.1540805963</v>
      </c>
      <c r="BP23" s="40">
        <f t="shared" ca="1" si="131"/>
        <v>3333380.1540805963</v>
      </c>
      <c r="BQ23" s="40">
        <f t="shared" ca="1" si="131"/>
        <v>3333380.1540805963</v>
      </c>
      <c r="BR23" s="40">
        <f t="shared" ca="1" si="131"/>
        <v>3333380.1540805963</v>
      </c>
      <c r="BS23" s="40">
        <f t="shared" ca="1" si="131"/>
        <v>3333380.1540805963</v>
      </c>
      <c r="BT23" s="40">
        <f t="shared" ca="1" si="127"/>
        <v>3333380.1540805963</v>
      </c>
      <c r="BU23" s="40">
        <f t="shared" ca="1" si="127"/>
        <v>3333380.1540805963</v>
      </c>
      <c r="BV23" s="40">
        <f t="shared" ca="1" si="127"/>
        <v>3333380.1540805963</v>
      </c>
      <c r="BW23" s="40">
        <f t="shared" ca="1" si="127"/>
        <v>3333380.1540805963</v>
      </c>
      <c r="BX23" s="40">
        <f t="shared" ca="1" si="127"/>
        <v>3333380.1540805963</v>
      </c>
      <c r="BY23" s="40">
        <f t="shared" ca="1" si="127"/>
        <v>3333380.1540805963</v>
      </c>
      <c r="BZ23" s="40">
        <f t="shared" ca="1" si="127"/>
        <v>3333380.1540805963</v>
      </c>
      <c r="CA23" s="40">
        <f t="shared" ca="1" si="127"/>
        <v>3333380.1540805963</v>
      </c>
      <c r="CB23" s="40">
        <f t="shared" ca="1" si="127"/>
        <v>3333380.1540805963</v>
      </c>
      <c r="CC23" s="40">
        <f t="shared" ca="1" si="127"/>
        <v>3333380.1540805963</v>
      </c>
      <c r="CD23" s="40">
        <f t="shared" ca="1" si="127"/>
        <v>3333380.1540805963</v>
      </c>
      <c r="CE23" s="40">
        <f t="shared" ca="1" si="127"/>
        <v>3333380.1540805963</v>
      </c>
      <c r="CF23" s="40">
        <f t="shared" ca="1" si="127"/>
        <v>3333380.1540805963</v>
      </c>
      <c r="CG23" s="40">
        <f t="shared" ca="1" si="127"/>
        <v>3333380.1540805963</v>
      </c>
      <c r="CH23" s="40">
        <f t="shared" ca="1" si="127"/>
        <v>3333380.1540805963</v>
      </c>
      <c r="CI23" s="40">
        <f t="shared" ca="1" si="127"/>
        <v>3333380.1540805963</v>
      </c>
      <c r="CJ23" s="40">
        <f t="shared" ca="1" si="127"/>
        <v>3333380.1540805963</v>
      </c>
      <c r="CK23" s="40">
        <f t="shared" ca="1" si="127"/>
        <v>3333380.1540805963</v>
      </c>
      <c r="CL23" s="40">
        <f t="shared" ca="1" si="127"/>
        <v>3333380.1540805963</v>
      </c>
      <c r="CM23" s="40">
        <f t="shared" ca="1" si="127"/>
        <v>3333380.1540805963</v>
      </c>
      <c r="CN23" s="40">
        <f t="shared" ca="1" si="127"/>
        <v>3333380.1540805963</v>
      </c>
      <c r="CO23" s="40">
        <f t="shared" ca="1" si="127"/>
        <v>3333380.1540805963</v>
      </c>
      <c r="CP23" s="40">
        <f t="shared" ca="1" si="127"/>
        <v>3333380.1540805963</v>
      </c>
      <c r="CQ23" s="40">
        <f t="shared" ca="1" si="127"/>
        <v>3333380.1540805963</v>
      </c>
      <c r="CR23" s="40">
        <f t="shared" ca="1" si="127"/>
        <v>3333380.1540805963</v>
      </c>
      <c r="CS23" s="40">
        <f t="shared" ca="1" si="127"/>
        <v>3333380.1540805963</v>
      </c>
      <c r="CT23" s="40">
        <f t="shared" ca="1" si="127"/>
        <v>3333380.1540805963</v>
      </c>
      <c r="CU23" s="40">
        <f t="shared" ca="1" si="127"/>
        <v>3333380.1540805963</v>
      </c>
      <c r="CV23" s="40">
        <f t="shared" ca="1" si="127"/>
        <v>3333380.1540805963</v>
      </c>
      <c r="CW23" s="40">
        <f t="shared" ca="1" si="127"/>
        <v>3333380.1540805963</v>
      </c>
      <c r="CX23" s="40">
        <f t="shared" ca="1" si="127"/>
        <v>3333380.1540805963</v>
      </c>
      <c r="CY23" s="40">
        <f t="shared" ca="1" si="127"/>
        <v>3333380.1540805963</v>
      </c>
      <c r="CZ23" s="40">
        <f t="shared" ca="1" si="127"/>
        <v>3333380.1540805963</v>
      </c>
      <c r="DA23" s="40">
        <f t="shared" ca="1" si="127"/>
        <v>3333380.1540805963</v>
      </c>
      <c r="DB23" s="40">
        <f t="shared" ca="1" si="127"/>
        <v>3333380.1540805963</v>
      </c>
      <c r="DC23" s="40">
        <f t="shared" ca="1" si="127"/>
        <v>3333380.1540805963</v>
      </c>
      <c r="DD23" s="40">
        <f t="shared" ca="1" si="127"/>
        <v>3333380.1540805963</v>
      </c>
      <c r="DE23" s="40">
        <f t="shared" ca="1" si="127"/>
        <v>3333380.1540805963</v>
      </c>
      <c r="DF23" s="40">
        <f t="shared" ca="1" si="127"/>
        <v>3333380.1540805963</v>
      </c>
      <c r="DG23" s="40">
        <f t="shared" ca="1" si="127"/>
        <v>3333380.1540805963</v>
      </c>
      <c r="DH23" s="40">
        <f t="shared" ca="1" si="127"/>
        <v>3333380.1540805963</v>
      </c>
      <c r="DI23" s="40">
        <f t="shared" ca="1" si="127"/>
        <v>3333380.1540805963</v>
      </c>
      <c r="DJ23" s="40">
        <f t="shared" ca="1" si="127"/>
        <v>3333380.1540805963</v>
      </c>
      <c r="DK23" s="40">
        <f t="shared" ca="1" si="127"/>
        <v>3333380.1540805963</v>
      </c>
      <c r="DL23" s="40">
        <f t="shared" ca="1" si="127"/>
        <v>3333380.1540805963</v>
      </c>
      <c r="DM23" s="40">
        <f t="shared" ca="1" si="127"/>
        <v>3333380.1540805963</v>
      </c>
      <c r="DN23" s="40">
        <f t="shared" ca="1" si="127"/>
        <v>3333380.1540805963</v>
      </c>
      <c r="DO23" s="40">
        <f t="shared" ca="1" si="127"/>
        <v>3333380.1540805963</v>
      </c>
      <c r="DP23" s="40">
        <f t="shared" ca="1" si="127"/>
        <v>3333380.1540805963</v>
      </c>
      <c r="DQ23" s="40">
        <f t="shared" ca="1" si="127"/>
        <v>3333380.1540805963</v>
      </c>
      <c r="DR23" s="40">
        <f t="shared" ca="1" si="127"/>
        <v>3333380.1540805963</v>
      </c>
      <c r="DS23" s="40">
        <f t="shared" ca="1" si="127"/>
        <v>3333380.1540805963</v>
      </c>
      <c r="DT23" s="40">
        <f t="shared" ca="1" si="127"/>
        <v>3333380.1540805963</v>
      </c>
      <c r="DU23" s="40">
        <f t="shared" ca="1" si="127"/>
        <v>3333380.1540805963</v>
      </c>
      <c r="DV23" s="40">
        <f t="shared" ca="1" si="127"/>
        <v>3333380.1540805963</v>
      </c>
      <c r="DW23" s="40">
        <f t="shared" ca="1" si="127"/>
        <v>3333380.1540805963</v>
      </c>
      <c r="DX23" s="40">
        <f t="shared" ca="1" si="127"/>
        <v>3333380.1540805963</v>
      </c>
      <c r="DY23" s="40">
        <f t="shared" ca="1" si="127"/>
        <v>3333380.1540805963</v>
      </c>
      <c r="DZ23" s="40">
        <f t="shared" ca="1" si="127"/>
        <v>3333380.1540805963</v>
      </c>
      <c r="EA23" s="40">
        <f t="shared" ca="1" si="127"/>
        <v>3333380.1540805963</v>
      </c>
      <c r="EB23" s="40">
        <f t="shared" ca="1" si="127"/>
        <v>3333380.1540805963</v>
      </c>
      <c r="EC23" s="40">
        <f t="shared" ca="1" si="127"/>
        <v>3333380.1540805963</v>
      </c>
      <c r="ED23" s="40">
        <f t="shared" ca="1" si="127"/>
        <v>3333380.1540805963</v>
      </c>
      <c r="EE23" s="40">
        <f t="shared" ca="1" si="127"/>
        <v>3333380.1540805963</v>
      </c>
      <c r="EF23" s="40">
        <f t="shared" ca="1" si="128"/>
        <v>3333380.1540805963</v>
      </c>
      <c r="EG23" s="40">
        <f t="shared" ca="1" si="128"/>
        <v>3333380.1540805963</v>
      </c>
      <c r="EH23" s="40">
        <f t="shared" ca="1" si="128"/>
        <v>3333380.1540805963</v>
      </c>
      <c r="EI23" s="40">
        <f t="shared" ca="1" si="128"/>
        <v>3333380.1540805963</v>
      </c>
      <c r="EJ23" s="40">
        <f t="shared" ca="1" si="128"/>
        <v>3333380.1540805963</v>
      </c>
      <c r="EK23" s="40">
        <f t="shared" ca="1" si="128"/>
        <v>3333380.1540805963</v>
      </c>
      <c r="EL23" s="40">
        <f t="shared" ca="1" si="128"/>
        <v>3333380.1540805963</v>
      </c>
      <c r="EM23" s="40">
        <f t="shared" ca="1" si="128"/>
        <v>3333380.1540805963</v>
      </c>
      <c r="EN23" s="40">
        <f t="shared" ca="1" si="128"/>
        <v>3333380.1540805963</v>
      </c>
      <c r="EO23" s="40">
        <f t="shared" ca="1" si="128"/>
        <v>3333380.1540805963</v>
      </c>
      <c r="EP23" s="40">
        <f t="shared" ca="1" si="128"/>
        <v>3333380.1540805963</v>
      </c>
      <c r="EQ23" s="40">
        <f t="shared" ca="1" si="128"/>
        <v>3333380.1540805963</v>
      </c>
      <c r="ER23" s="40">
        <f t="shared" ca="1" si="128"/>
        <v>3333380.1540805963</v>
      </c>
      <c r="ES23" s="40">
        <f t="shared" ca="1" si="128"/>
        <v>3333380.1540805963</v>
      </c>
      <c r="ET23" s="40">
        <f t="shared" ca="1" si="128"/>
        <v>3333380.1540805963</v>
      </c>
      <c r="EU23" s="40">
        <f t="shared" ca="1" si="128"/>
        <v>3333380.1540805963</v>
      </c>
      <c r="EV23" s="40">
        <f t="shared" ca="1" si="128"/>
        <v>3333380.1540805963</v>
      </c>
      <c r="EW23" s="40">
        <f t="shared" ca="1" si="128"/>
        <v>3333380.1540805963</v>
      </c>
      <c r="EX23" s="40">
        <f t="shared" ca="1" si="128"/>
        <v>3333380.1540805963</v>
      </c>
      <c r="EY23" s="40">
        <f t="shared" ca="1" si="128"/>
        <v>3333380.1540805963</v>
      </c>
      <c r="EZ23" s="40">
        <f t="shared" ca="1" si="128"/>
        <v>3333380.1540805963</v>
      </c>
      <c r="FA23" s="40">
        <f t="shared" ca="1" si="128"/>
        <v>3333380.1540805963</v>
      </c>
      <c r="FB23" s="40">
        <f t="shared" ca="1" si="128"/>
        <v>3333380.1540805963</v>
      </c>
      <c r="FC23" s="40">
        <f t="shared" ca="1" si="128"/>
        <v>3333380.1540805963</v>
      </c>
      <c r="FD23" s="40">
        <f t="shared" ca="1" si="128"/>
        <v>3333380.1540805963</v>
      </c>
      <c r="FE23" s="40">
        <f t="shared" ca="1" si="128"/>
        <v>3333380.1540805963</v>
      </c>
      <c r="FF23" s="40">
        <f t="shared" ca="1" si="128"/>
        <v>3333380.1540805963</v>
      </c>
      <c r="FG23" s="40">
        <f t="shared" ca="1" si="128"/>
        <v>3333380.1540805963</v>
      </c>
      <c r="FH23" s="40">
        <f t="shared" ca="1" si="128"/>
        <v>3333380.1540805963</v>
      </c>
      <c r="FI23" s="40">
        <f t="shared" ca="1" si="128"/>
        <v>3333380.1540805963</v>
      </c>
      <c r="FJ23" s="40">
        <f t="shared" ca="1" si="128"/>
        <v>3333380.1540805963</v>
      </c>
      <c r="FK23" s="40">
        <f t="shared" ca="1" si="128"/>
        <v>3333380.1540805963</v>
      </c>
      <c r="FL23" s="40">
        <f t="shared" ca="1" si="128"/>
        <v>3333380.1540805963</v>
      </c>
      <c r="FM23" s="40">
        <f t="shared" ca="1" si="128"/>
        <v>3333380.1540805963</v>
      </c>
      <c r="FN23" s="40">
        <f t="shared" ca="1" si="128"/>
        <v>3333380.1540805963</v>
      </c>
      <c r="FO23" s="40">
        <f t="shared" ca="1" si="128"/>
        <v>3333380.1540805963</v>
      </c>
      <c r="FP23" s="40">
        <f t="shared" ca="1" si="128"/>
        <v>3333380.1540805963</v>
      </c>
      <c r="FQ23" s="40">
        <f t="shared" ca="1" si="128"/>
        <v>3333380.1540805963</v>
      </c>
      <c r="FR23" s="40">
        <f t="shared" ca="1" si="128"/>
        <v>3333380.1540805963</v>
      </c>
      <c r="FS23" s="40">
        <f t="shared" ca="1" si="128"/>
        <v>3333380.1540805963</v>
      </c>
      <c r="FT23" s="40">
        <f t="shared" ca="1" si="128"/>
        <v>3333380.1540805963</v>
      </c>
      <c r="FU23" s="40">
        <f t="shared" ca="1" si="128"/>
        <v>3333380.1540805963</v>
      </c>
      <c r="FV23" s="40">
        <f t="shared" ca="1" si="128"/>
        <v>3333380.1540805963</v>
      </c>
      <c r="FW23" s="40">
        <f t="shared" ca="1" si="128"/>
        <v>3333380.1540805963</v>
      </c>
      <c r="FX23" s="40">
        <f t="shared" ca="1" si="128"/>
        <v>3333380.1540805963</v>
      </c>
      <c r="FY23" s="40">
        <f t="shared" ca="1" si="128"/>
        <v>3333380.1540805963</v>
      </c>
      <c r="FZ23" s="40">
        <f t="shared" ca="1" si="128"/>
        <v>3333380.1540805963</v>
      </c>
      <c r="GA23" s="40">
        <f t="shared" ca="1" si="128"/>
        <v>3333380.1540805963</v>
      </c>
      <c r="GB23" s="40">
        <f t="shared" ca="1" si="128"/>
        <v>3333380.1540805963</v>
      </c>
      <c r="GC23" s="40">
        <f t="shared" ca="1" si="128"/>
        <v>3333380.1540805963</v>
      </c>
      <c r="GD23" s="40">
        <f t="shared" ca="1" si="128"/>
        <v>3333380.1540805963</v>
      </c>
      <c r="GE23" s="40">
        <f t="shared" ca="1" si="128"/>
        <v>3333380.1540805963</v>
      </c>
      <c r="GF23" s="40">
        <f t="shared" ca="1" si="128"/>
        <v>3333380.1540805963</v>
      </c>
      <c r="GG23" s="40">
        <f t="shared" ca="1" si="128"/>
        <v>3333380.1540805963</v>
      </c>
      <c r="GH23" s="40">
        <f t="shared" ca="1" si="128"/>
        <v>3333380.1540805963</v>
      </c>
      <c r="GI23" s="40">
        <f t="shared" ca="1" si="128"/>
        <v>3333380.1540805963</v>
      </c>
      <c r="GJ23" s="40">
        <f t="shared" ca="1" si="128"/>
        <v>3333380.1540805963</v>
      </c>
      <c r="GK23" s="40">
        <f t="shared" ca="1" si="128"/>
        <v>3333380.1540805963</v>
      </c>
      <c r="GL23" s="40">
        <f t="shared" ca="1" si="128"/>
        <v>3333380.1540805963</v>
      </c>
      <c r="GM23" s="40">
        <f t="shared" ca="1" si="128"/>
        <v>3333380.1540805963</v>
      </c>
      <c r="GN23" s="40">
        <f t="shared" ca="1" si="128"/>
        <v>3333380.1540805963</v>
      </c>
      <c r="GO23" s="40">
        <f t="shared" ca="1" si="128"/>
        <v>3333380.1540805963</v>
      </c>
      <c r="GP23" s="40">
        <f t="shared" ca="1" si="128"/>
        <v>3333380.1540805963</v>
      </c>
      <c r="GQ23" s="40">
        <f t="shared" ca="1" si="128"/>
        <v>3333380.1540805963</v>
      </c>
      <c r="GR23" s="40">
        <f t="shared" ca="1" si="129"/>
        <v>3333380.1540805963</v>
      </c>
      <c r="GS23" s="40">
        <f t="shared" ca="1" si="129"/>
        <v>3333380.1540805963</v>
      </c>
      <c r="GT23" s="40">
        <f t="shared" ca="1" si="129"/>
        <v>3333380.1540805963</v>
      </c>
      <c r="GU23" s="40">
        <f t="shared" ca="1" si="129"/>
        <v>3333380.1540805963</v>
      </c>
      <c r="GV23" s="40">
        <f t="shared" ca="1" si="129"/>
        <v>3333380.1540805963</v>
      </c>
      <c r="GW23" s="40">
        <f t="shared" ca="1" si="129"/>
        <v>3333380.1540805963</v>
      </c>
      <c r="GX23" s="40">
        <f t="shared" ca="1" si="129"/>
        <v>3333380.1540805963</v>
      </c>
      <c r="GY23" s="40">
        <f t="shared" ca="1" si="129"/>
        <v>3333380.1540805963</v>
      </c>
      <c r="GZ23" s="40">
        <f t="shared" ca="1" si="129"/>
        <v>3333380.1540805963</v>
      </c>
      <c r="HA23" s="40">
        <f t="shared" ca="1" si="129"/>
        <v>3333380.1540805963</v>
      </c>
      <c r="HB23" s="40">
        <f t="shared" ca="1" si="129"/>
        <v>3333380.1540805963</v>
      </c>
      <c r="HC23" s="40">
        <f t="shared" ca="1" si="129"/>
        <v>3333380.1540805963</v>
      </c>
      <c r="HD23" s="40">
        <f t="shared" ca="1" si="129"/>
        <v>3333380.1540805963</v>
      </c>
      <c r="HE23" s="40">
        <f t="shared" ca="1" si="129"/>
        <v>3333380.1540805963</v>
      </c>
      <c r="HF23" s="40">
        <f t="shared" ca="1" si="129"/>
        <v>3333380.1540805963</v>
      </c>
      <c r="HG23" s="40">
        <f t="shared" ca="1" si="129"/>
        <v>3333380.1540805963</v>
      </c>
      <c r="HH23" s="40">
        <f t="shared" ca="1" si="129"/>
        <v>3333380.1540805963</v>
      </c>
      <c r="HI23" s="40">
        <f t="shared" ca="1" si="129"/>
        <v>3333380.1540805963</v>
      </c>
      <c r="HJ23" s="40">
        <f t="shared" ca="1" si="129"/>
        <v>3333380.1540805963</v>
      </c>
      <c r="HK23" s="40">
        <f t="shared" ca="1" si="129"/>
        <v>3333380.1540805963</v>
      </c>
      <c r="HL23" s="40">
        <f t="shared" ca="1" si="129"/>
        <v>3333380.1540805963</v>
      </c>
      <c r="HM23" s="40">
        <f t="shared" ca="1" si="129"/>
        <v>3333380.1540805963</v>
      </c>
      <c r="HN23" s="40">
        <f t="shared" ca="1" si="129"/>
        <v>3333380.1540805963</v>
      </c>
      <c r="HO23" s="40">
        <f t="shared" ca="1" si="129"/>
        <v>3333380.1540805963</v>
      </c>
      <c r="HP23" s="40">
        <f t="shared" ca="1" si="129"/>
        <v>3333380.1540805963</v>
      </c>
      <c r="HQ23" s="40">
        <f t="shared" ca="1" si="129"/>
        <v>3333380.1540805963</v>
      </c>
      <c r="HR23" s="40">
        <f t="shared" ca="1" si="129"/>
        <v>3333380.1540805963</v>
      </c>
      <c r="HS23" s="40">
        <f t="shared" ca="1" si="129"/>
        <v>3333380.1540805963</v>
      </c>
      <c r="HT23" s="40">
        <f t="shared" ca="1" si="129"/>
        <v>3333380.1540805963</v>
      </c>
      <c r="HU23" s="40">
        <f t="shared" ca="1" si="129"/>
        <v>3333380.1540805963</v>
      </c>
      <c r="HV23" s="40">
        <f t="shared" ca="1" si="129"/>
        <v>3333380.1540805963</v>
      </c>
      <c r="HW23" s="40">
        <f t="shared" ca="1" si="129"/>
        <v>3333380.1540805963</v>
      </c>
      <c r="HX23" s="40">
        <f t="shared" ca="1" si="129"/>
        <v>3333380.1540805963</v>
      </c>
      <c r="HY23" s="40">
        <f t="shared" ca="1" si="129"/>
        <v>3333380.1540805963</v>
      </c>
      <c r="HZ23" s="40">
        <f t="shared" ca="1" si="129"/>
        <v>3333380.1540805963</v>
      </c>
      <c r="IA23" s="40">
        <f t="shared" ca="1" si="129"/>
        <v>3333380.1540805963</v>
      </c>
      <c r="IB23" s="40">
        <f t="shared" ca="1" si="129"/>
        <v>3333380.1540805963</v>
      </c>
      <c r="IC23" s="40">
        <f t="shared" ca="1" si="129"/>
        <v>3333380.1540805963</v>
      </c>
      <c r="ID23" s="40">
        <f t="shared" ca="1" si="129"/>
        <v>3333380.1540805963</v>
      </c>
      <c r="IE23" s="40">
        <f t="shared" ca="1" si="129"/>
        <v>3333380.1540805963</v>
      </c>
      <c r="IF23" s="40">
        <f t="shared" ca="1" si="129"/>
        <v>3333380.1540805963</v>
      </c>
      <c r="IG23" s="40">
        <f t="shared" ca="1" si="129"/>
        <v>3333380.1540805963</v>
      </c>
      <c r="IH23" s="40">
        <f t="shared" ca="1" si="129"/>
        <v>3333380.1540805963</v>
      </c>
      <c r="II23" s="40">
        <f t="shared" ca="1" si="129"/>
        <v>3333380.1540805963</v>
      </c>
      <c r="IJ23" s="40">
        <f t="shared" ca="1" si="129"/>
        <v>3333380.1540805963</v>
      </c>
      <c r="IK23" s="40">
        <f t="shared" ca="1" si="129"/>
        <v>3333380.1540805963</v>
      </c>
      <c r="IL23" s="40">
        <f t="shared" ca="1" si="129"/>
        <v>3333380.1540805963</v>
      </c>
      <c r="IM23" s="40">
        <f t="shared" ca="1" si="129"/>
        <v>3333380.1540805963</v>
      </c>
      <c r="IN23" s="40">
        <f t="shared" ca="1" si="129"/>
        <v>3333380.1540805963</v>
      </c>
    </row>
    <row r="24" spans="2:248" x14ac:dyDescent="0.3">
      <c r="B24" s="19" t="s">
        <v>499</v>
      </c>
      <c r="C24" s="54">
        <f>IF(VLOOKUP(B2,Country_Data!C:H,6,FALSE)="","Not initiated",VLOOKUP(B2,Country_Data!C:H,6,FALSE))</f>
        <v>43910</v>
      </c>
    </row>
    <row r="25" spans="2:248" x14ac:dyDescent="0.3">
      <c r="F25" s="19" t="s">
        <v>474</v>
      </c>
      <c r="G25" s="27">
        <f t="shared" ref="G25:BR25" ca="1" si="132">IF(G3=TODAY(),1,-1000)</f>
        <v>-1000</v>
      </c>
      <c r="H25" s="27">
        <f t="shared" ca="1" si="132"/>
        <v>-1000</v>
      </c>
      <c r="I25" s="27">
        <f t="shared" ca="1" si="132"/>
        <v>-1000</v>
      </c>
      <c r="J25" s="27">
        <f t="shared" ca="1" si="132"/>
        <v>-1000</v>
      </c>
      <c r="K25" s="27">
        <f t="shared" ca="1" si="132"/>
        <v>-1000</v>
      </c>
      <c r="L25" s="27">
        <f t="shared" ca="1" si="132"/>
        <v>-1000</v>
      </c>
      <c r="M25" s="27">
        <f t="shared" ca="1" si="132"/>
        <v>-1000</v>
      </c>
      <c r="N25" s="27">
        <f t="shared" ca="1" si="132"/>
        <v>-1000</v>
      </c>
      <c r="O25" s="27">
        <f t="shared" ca="1" si="132"/>
        <v>-1000</v>
      </c>
      <c r="P25" s="27">
        <f t="shared" ca="1" si="132"/>
        <v>-1000</v>
      </c>
      <c r="Q25" s="27">
        <f t="shared" ca="1" si="132"/>
        <v>-1000</v>
      </c>
      <c r="R25" s="27">
        <f t="shared" ca="1" si="132"/>
        <v>-1000</v>
      </c>
      <c r="S25" s="27">
        <f t="shared" ca="1" si="132"/>
        <v>-1000</v>
      </c>
      <c r="T25" s="27">
        <f t="shared" ca="1" si="132"/>
        <v>-1000</v>
      </c>
      <c r="U25" s="27">
        <f t="shared" ca="1" si="132"/>
        <v>-1000</v>
      </c>
      <c r="V25" s="27">
        <f t="shared" ca="1" si="132"/>
        <v>-1000</v>
      </c>
      <c r="W25" s="27">
        <f t="shared" ca="1" si="132"/>
        <v>-1000</v>
      </c>
      <c r="X25" s="27">
        <f t="shared" ca="1" si="132"/>
        <v>-1000</v>
      </c>
      <c r="Y25" s="27">
        <f t="shared" ca="1" si="132"/>
        <v>-1000</v>
      </c>
      <c r="Z25" s="27">
        <f t="shared" ca="1" si="132"/>
        <v>-1000</v>
      </c>
      <c r="AA25" s="27">
        <f t="shared" ca="1" si="132"/>
        <v>-1000</v>
      </c>
      <c r="AB25" s="27">
        <f t="shared" ca="1" si="132"/>
        <v>-1000</v>
      </c>
      <c r="AC25" s="27">
        <f t="shared" ca="1" si="132"/>
        <v>1</v>
      </c>
      <c r="AD25" s="27">
        <f t="shared" ca="1" si="132"/>
        <v>-1000</v>
      </c>
      <c r="AE25" s="27">
        <f t="shared" ca="1" si="132"/>
        <v>-1000</v>
      </c>
      <c r="AF25" s="27">
        <f t="shared" ca="1" si="132"/>
        <v>-1000</v>
      </c>
      <c r="AG25" s="27">
        <f t="shared" ca="1" si="132"/>
        <v>-1000</v>
      </c>
      <c r="AH25" s="27">
        <f t="shared" ca="1" si="132"/>
        <v>-1000</v>
      </c>
      <c r="AI25" s="27">
        <f t="shared" ca="1" si="132"/>
        <v>-1000</v>
      </c>
      <c r="AJ25" s="27">
        <f t="shared" ca="1" si="132"/>
        <v>-1000</v>
      </c>
      <c r="AK25" s="27">
        <f t="shared" ca="1" si="132"/>
        <v>-1000</v>
      </c>
      <c r="AL25" s="27">
        <f t="shared" ca="1" si="132"/>
        <v>-1000</v>
      </c>
      <c r="AM25" s="27">
        <f t="shared" ca="1" si="132"/>
        <v>-1000</v>
      </c>
      <c r="AN25" s="27">
        <f t="shared" ca="1" si="132"/>
        <v>-1000</v>
      </c>
      <c r="AO25" s="27">
        <f t="shared" ca="1" si="132"/>
        <v>-1000</v>
      </c>
      <c r="AP25" s="27">
        <f t="shared" ca="1" si="132"/>
        <v>-1000</v>
      </c>
      <c r="AQ25" s="27">
        <f t="shared" ca="1" si="132"/>
        <v>-1000</v>
      </c>
      <c r="AR25" s="27">
        <f t="shared" ca="1" si="132"/>
        <v>-1000</v>
      </c>
      <c r="AS25" s="27">
        <f t="shared" ca="1" si="132"/>
        <v>-1000</v>
      </c>
      <c r="AT25" s="27">
        <f t="shared" ca="1" si="132"/>
        <v>-1000</v>
      </c>
      <c r="AU25" s="27">
        <f t="shared" ca="1" si="132"/>
        <v>-1000</v>
      </c>
      <c r="AV25" s="27">
        <f t="shared" ca="1" si="132"/>
        <v>-1000</v>
      </c>
      <c r="AW25" s="27">
        <f t="shared" ca="1" si="132"/>
        <v>-1000</v>
      </c>
      <c r="AX25" s="27">
        <f t="shared" ca="1" si="132"/>
        <v>-1000</v>
      </c>
      <c r="AY25" s="27">
        <f t="shared" ca="1" si="132"/>
        <v>-1000</v>
      </c>
      <c r="AZ25" s="27">
        <f t="shared" ca="1" si="132"/>
        <v>-1000</v>
      </c>
      <c r="BA25" s="27">
        <f t="shared" ca="1" si="132"/>
        <v>-1000</v>
      </c>
      <c r="BB25" s="27">
        <f t="shared" ca="1" si="132"/>
        <v>-1000</v>
      </c>
      <c r="BC25" s="27">
        <f t="shared" ca="1" si="132"/>
        <v>-1000</v>
      </c>
      <c r="BD25" s="27">
        <f t="shared" ca="1" si="132"/>
        <v>-1000</v>
      </c>
      <c r="BE25" s="27">
        <f t="shared" ca="1" si="132"/>
        <v>-1000</v>
      </c>
      <c r="BF25" s="27">
        <f t="shared" ca="1" si="132"/>
        <v>-1000</v>
      </c>
      <c r="BG25" s="27">
        <f t="shared" ca="1" si="132"/>
        <v>-1000</v>
      </c>
      <c r="BH25" s="27">
        <f t="shared" ca="1" si="132"/>
        <v>-1000</v>
      </c>
      <c r="BI25" s="27">
        <f t="shared" ca="1" si="132"/>
        <v>-1000</v>
      </c>
      <c r="BJ25" s="27">
        <f t="shared" ca="1" si="132"/>
        <v>-1000</v>
      </c>
      <c r="BK25" s="27">
        <f t="shared" ca="1" si="132"/>
        <v>-1000</v>
      </c>
      <c r="BL25" s="27">
        <f t="shared" ca="1" si="132"/>
        <v>-1000</v>
      </c>
      <c r="BM25" s="27">
        <f t="shared" ca="1" si="132"/>
        <v>-1000</v>
      </c>
      <c r="BN25" s="27">
        <f t="shared" ca="1" si="132"/>
        <v>-1000</v>
      </c>
      <c r="BO25" s="27">
        <f t="shared" ca="1" si="132"/>
        <v>-1000</v>
      </c>
      <c r="BP25" s="27">
        <f t="shared" ca="1" si="132"/>
        <v>-1000</v>
      </c>
      <c r="BQ25" s="27">
        <f t="shared" ca="1" si="132"/>
        <v>-1000</v>
      </c>
      <c r="BR25" s="27">
        <f t="shared" ca="1" si="132"/>
        <v>-1000</v>
      </c>
      <c r="BS25" s="27">
        <f t="shared" ref="BS25:ED25" ca="1" si="133">IF(BS3=TODAY(),1,-1000)</f>
        <v>-1000</v>
      </c>
      <c r="BT25" s="27">
        <f t="shared" ca="1" si="133"/>
        <v>-1000</v>
      </c>
      <c r="BU25" s="27">
        <f t="shared" ca="1" si="133"/>
        <v>-1000</v>
      </c>
      <c r="BV25" s="27">
        <f t="shared" ca="1" si="133"/>
        <v>-1000</v>
      </c>
      <c r="BW25" s="27">
        <f t="shared" ca="1" si="133"/>
        <v>-1000</v>
      </c>
      <c r="BX25" s="27">
        <f t="shared" ca="1" si="133"/>
        <v>-1000</v>
      </c>
      <c r="BY25" s="27">
        <f t="shared" ca="1" si="133"/>
        <v>-1000</v>
      </c>
      <c r="BZ25" s="27">
        <f t="shared" ca="1" si="133"/>
        <v>-1000</v>
      </c>
      <c r="CA25" s="27">
        <f t="shared" ca="1" si="133"/>
        <v>-1000</v>
      </c>
      <c r="CB25" s="27">
        <f t="shared" ca="1" si="133"/>
        <v>-1000</v>
      </c>
      <c r="CC25" s="27">
        <f t="shared" ca="1" si="133"/>
        <v>-1000</v>
      </c>
      <c r="CD25" s="27">
        <f t="shared" ca="1" si="133"/>
        <v>-1000</v>
      </c>
      <c r="CE25" s="27">
        <f t="shared" ca="1" si="133"/>
        <v>-1000</v>
      </c>
      <c r="CF25" s="27">
        <f t="shared" ca="1" si="133"/>
        <v>-1000</v>
      </c>
      <c r="CG25" s="27">
        <f t="shared" ca="1" si="133"/>
        <v>-1000</v>
      </c>
      <c r="CH25" s="27">
        <f t="shared" ca="1" si="133"/>
        <v>-1000</v>
      </c>
      <c r="CI25" s="27">
        <f t="shared" ca="1" si="133"/>
        <v>-1000</v>
      </c>
      <c r="CJ25" s="27">
        <f t="shared" ca="1" si="133"/>
        <v>-1000</v>
      </c>
      <c r="CK25" s="27">
        <f t="shared" ca="1" si="133"/>
        <v>-1000</v>
      </c>
      <c r="CL25" s="27">
        <f t="shared" ca="1" si="133"/>
        <v>-1000</v>
      </c>
      <c r="CM25" s="27">
        <f t="shared" ca="1" si="133"/>
        <v>-1000</v>
      </c>
      <c r="CN25" s="27">
        <f t="shared" ca="1" si="133"/>
        <v>-1000</v>
      </c>
      <c r="CO25" s="27">
        <f t="shared" ca="1" si="133"/>
        <v>-1000</v>
      </c>
      <c r="CP25" s="27">
        <f t="shared" ca="1" si="133"/>
        <v>-1000</v>
      </c>
      <c r="CQ25" s="27">
        <f t="shared" ca="1" si="133"/>
        <v>-1000</v>
      </c>
      <c r="CR25" s="27">
        <f t="shared" ca="1" si="133"/>
        <v>-1000</v>
      </c>
      <c r="CS25" s="27">
        <f t="shared" ca="1" si="133"/>
        <v>-1000</v>
      </c>
      <c r="CT25" s="27">
        <f t="shared" ca="1" si="133"/>
        <v>-1000</v>
      </c>
      <c r="CU25" s="27">
        <f t="shared" ca="1" si="133"/>
        <v>-1000</v>
      </c>
      <c r="CV25" s="27">
        <f t="shared" ca="1" si="133"/>
        <v>-1000</v>
      </c>
      <c r="CW25" s="27">
        <f t="shared" ca="1" si="133"/>
        <v>-1000</v>
      </c>
      <c r="CX25" s="27">
        <f t="shared" ca="1" si="133"/>
        <v>-1000</v>
      </c>
      <c r="CY25" s="27">
        <f t="shared" ca="1" si="133"/>
        <v>-1000</v>
      </c>
      <c r="CZ25" s="27">
        <f t="shared" ca="1" si="133"/>
        <v>-1000</v>
      </c>
      <c r="DA25" s="27">
        <f t="shared" ca="1" si="133"/>
        <v>-1000</v>
      </c>
      <c r="DB25" s="27">
        <f t="shared" ca="1" si="133"/>
        <v>-1000</v>
      </c>
      <c r="DC25" s="27">
        <f t="shared" ca="1" si="133"/>
        <v>-1000</v>
      </c>
      <c r="DD25" s="27">
        <f t="shared" ca="1" si="133"/>
        <v>-1000</v>
      </c>
      <c r="DE25" s="27">
        <f t="shared" ca="1" si="133"/>
        <v>-1000</v>
      </c>
      <c r="DF25" s="27">
        <f t="shared" ca="1" si="133"/>
        <v>-1000</v>
      </c>
      <c r="DG25" s="27">
        <f t="shared" ca="1" si="133"/>
        <v>-1000</v>
      </c>
      <c r="DH25" s="27">
        <f t="shared" ca="1" si="133"/>
        <v>-1000</v>
      </c>
      <c r="DI25" s="27">
        <f t="shared" ca="1" si="133"/>
        <v>-1000</v>
      </c>
      <c r="DJ25" s="27">
        <f t="shared" ca="1" si="133"/>
        <v>-1000</v>
      </c>
      <c r="DK25" s="27">
        <f t="shared" ca="1" si="133"/>
        <v>-1000</v>
      </c>
      <c r="DL25" s="27">
        <f t="shared" ca="1" si="133"/>
        <v>-1000</v>
      </c>
      <c r="DM25" s="27">
        <f t="shared" ca="1" si="133"/>
        <v>-1000</v>
      </c>
      <c r="DN25" s="27">
        <f t="shared" ca="1" si="133"/>
        <v>-1000</v>
      </c>
      <c r="DO25" s="27">
        <f t="shared" ca="1" si="133"/>
        <v>-1000</v>
      </c>
      <c r="DP25" s="27">
        <f t="shared" ca="1" si="133"/>
        <v>-1000</v>
      </c>
      <c r="DQ25" s="27">
        <f t="shared" ca="1" si="133"/>
        <v>-1000</v>
      </c>
      <c r="DR25" s="27">
        <f t="shared" ca="1" si="133"/>
        <v>-1000</v>
      </c>
      <c r="DS25" s="27">
        <f t="shared" ca="1" si="133"/>
        <v>-1000</v>
      </c>
      <c r="DT25" s="27">
        <f t="shared" ca="1" si="133"/>
        <v>-1000</v>
      </c>
      <c r="DU25" s="27">
        <f t="shared" ca="1" si="133"/>
        <v>-1000</v>
      </c>
      <c r="DV25" s="27">
        <f t="shared" ca="1" si="133"/>
        <v>-1000</v>
      </c>
      <c r="DW25" s="27">
        <f t="shared" ca="1" si="133"/>
        <v>-1000</v>
      </c>
      <c r="DX25" s="27">
        <f t="shared" ca="1" si="133"/>
        <v>-1000</v>
      </c>
      <c r="DY25" s="27">
        <f t="shared" ca="1" si="133"/>
        <v>-1000</v>
      </c>
      <c r="DZ25" s="27">
        <f t="shared" ca="1" si="133"/>
        <v>-1000</v>
      </c>
      <c r="EA25" s="27">
        <f t="shared" ca="1" si="133"/>
        <v>-1000</v>
      </c>
      <c r="EB25" s="27">
        <f t="shared" ca="1" si="133"/>
        <v>-1000</v>
      </c>
      <c r="EC25" s="27">
        <f t="shared" ca="1" si="133"/>
        <v>-1000</v>
      </c>
      <c r="ED25" s="27">
        <f t="shared" ca="1" si="133"/>
        <v>-1000</v>
      </c>
      <c r="EE25" s="27">
        <f t="shared" ref="EE25:GP25" ca="1" si="134">IF(EE3=TODAY(),1,-1000)</f>
        <v>-1000</v>
      </c>
      <c r="EF25" s="27">
        <f t="shared" ca="1" si="134"/>
        <v>-1000</v>
      </c>
      <c r="EG25" s="27">
        <f t="shared" ca="1" si="134"/>
        <v>-1000</v>
      </c>
      <c r="EH25" s="27">
        <f t="shared" ca="1" si="134"/>
        <v>-1000</v>
      </c>
      <c r="EI25" s="27">
        <f t="shared" ca="1" si="134"/>
        <v>-1000</v>
      </c>
      <c r="EJ25" s="27">
        <f t="shared" ca="1" si="134"/>
        <v>-1000</v>
      </c>
      <c r="EK25" s="27">
        <f t="shared" ca="1" si="134"/>
        <v>-1000</v>
      </c>
      <c r="EL25" s="27">
        <f t="shared" ca="1" si="134"/>
        <v>-1000</v>
      </c>
      <c r="EM25" s="27">
        <f t="shared" ca="1" si="134"/>
        <v>-1000</v>
      </c>
      <c r="EN25" s="27">
        <f t="shared" ca="1" si="134"/>
        <v>-1000</v>
      </c>
      <c r="EO25" s="27">
        <f t="shared" ca="1" si="134"/>
        <v>-1000</v>
      </c>
      <c r="EP25" s="27">
        <f t="shared" ca="1" si="134"/>
        <v>-1000</v>
      </c>
      <c r="EQ25" s="27">
        <f t="shared" ca="1" si="134"/>
        <v>-1000</v>
      </c>
      <c r="ER25" s="27">
        <f t="shared" ca="1" si="134"/>
        <v>-1000</v>
      </c>
      <c r="ES25" s="27">
        <f t="shared" ca="1" si="134"/>
        <v>-1000</v>
      </c>
      <c r="ET25" s="27">
        <f t="shared" ca="1" si="134"/>
        <v>-1000</v>
      </c>
      <c r="EU25" s="27">
        <f t="shared" ca="1" si="134"/>
        <v>-1000</v>
      </c>
      <c r="EV25" s="27">
        <f t="shared" ca="1" si="134"/>
        <v>-1000</v>
      </c>
      <c r="EW25" s="27">
        <f t="shared" ca="1" si="134"/>
        <v>-1000</v>
      </c>
      <c r="EX25" s="27">
        <f t="shared" ca="1" si="134"/>
        <v>-1000</v>
      </c>
      <c r="EY25" s="27">
        <f t="shared" ca="1" si="134"/>
        <v>-1000</v>
      </c>
      <c r="EZ25" s="27">
        <f t="shared" ca="1" si="134"/>
        <v>-1000</v>
      </c>
      <c r="FA25" s="27">
        <f t="shared" ca="1" si="134"/>
        <v>-1000</v>
      </c>
      <c r="FB25" s="27">
        <f t="shared" ca="1" si="134"/>
        <v>-1000</v>
      </c>
      <c r="FC25" s="27">
        <f t="shared" ca="1" si="134"/>
        <v>-1000</v>
      </c>
      <c r="FD25" s="27">
        <f t="shared" ca="1" si="134"/>
        <v>-1000</v>
      </c>
      <c r="FE25" s="27">
        <f t="shared" ca="1" si="134"/>
        <v>-1000</v>
      </c>
      <c r="FF25" s="27">
        <f t="shared" ca="1" si="134"/>
        <v>-1000</v>
      </c>
      <c r="FG25" s="27">
        <f t="shared" ca="1" si="134"/>
        <v>-1000</v>
      </c>
      <c r="FH25" s="27">
        <f t="shared" ca="1" si="134"/>
        <v>-1000</v>
      </c>
      <c r="FI25" s="27">
        <f t="shared" ca="1" si="134"/>
        <v>-1000</v>
      </c>
      <c r="FJ25" s="27">
        <f t="shared" ca="1" si="134"/>
        <v>-1000</v>
      </c>
      <c r="FK25" s="27">
        <f t="shared" ca="1" si="134"/>
        <v>-1000</v>
      </c>
      <c r="FL25" s="27">
        <f t="shared" ca="1" si="134"/>
        <v>-1000</v>
      </c>
      <c r="FM25" s="27">
        <f t="shared" ca="1" si="134"/>
        <v>-1000</v>
      </c>
      <c r="FN25" s="27">
        <f t="shared" ca="1" si="134"/>
        <v>-1000</v>
      </c>
      <c r="FO25" s="27">
        <f t="shared" ca="1" si="134"/>
        <v>-1000</v>
      </c>
      <c r="FP25" s="27">
        <f t="shared" ca="1" si="134"/>
        <v>-1000</v>
      </c>
      <c r="FQ25" s="27">
        <f t="shared" ca="1" si="134"/>
        <v>-1000</v>
      </c>
      <c r="FR25" s="27">
        <f t="shared" ca="1" si="134"/>
        <v>-1000</v>
      </c>
      <c r="FS25" s="27">
        <f t="shared" ca="1" si="134"/>
        <v>-1000</v>
      </c>
      <c r="FT25" s="27">
        <f t="shared" ca="1" si="134"/>
        <v>-1000</v>
      </c>
      <c r="FU25" s="27">
        <f t="shared" ca="1" si="134"/>
        <v>-1000</v>
      </c>
      <c r="FV25" s="27">
        <f t="shared" ca="1" si="134"/>
        <v>-1000</v>
      </c>
      <c r="FW25" s="27">
        <f t="shared" ca="1" si="134"/>
        <v>-1000</v>
      </c>
      <c r="FX25" s="27">
        <f t="shared" ca="1" si="134"/>
        <v>-1000</v>
      </c>
      <c r="FY25" s="27">
        <f t="shared" ca="1" si="134"/>
        <v>-1000</v>
      </c>
      <c r="FZ25" s="27">
        <f t="shared" ca="1" si="134"/>
        <v>-1000</v>
      </c>
      <c r="GA25" s="27">
        <f t="shared" ca="1" si="134"/>
        <v>-1000</v>
      </c>
      <c r="GB25" s="27">
        <f t="shared" ca="1" si="134"/>
        <v>-1000</v>
      </c>
      <c r="GC25" s="27">
        <f t="shared" ca="1" si="134"/>
        <v>-1000</v>
      </c>
      <c r="GD25" s="27">
        <f t="shared" ca="1" si="134"/>
        <v>-1000</v>
      </c>
      <c r="GE25" s="27">
        <f t="shared" ca="1" si="134"/>
        <v>-1000</v>
      </c>
      <c r="GF25" s="27">
        <f t="shared" ca="1" si="134"/>
        <v>-1000</v>
      </c>
      <c r="GG25" s="27">
        <f t="shared" ca="1" si="134"/>
        <v>-1000</v>
      </c>
      <c r="GH25" s="27">
        <f t="shared" ca="1" si="134"/>
        <v>-1000</v>
      </c>
      <c r="GI25" s="27">
        <f t="shared" ca="1" si="134"/>
        <v>-1000</v>
      </c>
      <c r="GJ25" s="27">
        <f t="shared" ca="1" si="134"/>
        <v>-1000</v>
      </c>
      <c r="GK25" s="27">
        <f t="shared" ca="1" si="134"/>
        <v>-1000</v>
      </c>
      <c r="GL25" s="27">
        <f t="shared" ca="1" si="134"/>
        <v>-1000</v>
      </c>
      <c r="GM25" s="27">
        <f t="shared" ca="1" si="134"/>
        <v>-1000</v>
      </c>
      <c r="GN25" s="27">
        <f t="shared" ca="1" si="134"/>
        <v>-1000</v>
      </c>
      <c r="GO25" s="27">
        <f t="shared" ca="1" si="134"/>
        <v>-1000</v>
      </c>
      <c r="GP25" s="27">
        <f t="shared" ca="1" si="134"/>
        <v>-1000</v>
      </c>
      <c r="GQ25" s="27">
        <f t="shared" ref="GQ25:IN25" ca="1" si="135">IF(GQ3=TODAY(),1,-1000)</f>
        <v>-1000</v>
      </c>
      <c r="GR25" s="27">
        <f t="shared" ca="1" si="135"/>
        <v>-1000</v>
      </c>
      <c r="GS25" s="27">
        <f t="shared" ca="1" si="135"/>
        <v>-1000</v>
      </c>
      <c r="GT25" s="27">
        <f t="shared" ca="1" si="135"/>
        <v>-1000</v>
      </c>
      <c r="GU25" s="27">
        <f t="shared" ca="1" si="135"/>
        <v>-1000</v>
      </c>
      <c r="GV25" s="27">
        <f t="shared" ca="1" si="135"/>
        <v>-1000</v>
      </c>
      <c r="GW25" s="27">
        <f t="shared" ca="1" si="135"/>
        <v>-1000</v>
      </c>
      <c r="GX25" s="27">
        <f t="shared" ca="1" si="135"/>
        <v>-1000</v>
      </c>
      <c r="GY25" s="27">
        <f t="shared" ca="1" si="135"/>
        <v>-1000</v>
      </c>
      <c r="GZ25" s="27">
        <f t="shared" ca="1" si="135"/>
        <v>-1000</v>
      </c>
      <c r="HA25" s="27">
        <f t="shared" ca="1" si="135"/>
        <v>-1000</v>
      </c>
      <c r="HB25" s="27">
        <f t="shared" ca="1" si="135"/>
        <v>-1000</v>
      </c>
      <c r="HC25" s="27">
        <f t="shared" ca="1" si="135"/>
        <v>-1000</v>
      </c>
      <c r="HD25" s="27">
        <f t="shared" ca="1" si="135"/>
        <v>-1000</v>
      </c>
      <c r="HE25" s="27">
        <f t="shared" ca="1" si="135"/>
        <v>-1000</v>
      </c>
      <c r="HF25" s="27">
        <f t="shared" ca="1" si="135"/>
        <v>-1000</v>
      </c>
      <c r="HG25" s="27">
        <f t="shared" ca="1" si="135"/>
        <v>-1000</v>
      </c>
      <c r="HH25" s="27">
        <f t="shared" ca="1" si="135"/>
        <v>-1000</v>
      </c>
      <c r="HI25" s="27">
        <f t="shared" ca="1" si="135"/>
        <v>-1000</v>
      </c>
      <c r="HJ25" s="27">
        <f t="shared" ca="1" si="135"/>
        <v>-1000</v>
      </c>
      <c r="HK25" s="27">
        <f t="shared" ca="1" si="135"/>
        <v>-1000</v>
      </c>
      <c r="HL25" s="27">
        <f t="shared" ca="1" si="135"/>
        <v>-1000</v>
      </c>
      <c r="HM25" s="27">
        <f t="shared" ca="1" si="135"/>
        <v>-1000</v>
      </c>
      <c r="HN25" s="27">
        <f t="shared" ca="1" si="135"/>
        <v>-1000</v>
      </c>
      <c r="HO25" s="27">
        <f t="shared" ca="1" si="135"/>
        <v>-1000</v>
      </c>
      <c r="HP25" s="27">
        <f t="shared" ca="1" si="135"/>
        <v>-1000</v>
      </c>
      <c r="HQ25" s="27">
        <f t="shared" ca="1" si="135"/>
        <v>-1000</v>
      </c>
      <c r="HR25" s="27">
        <f t="shared" ca="1" si="135"/>
        <v>-1000</v>
      </c>
      <c r="HS25" s="27">
        <f t="shared" ca="1" si="135"/>
        <v>-1000</v>
      </c>
      <c r="HT25" s="27">
        <f t="shared" ca="1" si="135"/>
        <v>-1000</v>
      </c>
      <c r="HU25" s="27">
        <f t="shared" ca="1" si="135"/>
        <v>-1000</v>
      </c>
      <c r="HV25" s="27">
        <f t="shared" ca="1" si="135"/>
        <v>-1000</v>
      </c>
      <c r="HW25" s="27">
        <f t="shared" ca="1" si="135"/>
        <v>-1000</v>
      </c>
      <c r="HX25" s="27">
        <f t="shared" ca="1" si="135"/>
        <v>-1000</v>
      </c>
      <c r="HY25" s="27">
        <f t="shared" ca="1" si="135"/>
        <v>-1000</v>
      </c>
      <c r="HZ25" s="27">
        <f t="shared" ca="1" si="135"/>
        <v>-1000</v>
      </c>
      <c r="IA25" s="27">
        <f t="shared" ca="1" si="135"/>
        <v>-1000</v>
      </c>
      <c r="IB25" s="27">
        <f t="shared" ca="1" si="135"/>
        <v>-1000</v>
      </c>
      <c r="IC25" s="27">
        <f t="shared" ca="1" si="135"/>
        <v>-1000</v>
      </c>
      <c r="ID25" s="27">
        <f t="shared" ca="1" si="135"/>
        <v>-1000</v>
      </c>
      <c r="IE25" s="27">
        <f t="shared" ca="1" si="135"/>
        <v>-1000</v>
      </c>
      <c r="IF25" s="27">
        <f t="shared" ca="1" si="135"/>
        <v>-1000</v>
      </c>
      <c r="IG25" s="27">
        <f t="shared" ca="1" si="135"/>
        <v>-1000</v>
      </c>
      <c r="IH25" s="27">
        <f t="shared" ca="1" si="135"/>
        <v>-1000</v>
      </c>
      <c r="II25" s="27">
        <f t="shared" ca="1" si="135"/>
        <v>-1000</v>
      </c>
      <c r="IJ25" s="27">
        <f t="shared" ca="1" si="135"/>
        <v>-1000</v>
      </c>
      <c r="IK25" s="27">
        <f t="shared" ca="1" si="135"/>
        <v>-1000</v>
      </c>
      <c r="IL25" s="27">
        <f t="shared" ca="1" si="135"/>
        <v>-1000</v>
      </c>
      <c r="IM25" s="27">
        <f t="shared" ca="1" si="135"/>
        <v>-1000</v>
      </c>
      <c r="IN25" s="27">
        <f t="shared" ca="1" si="135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475</v>
      </c>
      <c r="G26" s="26">
        <f>IF(AND(G20&gt;G19,F20&lt;F19),1,0)</f>
        <v>0</v>
      </c>
      <c r="H26" s="26">
        <f t="shared" ref="H26:BS26" ca="1" si="136">IF(AND(H20&gt;H19,G20&lt;G19),1,0)</f>
        <v>0</v>
      </c>
      <c r="I26" s="26">
        <f t="shared" ca="1" si="136"/>
        <v>0</v>
      </c>
      <c r="J26" s="26">
        <f t="shared" ca="1" si="136"/>
        <v>0</v>
      </c>
      <c r="K26" s="26">
        <f t="shared" ca="1" si="136"/>
        <v>0</v>
      </c>
      <c r="L26" s="26">
        <f t="shared" ca="1" si="136"/>
        <v>0</v>
      </c>
      <c r="M26" s="26">
        <f t="shared" ca="1" si="136"/>
        <v>0</v>
      </c>
      <c r="N26" s="26">
        <f t="shared" ca="1" si="136"/>
        <v>0</v>
      </c>
      <c r="O26" s="26">
        <f t="shared" ca="1" si="136"/>
        <v>0</v>
      </c>
      <c r="P26" s="26">
        <f t="shared" ca="1" si="136"/>
        <v>0</v>
      </c>
      <c r="Q26" s="26">
        <f t="shared" ca="1" si="136"/>
        <v>0</v>
      </c>
      <c r="R26" s="26">
        <f t="shared" ca="1" si="136"/>
        <v>0</v>
      </c>
      <c r="S26" s="26">
        <f t="shared" ca="1" si="136"/>
        <v>0</v>
      </c>
      <c r="T26" s="26">
        <f t="shared" ca="1" si="136"/>
        <v>0</v>
      </c>
      <c r="U26" s="26">
        <f t="shared" ca="1" si="136"/>
        <v>0</v>
      </c>
      <c r="V26" s="26">
        <f t="shared" ca="1" si="136"/>
        <v>0</v>
      </c>
      <c r="W26" s="26">
        <f t="shared" ca="1" si="136"/>
        <v>0</v>
      </c>
      <c r="X26" s="26">
        <f t="shared" ca="1" si="136"/>
        <v>0</v>
      </c>
      <c r="Y26" s="26">
        <f t="shared" ca="1" si="136"/>
        <v>0</v>
      </c>
      <c r="Z26" s="26">
        <f t="shared" ca="1" si="136"/>
        <v>0</v>
      </c>
      <c r="AA26" s="26">
        <f t="shared" ca="1" si="136"/>
        <v>0</v>
      </c>
      <c r="AB26" s="26">
        <f t="shared" ca="1" si="136"/>
        <v>0</v>
      </c>
      <c r="AC26" s="26">
        <f t="shared" ca="1" si="136"/>
        <v>0</v>
      </c>
      <c r="AD26" s="26">
        <f t="shared" ca="1" si="136"/>
        <v>0</v>
      </c>
      <c r="AE26" s="26">
        <f t="shared" ca="1" si="136"/>
        <v>0</v>
      </c>
      <c r="AF26" s="26">
        <f t="shared" ca="1" si="136"/>
        <v>0</v>
      </c>
      <c r="AG26" s="26">
        <f t="shared" ca="1" si="136"/>
        <v>0</v>
      </c>
      <c r="AH26" s="26">
        <f t="shared" ca="1" si="136"/>
        <v>0</v>
      </c>
      <c r="AI26" s="26">
        <f t="shared" ca="1" si="136"/>
        <v>0</v>
      </c>
      <c r="AJ26" s="26">
        <f t="shared" ca="1" si="136"/>
        <v>0</v>
      </c>
      <c r="AK26" s="26">
        <f t="shared" ca="1" si="136"/>
        <v>1</v>
      </c>
      <c r="AL26" s="26">
        <f t="shared" ca="1" si="136"/>
        <v>0</v>
      </c>
      <c r="AM26" s="26">
        <f t="shared" ca="1" si="136"/>
        <v>0</v>
      </c>
      <c r="AN26" s="26">
        <f t="shared" ca="1" si="136"/>
        <v>0</v>
      </c>
      <c r="AO26" s="26">
        <f t="shared" ca="1" si="136"/>
        <v>0</v>
      </c>
      <c r="AP26" s="26">
        <f t="shared" ca="1" si="136"/>
        <v>0</v>
      </c>
      <c r="AQ26" s="26">
        <f t="shared" ca="1" si="136"/>
        <v>0</v>
      </c>
      <c r="AR26" s="26">
        <f t="shared" ca="1" si="136"/>
        <v>0</v>
      </c>
      <c r="AS26" s="26">
        <f t="shared" ca="1" si="136"/>
        <v>0</v>
      </c>
      <c r="AT26" s="26">
        <f t="shared" ca="1" si="136"/>
        <v>0</v>
      </c>
      <c r="AU26" s="26">
        <f t="shared" ca="1" si="136"/>
        <v>0</v>
      </c>
      <c r="AV26" s="26">
        <f t="shared" ca="1" si="136"/>
        <v>0</v>
      </c>
      <c r="AW26" s="26">
        <f t="shared" ca="1" si="136"/>
        <v>0</v>
      </c>
      <c r="AX26" s="26">
        <f t="shared" ca="1" si="136"/>
        <v>0</v>
      </c>
      <c r="AY26" s="26">
        <f t="shared" ca="1" si="136"/>
        <v>0</v>
      </c>
      <c r="AZ26" s="26">
        <f t="shared" ca="1" si="136"/>
        <v>0</v>
      </c>
      <c r="BA26" s="26">
        <f t="shared" ca="1" si="136"/>
        <v>0</v>
      </c>
      <c r="BB26" s="26">
        <f t="shared" ca="1" si="136"/>
        <v>0</v>
      </c>
      <c r="BC26" s="26">
        <f t="shared" ca="1" si="136"/>
        <v>0</v>
      </c>
      <c r="BD26" s="26">
        <f t="shared" ca="1" si="136"/>
        <v>0</v>
      </c>
      <c r="BE26" s="26">
        <f t="shared" ca="1" si="136"/>
        <v>0</v>
      </c>
      <c r="BF26" s="26">
        <f t="shared" ca="1" si="136"/>
        <v>0</v>
      </c>
      <c r="BG26" s="26">
        <f t="shared" ca="1" si="136"/>
        <v>0</v>
      </c>
      <c r="BH26" s="26">
        <f t="shared" ca="1" si="136"/>
        <v>0</v>
      </c>
      <c r="BI26" s="26">
        <f t="shared" ca="1" si="136"/>
        <v>0</v>
      </c>
      <c r="BJ26" s="26">
        <f t="shared" ca="1" si="136"/>
        <v>0</v>
      </c>
      <c r="BK26" s="26">
        <f t="shared" ca="1" si="136"/>
        <v>0</v>
      </c>
      <c r="BL26" s="26">
        <f t="shared" ca="1" si="136"/>
        <v>0</v>
      </c>
      <c r="BM26" s="26">
        <f t="shared" ca="1" si="136"/>
        <v>0</v>
      </c>
      <c r="BN26" s="26">
        <f t="shared" ca="1" si="136"/>
        <v>0</v>
      </c>
      <c r="BO26" s="26">
        <f t="shared" ca="1" si="136"/>
        <v>0</v>
      </c>
      <c r="BP26" s="26">
        <f t="shared" ca="1" si="136"/>
        <v>0</v>
      </c>
      <c r="BQ26" s="26">
        <f t="shared" ca="1" si="136"/>
        <v>0</v>
      </c>
      <c r="BR26" s="26">
        <f t="shared" ca="1" si="136"/>
        <v>0</v>
      </c>
      <c r="BS26" s="26">
        <f t="shared" ca="1" si="136"/>
        <v>0</v>
      </c>
      <c r="BT26" s="26">
        <f t="shared" ref="BT26:EE26" ca="1" si="137">IF(AND(BT20&gt;BT19,BS20&lt;BS19),1,0)</f>
        <v>0</v>
      </c>
      <c r="BU26" s="26">
        <f t="shared" ca="1" si="137"/>
        <v>0</v>
      </c>
      <c r="BV26" s="26">
        <f t="shared" ca="1" si="137"/>
        <v>0</v>
      </c>
      <c r="BW26" s="26">
        <f t="shared" ca="1" si="137"/>
        <v>0</v>
      </c>
      <c r="BX26" s="26">
        <f t="shared" ca="1" si="137"/>
        <v>0</v>
      </c>
      <c r="BY26" s="26">
        <f t="shared" ca="1" si="137"/>
        <v>0</v>
      </c>
      <c r="BZ26" s="26">
        <f t="shared" ca="1" si="137"/>
        <v>0</v>
      </c>
      <c r="CA26" s="26">
        <f t="shared" ca="1" si="137"/>
        <v>0</v>
      </c>
      <c r="CB26" s="26">
        <f t="shared" ca="1" si="137"/>
        <v>0</v>
      </c>
      <c r="CC26" s="26">
        <f t="shared" ca="1" si="137"/>
        <v>0</v>
      </c>
      <c r="CD26" s="26">
        <f t="shared" ca="1" si="137"/>
        <v>0</v>
      </c>
      <c r="CE26" s="26">
        <f t="shared" ca="1" si="137"/>
        <v>0</v>
      </c>
      <c r="CF26" s="26">
        <f t="shared" ca="1" si="137"/>
        <v>0</v>
      </c>
      <c r="CG26" s="26">
        <f t="shared" ca="1" si="137"/>
        <v>0</v>
      </c>
      <c r="CH26" s="26">
        <f t="shared" ca="1" si="137"/>
        <v>0</v>
      </c>
      <c r="CI26" s="26">
        <f t="shared" ca="1" si="137"/>
        <v>0</v>
      </c>
      <c r="CJ26" s="26">
        <f t="shared" ca="1" si="137"/>
        <v>0</v>
      </c>
      <c r="CK26" s="26">
        <f t="shared" ca="1" si="137"/>
        <v>0</v>
      </c>
      <c r="CL26" s="26">
        <f t="shared" ca="1" si="137"/>
        <v>0</v>
      </c>
      <c r="CM26" s="26">
        <f t="shared" ca="1" si="137"/>
        <v>0</v>
      </c>
      <c r="CN26" s="26">
        <f t="shared" ca="1" si="137"/>
        <v>0</v>
      </c>
      <c r="CO26" s="26">
        <f t="shared" ca="1" si="137"/>
        <v>0</v>
      </c>
      <c r="CP26" s="26">
        <f t="shared" ca="1" si="137"/>
        <v>0</v>
      </c>
      <c r="CQ26" s="26">
        <f t="shared" ca="1" si="137"/>
        <v>0</v>
      </c>
      <c r="CR26" s="26">
        <f t="shared" ca="1" si="137"/>
        <v>0</v>
      </c>
      <c r="CS26" s="26">
        <f t="shared" ca="1" si="137"/>
        <v>0</v>
      </c>
      <c r="CT26" s="26">
        <f t="shared" ca="1" si="137"/>
        <v>0</v>
      </c>
      <c r="CU26" s="26">
        <f t="shared" ca="1" si="137"/>
        <v>0</v>
      </c>
      <c r="CV26" s="26">
        <f t="shared" ca="1" si="137"/>
        <v>0</v>
      </c>
      <c r="CW26" s="26">
        <f t="shared" ca="1" si="137"/>
        <v>0</v>
      </c>
      <c r="CX26" s="26">
        <f t="shared" ca="1" si="137"/>
        <v>0</v>
      </c>
      <c r="CY26" s="26">
        <f t="shared" ca="1" si="137"/>
        <v>0</v>
      </c>
      <c r="CZ26" s="26">
        <f t="shared" ca="1" si="137"/>
        <v>0</v>
      </c>
      <c r="DA26" s="26">
        <f t="shared" ca="1" si="137"/>
        <v>0</v>
      </c>
      <c r="DB26" s="26">
        <f t="shared" ca="1" si="137"/>
        <v>0</v>
      </c>
      <c r="DC26" s="26">
        <f t="shared" ca="1" si="137"/>
        <v>0</v>
      </c>
      <c r="DD26" s="26">
        <f t="shared" ca="1" si="137"/>
        <v>0</v>
      </c>
      <c r="DE26" s="26">
        <f t="shared" ca="1" si="137"/>
        <v>0</v>
      </c>
      <c r="DF26" s="26">
        <f t="shared" ca="1" si="137"/>
        <v>0</v>
      </c>
      <c r="DG26" s="26">
        <f t="shared" ca="1" si="137"/>
        <v>0</v>
      </c>
      <c r="DH26" s="26">
        <f t="shared" ca="1" si="137"/>
        <v>0</v>
      </c>
      <c r="DI26" s="26">
        <f t="shared" ca="1" si="137"/>
        <v>0</v>
      </c>
      <c r="DJ26" s="26">
        <f t="shared" ca="1" si="137"/>
        <v>0</v>
      </c>
      <c r="DK26" s="26">
        <f t="shared" ca="1" si="137"/>
        <v>0</v>
      </c>
      <c r="DL26" s="26">
        <f t="shared" ca="1" si="137"/>
        <v>0</v>
      </c>
      <c r="DM26" s="26">
        <f t="shared" ca="1" si="137"/>
        <v>0</v>
      </c>
      <c r="DN26" s="26">
        <f t="shared" ca="1" si="137"/>
        <v>0</v>
      </c>
      <c r="DO26" s="26">
        <f t="shared" ca="1" si="137"/>
        <v>0</v>
      </c>
      <c r="DP26" s="26">
        <f t="shared" ca="1" si="137"/>
        <v>0</v>
      </c>
      <c r="DQ26" s="26">
        <f t="shared" ca="1" si="137"/>
        <v>0</v>
      </c>
      <c r="DR26" s="26">
        <f t="shared" ca="1" si="137"/>
        <v>0</v>
      </c>
      <c r="DS26" s="26">
        <f t="shared" ca="1" si="137"/>
        <v>0</v>
      </c>
      <c r="DT26" s="26">
        <f t="shared" ca="1" si="137"/>
        <v>0</v>
      </c>
      <c r="DU26" s="26">
        <f t="shared" ca="1" si="137"/>
        <v>0</v>
      </c>
      <c r="DV26" s="26">
        <f t="shared" ca="1" si="137"/>
        <v>0</v>
      </c>
      <c r="DW26" s="26">
        <f t="shared" ca="1" si="137"/>
        <v>0</v>
      </c>
      <c r="DX26" s="26">
        <f t="shared" ca="1" si="137"/>
        <v>0</v>
      </c>
      <c r="DY26" s="26">
        <f t="shared" ca="1" si="137"/>
        <v>0</v>
      </c>
      <c r="DZ26" s="26">
        <f t="shared" ca="1" si="137"/>
        <v>0</v>
      </c>
      <c r="EA26" s="26">
        <f t="shared" ca="1" si="137"/>
        <v>0</v>
      </c>
      <c r="EB26" s="26">
        <f t="shared" ca="1" si="137"/>
        <v>0</v>
      </c>
      <c r="EC26" s="26">
        <f t="shared" ca="1" si="137"/>
        <v>0</v>
      </c>
      <c r="ED26" s="26">
        <f t="shared" ca="1" si="137"/>
        <v>0</v>
      </c>
      <c r="EE26" s="26">
        <f t="shared" ca="1" si="137"/>
        <v>0</v>
      </c>
      <c r="EF26" s="26">
        <f t="shared" ref="EF26:GQ26" ca="1" si="138">IF(AND(EF20&gt;EF19,EE20&lt;EE19),1,0)</f>
        <v>0</v>
      </c>
      <c r="EG26" s="26">
        <f t="shared" ca="1" si="138"/>
        <v>0</v>
      </c>
      <c r="EH26" s="26">
        <f t="shared" ca="1" si="138"/>
        <v>0</v>
      </c>
      <c r="EI26" s="26">
        <f t="shared" ca="1" si="138"/>
        <v>0</v>
      </c>
      <c r="EJ26" s="26">
        <f t="shared" ca="1" si="138"/>
        <v>0</v>
      </c>
      <c r="EK26" s="26">
        <f t="shared" ca="1" si="138"/>
        <v>0</v>
      </c>
      <c r="EL26" s="26">
        <f t="shared" ca="1" si="138"/>
        <v>0</v>
      </c>
      <c r="EM26" s="26">
        <f t="shared" ca="1" si="138"/>
        <v>0</v>
      </c>
      <c r="EN26" s="26">
        <f t="shared" ca="1" si="138"/>
        <v>0</v>
      </c>
      <c r="EO26" s="26">
        <f t="shared" ca="1" si="138"/>
        <v>0</v>
      </c>
      <c r="EP26" s="26">
        <f t="shared" ca="1" si="138"/>
        <v>0</v>
      </c>
      <c r="EQ26" s="26">
        <f t="shared" ca="1" si="138"/>
        <v>0</v>
      </c>
      <c r="ER26" s="26">
        <f t="shared" ca="1" si="138"/>
        <v>0</v>
      </c>
      <c r="ES26" s="26">
        <f t="shared" ca="1" si="138"/>
        <v>0</v>
      </c>
      <c r="ET26" s="26">
        <f t="shared" ca="1" si="138"/>
        <v>0</v>
      </c>
      <c r="EU26" s="26">
        <f t="shared" ca="1" si="138"/>
        <v>0</v>
      </c>
      <c r="EV26" s="26">
        <f t="shared" ca="1" si="138"/>
        <v>0</v>
      </c>
      <c r="EW26" s="26">
        <f t="shared" ca="1" si="138"/>
        <v>0</v>
      </c>
      <c r="EX26" s="26">
        <f t="shared" ca="1" si="138"/>
        <v>0</v>
      </c>
      <c r="EY26" s="26">
        <f t="shared" ca="1" si="138"/>
        <v>0</v>
      </c>
      <c r="EZ26" s="26">
        <f t="shared" ca="1" si="138"/>
        <v>0</v>
      </c>
      <c r="FA26" s="26">
        <f t="shared" ca="1" si="138"/>
        <v>0</v>
      </c>
      <c r="FB26" s="26">
        <f t="shared" ca="1" si="138"/>
        <v>0</v>
      </c>
      <c r="FC26" s="26">
        <f t="shared" ca="1" si="138"/>
        <v>0</v>
      </c>
      <c r="FD26" s="26">
        <f t="shared" ca="1" si="138"/>
        <v>0</v>
      </c>
      <c r="FE26" s="26">
        <f t="shared" ca="1" si="138"/>
        <v>0</v>
      </c>
      <c r="FF26" s="26">
        <f t="shared" ca="1" si="138"/>
        <v>0</v>
      </c>
      <c r="FG26" s="26">
        <f t="shared" ca="1" si="138"/>
        <v>0</v>
      </c>
      <c r="FH26" s="26">
        <f t="shared" ca="1" si="138"/>
        <v>0</v>
      </c>
      <c r="FI26" s="26">
        <f t="shared" ca="1" si="138"/>
        <v>0</v>
      </c>
      <c r="FJ26" s="26">
        <f t="shared" ca="1" si="138"/>
        <v>0</v>
      </c>
      <c r="FK26" s="26">
        <f t="shared" ca="1" si="138"/>
        <v>0</v>
      </c>
      <c r="FL26" s="26">
        <f t="shared" ca="1" si="138"/>
        <v>0</v>
      </c>
      <c r="FM26" s="26">
        <f t="shared" ca="1" si="138"/>
        <v>0</v>
      </c>
      <c r="FN26" s="26">
        <f t="shared" ca="1" si="138"/>
        <v>0</v>
      </c>
      <c r="FO26" s="26">
        <f t="shared" ca="1" si="138"/>
        <v>0</v>
      </c>
      <c r="FP26" s="26">
        <f t="shared" ca="1" si="138"/>
        <v>0</v>
      </c>
      <c r="FQ26" s="26">
        <f t="shared" ca="1" si="138"/>
        <v>0</v>
      </c>
      <c r="FR26" s="26">
        <f t="shared" ca="1" si="138"/>
        <v>0</v>
      </c>
      <c r="FS26" s="26">
        <f t="shared" ca="1" si="138"/>
        <v>0</v>
      </c>
      <c r="FT26" s="26">
        <f t="shared" ca="1" si="138"/>
        <v>0</v>
      </c>
      <c r="FU26" s="26">
        <f t="shared" ca="1" si="138"/>
        <v>0</v>
      </c>
      <c r="FV26" s="26">
        <f t="shared" ca="1" si="138"/>
        <v>0</v>
      </c>
      <c r="FW26" s="26">
        <f t="shared" ca="1" si="138"/>
        <v>0</v>
      </c>
      <c r="FX26" s="26">
        <f t="shared" ca="1" si="138"/>
        <v>0</v>
      </c>
      <c r="FY26" s="26">
        <f t="shared" ca="1" si="138"/>
        <v>0</v>
      </c>
      <c r="FZ26" s="26">
        <f t="shared" ca="1" si="138"/>
        <v>0</v>
      </c>
      <c r="GA26" s="26">
        <f t="shared" ca="1" si="138"/>
        <v>0</v>
      </c>
      <c r="GB26" s="26">
        <f t="shared" ca="1" si="138"/>
        <v>0</v>
      </c>
      <c r="GC26" s="26">
        <f t="shared" ca="1" si="138"/>
        <v>0</v>
      </c>
      <c r="GD26" s="26">
        <f t="shared" ca="1" si="138"/>
        <v>0</v>
      </c>
      <c r="GE26" s="26">
        <f t="shared" ca="1" si="138"/>
        <v>0</v>
      </c>
      <c r="GF26" s="26">
        <f t="shared" ca="1" si="138"/>
        <v>0</v>
      </c>
      <c r="GG26" s="26">
        <f t="shared" ca="1" si="138"/>
        <v>0</v>
      </c>
      <c r="GH26" s="26">
        <f t="shared" ca="1" si="138"/>
        <v>0</v>
      </c>
      <c r="GI26" s="26">
        <f t="shared" ca="1" si="138"/>
        <v>0</v>
      </c>
      <c r="GJ26" s="26">
        <f t="shared" ca="1" si="138"/>
        <v>0</v>
      </c>
      <c r="GK26" s="26">
        <f t="shared" ca="1" si="138"/>
        <v>0</v>
      </c>
      <c r="GL26" s="26">
        <f t="shared" ca="1" si="138"/>
        <v>0</v>
      </c>
      <c r="GM26" s="26">
        <f t="shared" ca="1" si="138"/>
        <v>0</v>
      </c>
      <c r="GN26" s="26">
        <f t="shared" ca="1" si="138"/>
        <v>0</v>
      </c>
      <c r="GO26" s="26">
        <f t="shared" ca="1" si="138"/>
        <v>0</v>
      </c>
      <c r="GP26" s="26">
        <f t="shared" ca="1" si="138"/>
        <v>0</v>
      </c>
      <c r="GQ26" s="26">
        <f t="shared" ca="1" si="138"/>
        <v>0</v>
      </c>
      <c r="GR26" s="26">
        <f t="shared" ref="GR26:IN26" ca="1" si="139">IF(AND(GR20&gt;GR19,GQ20&lt;GQ19),1,0)</f>
        <v>0</v>
      </c>
      <c r="GS26" s="26">
        <f t="shared" ca="1" si="139"/>
        <v>0</v>
      </c>
      <c r="GT26" s="26">
        <f t="shared" ca="1" si="139"/>
        <v>0</v>
      </c>
      <c r="GU26" s="26">
        <f t="shared" ca="1" si="139"/>
        <v>0</v>
      </c>
      <c r="GV26" s="26">
        <f t="shared" ca="1" si="139"/>
        <v>0</v>
      </c>
      <c r="GW26" s="26">
        <f t="shared" ca="1" si="139"/>
        <v>0</v>
      </c>
      <c r="GX26" s="26">
        <f t="shared" ca="1" si="139"/>
        <v>0</v>
      </c>
      <c r="GY26" s="26">
        <f t="shared" ca="1" si="139"/>
        <v>0</v>
      </c>
      <c r="GZ26" s="26">
        <f t="shared" ca="1" si="139"/>
        <v>0</v>
      </c>
      <c r="HA26" s="26">
        <f t="shared" ca="1" si="139"/>
        <v>0</v>
      </c>
      <c r="HB26" s="26">
        <f t="shared" ca="1" si="139"/>
        <v>0</v>
      </c>
      <c r="HC26" s="26">
        <f t="shared" ca="1" si="139"/>
        <v>0</v>
      </c>
      <c r="HD26" s="26">
        <f t="shared" ca="1" si="139"/>
        <v>0</v>
      </c>
      <c r="HE26" s="26">
        <f t="shared" ca="1" si="139"/>
        <v>0</v>
      </c>
      <c r="HF26" s="26">
        <f t="shared" ca="1" si="139"/>
        <v>0</v>
      </c>
      <c r="HG26" s="26">
        <f t="shared" ca="1" si="139"/>
        <v>0</v>
      </c>
      <c r="HH26" s="26">
        <f t="shared" ca="1" si="139"/>
        <v>0</v>
      </c>
      <c r="HI26" s="26">
        <f t="shared" ca="1" si="139"/>
        <v>0</v>
      </c>
      <c r="HJ26" s="26">
        <f t="shared" ca="1" si="139"/>
        <v>0</v>
      </c>
      <c r="HK26" s="26">
        <f t="shared" ca="1" si="139"/>
        <v>0</v>
      </c>
      <c r="HL26" s="26">
        <f t="shared" ca="1" si="139"/>
        <v>0</v>
      </c>
      <c r="HM26" s="26">
        <f t="shared" ca="1" si="139"/>
        <v>0</v>
      </c>
      <c r="HN26" s="26">
        <f t="shared" ca="1" si="139"/>
        <v>0</v>
      </c>
      <c r="HO26" s="26">
        <f t="shared" ca="1" si="139"/>
        <v>0</v>
      </c>
      <c r="HP26" s="26">
        <f t="shared" ca="1" si="139"/>
        <v>0</v>
      </c>
      <c r="HQ26" s="26">
        <f t="shared" ca="1" si="139"/>
        <v>0</v>
      </c>
      <c r="HR26" s="26">
        <f t="shared" ca="1" si="139"/>
        <v>0</v>
      </c>
      <c r="HS26" s="26">
        <f t="shared" ca="1" si="139"/>
        <v>0</v>
      </c>
      <c r="HT26" s="26">
        <f t="shared" ca="1" si="139"/>
        <v>0</v>
      </c>
      <c r="HU26" s="26">
        <f t="shared" ca="1" si="139"/>
        <v>0</v>
      </c>
      <c r="HV26" s="26">
        <f t="shared" ca="1" si="139"/>
        <v>0</v>
      </c>
      <c r="HW26" s="26">
        <f t="shared" ca="1" si="139"/>
        <v>0</v>
      </c>
      <c r="HX26" s="26">
        <f t="shared" ca="1" si="139"/>
        <v>0</v>
      </c>
      <c r="HY26" s="26">
        <f t="shared" ca="1" si="139"/>
        <v>0</v>
      </c>
      <c r="HZ26" s="26">
        <f t="shared" ca="1" si="139"/>
        <v>0</v>
      </c>
      <c r="IA26" s="26">
        <f t="shared" ca="1" si="139"/>
        <v>0</v>
      </c>
      <c r="IB26" s="26">
        <f t="shared" ca="1" si="139"/>
        <v>0</v>
      </c>
      <c r="IC26" s="26">
        <f t="shared" ca="1" si="139"/>
        <v>0</v>
      </c>
      <c r="ID26" s="26">
        <f t="shared" ca="1" si="139"/>
        <v>0</v>
      </c>
      <c r="IE26" s="26">
        <f t="shared" ca="1" si="139"/>
        <v>0</v>
      </c>
      <c r="IF26" s="26">
        <f t="shared" ca="1" si="139"/>
        <v>0</v>
      </c>
      <c r="IG26" s="26">
        <f t="shared" ca="1" si="139"/>
        <v>0</v>
      </c>
      <c r="IH26" s="26">
        <f t="shared" ca="1" si="139"/>
        <v>0</v>
      </c>
      <c r="II26" s="26">
        <f t="shared" ca="1" si="139"/>
        <v>0</v>
      </c>
      <c r="IJ26" s="26">
        <f t="shared" ca="1" si="139"/>
        <v>0</v>
      </c>
      <c r="IK26" s="26">
        <f t="shared" ca="1" si="139"/>
        <v>0</v>
      </c>
      <c r="IL26" s="26">
        <f t="shared" ca="1" si="139"/>
        <v>0</v>
      </c>
      <c r="IM26" s="26">
        <f t="shared" ca="1" si="139"/>
        <v>0</v>
      </c>
      <c r="IN26" s="26">
        <f t="shared" ca="1" si="139"/>
        <v>0</v>
      </c>
    </row>
    <row r="27" spans="2:248" x14ac:dyDescent="0.3">
      <c r="B27" s="19" t="s">
        <v>427</v>
      </c>
      <c r="C27" s="21">
        <f ca="1">IF(C11&lt;0,MAX(G9:IN9)*1.1,_xlfn.MAXIFS(G8:IN8,G8:IN8,"&gt;"&amp;0)*3)</f>
        <v>29145</v>
      </c>
      <c r="D27" s="24">
        <f ca="1">IF(D31&lt;TODAY(),_xlfn.MAXIFS(G20:IN20,G4:IN4,"&lt;"&amp;C5+5),IF(D31="N/A",C16*1.5,_xlfn.MAXIFS(G20:IN20,G3:IN3,"&lt;"&amp;$D$31)*1.5))</f>
        <v>6364.333200527376</v>
      </c>
      <c r="F27" s="22" t="s">
        <v>504</v>
      </c>
      <c r="G27" s="27">
        <f t="shared" ref="G27:BR27" ca="1" si="140">IF(G3=$C$24,1,-1000)</f>
        <v>-1000</v>
      </c>
      <c r="H27" s="27">
        <f t="shared" ca="1" si="140"/>
        <v>-1000</v>
      </c>
      <c r="I27" s="27">
        <f t="shared" ca="1" si="140"/>
        <v>-1000</v>
      </c>
      <c r="J27" s="27">
        <f t="shared" ca="1" si="140"/>
        <v>-1000</v>
      </c>
      <c r="K27" s="27">
        <f t="shared" ca="1" si="140"/>
        <v>-1000</v>
      </c>
      <c r="L27" s="27">
        <f t="shared" ca="1" si="140"/>
        <v>-1000</v>
      </c>
      <c r="M27" s="27">
        <f t="shared" ca="1" si="140"/>
        <v>-1000</v>
      </c>
      <c r="N27" s="27">
        <f t="shared" ca="1" si="140"/>
        <v>-1000</v>
      </c>
      <c r="O27" s="27">
        <f t="shared" ca="1" si="140"/>
        <v>-1000</v>
      </c>
      <c r="P27" s="27">
        <f t="shared" ca="1" si="140"/>
        <v>-1000</v>
      </c>
      <c r="Q27" s="27">
        <f t="shared" ca="1" si="140"/>
        <v>-1000</v>
      </c>
      <c r="R27" s="27">
        <f t="shared" ca="1" si="140"/>
        <v>-1000</v>
      </c>
      <c r="S27" s="27">
        <f t="shared" ca="1" si="140"/>
        <v>-1000</v>
      </c>
      <c r="T27" s="27">
        <f t="shared" ca="1" si="140"/>
        <v>-1000</v>
      </c>
      <c r="U27" s="27">
        <f t="shared" ca="1" si="140"/>
        <v>-1000</v>
      </c>
      <c r="V27" s="27">
        <f t="shared" ca="1" si="140"/>
        <v>1</v>
      </c>
      <c r="W27" s="27">
        <f t="shared" ca="1" si="140"/>
        <v>-1000</v>
      </c>
      <c r="X27" s="27">
        <f t="shared" ca="1" si="140"/>
        <v>-1000</v>
      </c>
      <c r="Y27" s="27">
        <f t="shared" ca="1" si="140"/>
        <v>-1000</v>
      </c>
      <c r="Z27" s="27">
        <f t="shared" ca="1" si="140"/>
        <v>-1000</v>
      </c>
      <c r="AA27" s="27">
        <f t="shared" ca="1" si="140"/>
        <v>-1000</v>
      </c>
      <c r="AB27" s="27">
        <f t="shared" ca="1" si="140"/>
        <v>-1000</v>
      </c>
      <c r="AC27" s="27">
        <f t="shared" ca="1" si="140"/>
        <v>-1000</v>
      </c>
      <c r="AD27" s="27">
        <f t="shared" ca="1" si="140"/>
        <v>-1000</v>
      </c>
      <c r="AE27" s="27">
        <f t="shared" ca="1" si="140"/>
        <v>-1000</v>
      </c>
      <c r="AF27" s="27">
        <f t="shared" ca="1" si="140"/>
        <v>-1000</v>
      </c>
      <c r="AG27" s="27">
        <f t="shared" ca="1" si="140"/>
        <v>-1000</v>
      </c>
      <c r="AH27" s="27">
        <f t="shared" ca="1" si="140"/>
        <v>-1000</v>
      </c>
      <c r="AI27" s="27">
        <f t="shared" ca="1" si="140"/>
        <v>-1000</v>
      </c>
      <c r="AJ27" s="27">
        <f t="shared" ca="1" si="140"/>
        <v>-1000</v>
      </c>
      <c r="AK27" s="27">
        <f t="shared" ca="1" si="140"/>
        <v>-1000</v>
      </c>
      <c r="AL27" s="27">
        <f t="shared" ca="1" si="140"/>
        <v>-1000</v>
      </c>
      <c r="AM27" s="27">
        <f t="shared" ca="1" si="140"/>
        <v>-1000</v>
      </c>
      <c r="AN27" s="27">
        <f t="shared" ca="1" si="140"/>
        <v>-1000</v>
      </c>
      <c r="AO27" s="27">
        <f t="shared" ca="1" si="140"/>
        <v>-1000</v>
      </c>
      <c r="AP27" s="27">
        <f t="shared" ca="1" si="140"/>
        <v>-1000</v>
      </c>
      <c r="AQ27" s="27">
        <f t="shared" ca="1" si="140"/>
        <v>-1000</v>
      </c>
      <c r="AR27" s="27">
        <f t="shared" ca="1" si="140"/>
        <v>-1000</v>
      </c>
      <c r="AS27" s="27">
        <f t="shared" ca="1" si="140"/>
        <v>-1000</v>
      </c>
      <c r="AT27" s="27">
        <f t="shared" ca="1" si="140"/>
        <v>-1000</v>
      </c>
      <c r="AU27" s="27">
        <f t="shared" ca="1" si="140"/>
        <v>-1000</v>
      </c>
      <c r="AV27" s="27">
        <f t="shared" ca="1" si="140"/>
        <v>-1000</v>
      </c>
      <c r="AW27" s="27">
        <f t="shared" ca="1" si="140"/>
        <v>-1000</v>
      </c>
      <c r="AX27" s="27">
        <f t="shared" ca="1" si="140"/>
        <v>-1000</v>
      </c>
      <c r="AY27" s="27">
        <f t="shared" ca="1" si="140"/>
        <v>-1000</v>
      </c>
      <c r="AZ27" s="27">
        <f t="shared" ca="1" si="140"/>
        <v>-1000</v>
      </c>
      <c r="BA27" s="27">
        <f t="shared" ca="1" si="140"/>
        <v>-1000</v>
      </c>
      <c r="BB27" s="27">
        <f t="shared" ca="1" si="140"/>
        <v>-1000</v>
      </c>
      <c r="BC27" s="27">
        <f t="shared" ca="1" si="140"/>
        <v>-1000</v>
      </c>
      <c r="BD27" s="27">
        <f t="shared" ca="1" si="140"/>
        <v>-1000</v>
      </c>
      <c r="BE27" s="27">
        <f t="shared" ca="1" si="140"/>
        <v>-1000</v>
      </c>
      <c r="BF27" s="27">
        <f t="shared" ca="1" si="140"/>
        <v>-1000</v>
      </c>
      <c r="BG27" s="27">
        <f t="shared" ca="1" si="140"/>
        <v>-1000</v>
      </c>
      <c r="BH27" s="27">
        <f t="shared" ca="1" si="140"/>
        <v>-1000</v>
      </c>
      <c r="BI27" s="27">
        <f t="shared" ca="1" si="140"/>
        <v>-1000</v>
      </c>
      <c r="BJ27" s="27">
        <f t="shared" ca="1" si="140"/>
        <v>-1000</v>
      </c>
      <c r="BK27" s="27">
        <f t="shared" ca="1" si="140"/>
        <v>-1000</v>
      </c>
      <c r="BL27" s="27">
        <f t="shared" ca="1" si="140"/>
        <v>-1000</v>
      </c>
      <c r="BM27" s="27">
        <f t="shared" ca="1" si="140"/>
        <v>-1000</v>
      </c>
      <c r="BN27" s="27">
        <f t="shared" ca="1" si="140"/>
        <v>-1000</v>
      </c>
      <c r="BO27" s="27">
        <f t="shared" ca="1" si="140"/>
        <v>-1000</v>
      </c>
      <c r="BP27" s="27">
        <f t="shared" ca="1" si="140"/>
        <v>-1000</v>
      </c>
      <c r="BQ27" s="27">
        <f t="shared" ca="1" si="140"/>
        <v>-1000</v>
      </c>
      <c r="BR27" s="27">
        <f t="shared" ca="1" si="140"/>
        <v>-1000</v>
      </c>
      <c r="BS27" s="27">
        <f t="shared" ref="BS27:ED27" ca="1" si="141">IF(BS3=$C$24,1,-1000)</f>
        <v>-1000</v>
      </c>
      <c r="BT27" s="27">
        <f t="shared" ca="1" si="141"/>
        <v>-1000</v>
      </c>
      <c r="BU27" s="27">
        <f t="shared" ca="1" si="141"/>
        <v>-1000</v>
      </c>
      <c r="BV27" s="27">
        <f t="shared" ca="1" si="141"/>
        <v>-1000</v>
      </c>
      <c r="BW27" s="27">
        <f t="shared" ca="1" si="141"/>
        <v>-1000</v>
      </c>
      <c r="BX27" s="27">
        <f t="shared" ca="1" si="141"/>
        <v>-1000</v>
      </c>
      <c r="BY27" s="27">
        <f t="shared" ca="1" si="141"/>
        <v>-1000</v>
      </c>
      <c r="BZ27" s="27">
        <f t="shared" ca="1" si="141"/>
        <v>-1000</v>
      </c>
      <c r="CA27" s="27">
        <f t="shared" ca="1" si="141"/>
        <v>-1000</v>
      </c>
      <c r="CB27" s="27">
        <f t="shared" ca="1" si="141"/>
        <v>-1000</v>
      </c>
      <c r="CC27" s="27">
        <f t="shared" ca="1" si="141"/>
        <v>-1000</v>
      </c>
      <c r="CD27" s="27">
        <f t="shared" ca="1" si="141"/>
        <v>-1000</v>
      </c>
      <c r="CE27" s="27">
        <f t="shared" ca="1" si="141"/>
        <v>-1000</v>
      </c>
      <c r="CF27" s="27">
        <f t="shared" ca="1" si="141"/>
        <v>-1000</v>
      </c>
      <c r="CG27" s="27">
        <f t="shared" ca="1" si="141"/>
        <v>-1000</v>
      </c>
      <c r="CH27" s="27">
        <f t="shared" ca="1" si="141"/>
        <v>-1000</v>
      </c>
      <c r="CI27" s="27">
        <f t="shared" ca="1" si="141"/>
        <v>-1000</v>
      </c>
      <c r="CJ27" s="27">
        <f t="shared" ca="1" si="141"/>
        <v>-1000</v>
      </c>
      <c r="CK27" s="27">
        <f t="shared" ca="1" si="141"/>
        <v>-1000</v>
      </c>
      <c r="CL27" s="27">
        <f t="shared" ca="1" si="141"/>
        <v>-1000</v>
      </c>
      <c r="CM27" s="27">
        <f t="shared" ca="1" si="141"/>
        <v>-1000</v>
      </c>
      <c r="CN27" s="27">
        <f t="shared" ca="1" si="141"/>
        <v>-1000</v>
      </c>
      <c r="CO27" s="27">
        <f t="shared" ca="1" si="141"/>
        <v>-1000</v>
      </c>
      <c r="CP27" s="27">
        <f t="shared" ca="1" si="141"/>
        <v>-1000</v>
      </c>
      <c r="CQ27" s="27">
        <f t="shared" ca="1" si="141"/>
        <v>-1000</v>
      </c>
      <c r="CR27" s="27">
        <f t="shared" ca="1" si="141"/>
        <v>-1000</v>
      </c>
      <c r="CS27" s="27">
        <f t="shared" ca="1" si="141"/>
        <v>-1000</v>
      </c>
      <c r="CT27" s="27">
        <f t="shared" ca="1" si="141"/>
        <v>-1000</v>
      </c>
      <c r="CU27" s="27">
        <f t="shared" ca="1" si="141"/>
        <v>-1000</v>
      </c>
      <c r="CV27" s="27">
        <f t="shared" ca="1" si="141"/>
        <v>-1000</v>
      </c>
      <c r="CW27" s="27">
        <f t="shared" ca="1" si="141"/>
        <v>-1000</v>
      </c>
      <c r="CX27" s="27">
        <f t="shared" ca="1" si="141"/>
        <v>-1000</v>
      </c>
      <c r="CY27" s="27">
        <f t="shared" ca="1" si="141"/>
        <v>-1000</v>
      </c>
      <c r="CZ27" s="27">
        <f t="shared" ca="1" si="141"/>
        <v>-1000</v>
      </c>
      <c r="DA27" s="27">
        <f t="shared" ca="1" si="141"/>
        <v>-1000</v>
      </c>
      <c r="DB27" s="27">
        <f t="shared" ca="1" si="141"/>
        <v>-1000</v>
      </c>
      <c r="DC27" s="27">
        <f t="shared" ca="1" si="141"/>
        <v>-1000</v>
      </c>
      <c r="DD27" s="27">
        <f t="shared" ca="1" si="141"/>
        <v>-1000</v>
      </c>
      <c r="DE27" s="27">
        <f t="shared" ca="1" si="141"/>
        <v>-1000</v>
      </c>
      <c r="DF27" s="27">
        <f t="shared" ca="1" si="141"/>
        <v>-1000</v>
      </c>
      <c r="DG27" s="27">
        <f t="shared" ca="1" si="141"/>
        <v>-1000</v>
      </c>
      <c r="DH27" s="27">
        <f t="shared" ca="1" si="141"/>
        <v>-1000</v>
      </c>
      <c r="DI27" s="27">
        <f t="shared" ca="1" si="141"/>
        <v>-1000</v>
      </c>
      <c r="DJ27" s="27">
        <f t="shared" ca="1" si="141"/>
        <v>-1000</v>
      </c>
      <c r="DK27" s="27">
        <f t="shared" ca="1" si="141"/>
        <v>-1000</v>
      </c>
      <c r="DL27" s="27">
        <f t="shared" ca="1" si="141"/>
        <v>-1000</v>
      </c>
      <c r="DM27" s="27">
        <f t="shared" ca="1" si="141"/>
        <v>-1000</v>
      </c>
      <c r="DN27" s="27">
        <f t="shared" ca="1" si="141"/>
        <v>-1000</v>
      </c>
      <c r="DO27" s="27">
        <f t="shared" ca="1" si="141"/>
        <v>-1000</v>
      </c>
      <c r="DP27" s="27">
        <f t="shared" ca="1" si="141"/>
        <v>-1000</v>
      </c>
      <c r="DQ27" s="27">
        <f t="shared" ca="1" si="141"/>
        <v>-1000</v>
      </c>
      <c r="DR27" s="27">
        <f t="shared" ca="1" si="141"/>
        <v>-1000</v>
      </c>
      <c r="DS27" s="27">
        <f t="shared" ca="1" si="141"/>
        <v>-1000</v>
      </c>
      <c r="DT27" s="27">
        <f t="shared" ca="1" si="141"/>
        <v>-1000</v>
      </c>
      <c r="DU27" s="27">
        <f t="shared" ca="1" si="141"/>
        <v>-1000</v>
      </c>
      <c r="DV27" s="27">
        <f t="shared" ca="1" si="141"/>
        <v>-1000</v>
      </c>
      <c r="DW27" s="27">
        <f t="shared" ca="1" si="141"/>
        <v>-1000</v>
      </c>
      <c r="DX27" s="27">
        <f t="shared" ca="1" si="141"/>
        <v>-1000</v>
      </c>
      <c r="DY27" s="27">
        <f t="shared" ca="1" si="141"/>
        <v>-1000</v>
      </c>
      <c r="DZ27" s="27">
        <f t="shared" ca="1" si="141"/>
        <v>-1000</v>
      </c>
      <c r="EA27" s="27">
        <f t="shared" ca="1" si="141"/>
        <v>-1000</v>
      </c>
      <c r="EB27" s="27">
        <f t="shared" ca="1" si="141"/>
        <v>-1000</v>
      </c>
      <c r="EC27" s="27">
        <f t="shared" ca="1" si="141"/>
        <v>-1000</v>
      </c>
      <c r="ED27" s="27">
        <f t="shared" ca="1" si="141"/>
        <v>-1000</v>
      </c>
      <c r="EE27" s="27">
        <f t="shared" ref="EE27:GP27" ca="1" si="142">IF(EE3=$C$24,1,-1000)</f>
        <v>-1000</v>
      </c>
      <c r="EF27" s="27">
        <f t="shared" ca="1" si="142"/>
        <v>-1000</v>
      </c>
      <c r="EG27" s="27">
        <f t="shared" ca="1" si="142"/>
        <v>-1000</v>
      </c>
      <c r="EH27" s="27">
        <f t="shared" ca="1" si="142"/>
        <v>-1000</v>
      </c>
      <c r="EI27" s="27">
        <f t="shared" ca="1" si="142"/>
        <v>-1000</v>
      </c>
      <c r="EJ27" s="27">
        <f t="shared" ca="1" si="142"/>
        <v>-1000</v>
      </c>
      <c r="EK27" s="27">
        <f t="shared" ca="1" si="142"/>
        <v>-1000</v>
      </c>
      <c r="EL27" s="27">
        <f t="shared" ca="1" si="142"/>
        <v>-1000</v>
      </c>
      <c r="EM27" s="27">
        <f t="shared" ca="1" si="142"/>
        <v>-1000</v>
      </c>
      <c r="EN27" s="27">
        <f t="shared" ca="1" si="142"/>
        <v>-1000</v>
      </c>
      <c r="EO27" s="27">
        <f t="shared" ca="1" si="142"/>
        <v>-1000</v>
      </c>
      <c r="EP27" s="27">
        <f t="shared" ca="1" si="142"/>
        <v>-1000</v>
      </c>
      <c r="EQ27" s="27">
        <f t="shared" ca="1" si="142"/>
        <v>-1000</v>
      </c>
      <c r="ER27" s="27">
        <f t="shared" ca="1" si="142"/>
        <v>-1000</v>
      </c>
      <c r="ES27" s="27">
        <f t="shared" ca="1" si="142"/>
        <v>-1000</v>
      </c>
      <c r="ET27" s="27">
        <f t="shared" ca="1" si="142"/>
        <v>-1000</v>
      </c>
      <c r="EU27" s="27">
        <f t="shared" ca="1" si="142"/>
        <v>-1000</v>
      </c>
      <c r="EV27" s="27">
        <f t="shared" ca="1" si="142"/>
        <v>-1000</v>
      </c>
      <c r="EW27" s="27">
        <f t="shared" ca="1" si="142"/>
        <v>-1000</v>
      </c>
      <c r="EX27" s="27">
        <f t="shared" ca="1" si="142"/>
        <v>-1000</v>
      </c>
      <c r="EY27" s="27">
        <f t="shared" ca="1" si="142"/>
        <v>-1000</v>
      </c>
      <c r="EZ27" s="27">
        <f t="shared" ca="1" si="142"/>
        <v>-1000</v>
      </c>
      <c r="FA27" s="27">
        <f t="shared" ca="1" si="142"/>
        <v>-1000</v>
      </c>
      <c r="FB27" s="27">
        <f t="shared" ca="1" si="142"/>
        <v>-1000</v>
      </c>
      <c r="FC27" s="27">
        <f t="shared" ca="1" si="142"/>
        <v>-1000</v>
      </c>
      <c r="FD27" s="27">
        <f t="shared" ca="1" si="142"/>
        <v>-1000</v>
      </c>
      <c r="FE27" s="27">
        <f t="shared" ca="1" si="142"/>
        <v>-1000</v>
      </c>
      <c r="FF27" s="27">
        <f t="shared" ca="1" si="142"/>
        <v>-1000</v>
      </c>
      <c r="FG27" s="27">
        <f t="shared" ca="1" si="142"/>
        <v>-1000</v>
      </c>
      <c r="FH27" s="27">
        <f t="shared" ca="1" si="142"/>
        <v>-1000</v>
      </c>
      <c r="FI27" s="27">
        <f t="shared" ca="1" si="142"/>
        <v>-1000</v>
      </c>
      <c r="FJ27" s="27">
        <f t="shared" ca="1" si="142"/>
        <v>-1000</v>
      </c>
      <c r="FK27" s="27">
        <f t="shared" ca="1" si="142"/>
        <v>-1000</v>
      </c>
      <c r="FL27" s="27">
        <f t="shared" ca="1" si="142"/>
        <v>-1000</v>
      </c>
      <c r="FM27" s="27">
        <f t="shared" ca="1" si="142"/>
        <v>-1000</v>
      </c>
      <c r="FN27" s="27">
        <f t="shared" ca="1" si="142"/>
        <v>-1000</v>
      </c>
      <c r="FO27" s="27">
        <f t="shared" ca="1" si="142"/>
        <v>-1000</v>
      </c>
      <c r="FP27" s="27">
        <f t="shared" ca="1" si="142"/>
        <v>-1000</v>
      </c>
      <c r="FQ27" s="27">
        <f t="shared" ca="1" si="142"/>
        <v>-1000</v>
      </c>
      <c r="FR27" s="27">
        <f t="shared" ca="1" si="142"/>
        <v>-1000</v>
      </c>
      <c r="FS27" s="27">
        <f t="shared" ca="1" si="142"/>
        <v>-1000</v>
      </c>
      <c r="FT27" s="27">
        <f t="shared" ca="1" si="142"/>
        <v>-1000</v>
      </c>
      <c r="FU27" s="27">
        <f t="shared" ca="1" si="142"/>
        <v>-1000</v>
      </c>
      <c r="FV27" s="27">
        <f t="shared" ca="1" si="142"/>
        <v>-1000</v>
      </c>
      <c r="FW27" s="27">
        <f t="shared" ca="1" si="142"/>
        <v>-1000</v>
      </c>
      <c r="FX27" s="27">
        <f t="shared" ca="1" si="142"/>
        <v>-1000</v>
      </c>
      <c r="FY27" s="27">
        <f t="shared" ca="1" si="142"/>
        <v>-1000</v>
      </c>
      <c r="FZ27" s="27">
        <f t="shared" ca="1" si="142"/>
        <v>-1000</v>
      </c>
      <c r="GA27" s="27">
        <f t="shared" ca="1" si="142"/>
        <v>-1000</v>
      </c>
      <c r="GB27" s="27">
        <f t="shared" ca="1" si="142"/>
        <v>-1000</v>
      </c>
      <c r="GC27" s="27">
        <f t="shared" ca="1" si="142"/>
        <v>-1000</v>
      </c>
      <c r="GD27" s="27">
        <f t="shared" ca="1" si="142"/>
        <v>-1000</v>
      </c>
      <c r="GE27" s="27">
        <f t="shared" ca="1" si="142"/>
        <v>-1000</v>
      </c>
      <c r="GF27" s="27">
        <f t="shared" ca="1" si="142"/>
        <v>-1000</v>
      </c>
      <c r="GG27" s="27">
        <f t="shared" ca="1" si="142"/>
        <v>-1000</v>
      </c>
      <c r="GH27" s="27">
        <f t="shared" ca="1" si="142"/>
        <v>-1000</v>
      </c>
      <c r="GI27" s="27">
        <f t="shared" ca="1" si="142"/>
        <v>-1000</v>
      </c>
      <c r="GJ27" s="27">
        <f t="shared" ca="1" si="142"/>
        <v>-1000</v>
      </c>
      <c r="GK27" s="27">
        <f t="shared" ca="1" si="142"/>
        <v>-1000</v>
      </c>
      <c r="GL27" s="27">
        <f t="shared" ca="1" si="142"/>
        <v>-1000</v>
      </c>
      <c r="GM27" s="27">
        <f t="shared" ca="1" si="142"/>
        <v>-1000</v>
      </c>
      <c r="GN27" s="27">
        <f t="shared" ca="1" si="142"/>
        <v>-1000</v>
      </c>
      <c r="GO27" s="27">
        <f t="shared" ca="1" si="142"/>
        <v>-1000</v>
      </c>
      <c r="GP27" s="27">
        <f t="shared" ca="1" si="142"/>
        <v>-1000</v>
      </c>
      <c r="GQ27" s="27">
        <f t="shared" ref="GQ27:IN27" ca="1" si="143">IF(GQ3=$C$24,1,-1000)</f>
        <v>-1000</v>
      </c>
      <c r="GR27" s="27">
        <f t="shared" ca="1" si="143"/>
        <v>-1000</v>
      </c>
      <c r="GS27" s="27">
        <f t="shared" ca="1" si="143"/>
        <v>-1000</v>
      </c>
      <c r="GT27" s="27">
        <f t="shared" ca="1" si="143"/>
        <v>-1000</v>
      </c>
      <c r="GU27" s="27">
        <f t="shared" ca="1" si="143"/>
        <v>-1000</v>
      </c>
      <c r="GV27" s="27">
        <f t="shared" ca="1" si="143"/>
        <v>-1000</v>
      </c>
      <c r="GW27" s="27">
        <f t="shared" ca="1" si="143"/>
        <v>-1000</v>
      </c>
      <c r="GX27" s="27">
        <f t="shared" ca="1" si="143"/>
        <v>-1000</v>
      </c>
      <c r="GY27" s="27">
        <f t="shared" ca="1" si="143"/>
        <v>-1000</v>
      </c>
      <c r="GZ27" s="27">
        <f t="shared" ca="1" si="143"/>
        <v>-1000</v>
      </c>
      <c r="HA27" s="27">
        <f t="shared" ca="1" si="143"/>
        <v>-1000</v>
      </c>
      <c r="HB27" s="27">
        <f t="shared" ca="1" si="143"/>
        <v>-1000</v>
      </c>
      <c r="HC27" s="27">
        <f t="shared" ca="1" si="143"/>
        <v>-1000</v>
      </c>
      <c r="HD27" s="27">
        <f t="shared" ca="1" si="143"/>
        <v>-1000</v>
      </c>
      <c r="HE27" s="27">
        <f t="shared" ca="1" si="143"/>
        <v>-1000</v>
      </c>
      <c r="HF27" s="27">
        <f t="shared" ca="1" si="143"/>
        <v>-1000</v>
      </c>
      <c r="HG27" s="27">
        <f t="shared" ca="1" si="143"/>
        <v>-1000</v>
      </c>
      <c r="HH27" s="27">
        <f t="shared" ca="1" si="143"/>
        <v>-1000</v>
      </c>
      <c r="HI27" s="27">
        <f t="shared" ca="1" si="143"/>
        <v>-1000</v>
      </c>
      <c r="HJ27" s="27">
        <f t="shared" ca="1" si="143"/>
        <v>-1000</v>
      </c>
      <c r="HK27" s="27">
        <f t="shared" ca="1" si="143"/>
        <v>-1000</v>
      </c>
      <c r="HL27" s="27">
        <f t="shared" ca="1" si="143"/>
        <v>-1000</v>
      </c>
      <c r="HM27" s="27">
        <f t="shared" ca="1" si="143"/>
        <v>-1000</v>
      </c>
      <c r="HN27" s="27">
        <f t="shared" ca="1" si="143"/>
        <v>-1000</v>
      </c>
      <c r="HO27" s="27">
        <f t="shared" ca="1" si="143"/>
        <v>-1000</v>
      </c>
      <c r="HP27" s="27">
        <f t="shared" ca="1" si="143"/>
        <v>-1000</v>
      </c>
      <c r="HQ27" s="27">
        <f t="shared" ca="1" si="143"/>
        <v>-1000</v>
      </c>
      <c r="HR27" s="27">
        <f t="shared" ca="1" si="143"/>
        <v>-1000</v>
      </c>
      <c r="HS27" s="27">
        <f t="shared" ca="1" si="143"/>
        <v>-1000</v>
      </c>
      <c r="HT27" s="27">
        <f t="shared" ca="1" si="143"/>
        <v>-1000</v>
      </c>
      <c r="HU27" s="27">
        <f t="shared" ca="1" si="143"/>
        <v>-1000</v>
      </c>
      <c r="HV27" s="27">
        <f t="shared" ca="1" si="143"/>
        <v>-1000</v>
      </c>
      <c r="HW27" s="27">
        <f t="shared" ca="1" si="143"/>
        <v>-1000</v>
      </c>
      <c r="HX27" s="27">
        <f t="shared" ca="1" si="143"/>
        <v>-1000</v>
      </c>
      <c r="HY27" s="27">
        <f t="shared" ca="1" si="143"/>
        <v>-1000</v>
      </c>
      <c r="HZ27" s="27">
        <f t="shared" ca="1" si="143"/>
        <v>-1000</v>
      </c>
      <c r="IA27" s="27">
        <f t="shared" ca="1" si="143"/>
        <v>-1000</v>
      </c>
      <c r="IB27" s="27">
        <f t="shared" ca="1" si="143"/>
        <v>-1000</v>
      </c>
      <c r="IC27" s="27">
        <f t="shared" ca="1" si="143"/>
        <v>-1000</v>
      </c>
      <c r="ID27" s="27">
        <f t="shared" ca="1" si="143"/>
        <v>-1000</v>
      </c>
      <c r="IE27" s="27">
        <f t="shared" ca="1" si="143"/>
        <v>-1000</v>
      </c>
      <c r="IF27" s="27">
        <f t="shared" ca="1" si="143"/>
        <v>-1000</v>
      </c>
      <c r="IG27" s="27">
        <f t="shared" ca="1" si="143"/>
        <v>-1000</v>
      </c>
      <c r="IH27" s="27">
        <f t="shared" ca="1" si="143"/>
        <v>-1000</v>
      </c>
      <c r="II27" s="27">
        <f t="shared" ca="1" si="143"/>
        <v>-1000</v>
      </c>
      <c r="IJ27" s="27">
        <f t="shared" ca="1" si="143"/>
        <v>-1000</v>
      </c>
      <c r="IK27" s="27">
        <f t="shared" ca="1" si="143"/>
        <v>-1000</v>
      </c>
      <c r="IL27" s="27">
        <f t="shared" ca="1" si="143"/>
        <v>-1000</v>
      </c>
      <c r="IM27" s="27">
        <f t="shared" ca="1" si="143"/>
        <v>-1000</v>
      </c>
      <c r="IN27" s="27">
        <f t="shared" ca="1" si="143"/>
        <v>-1000</v>
      </c>
    </row>
    <row r="28" spans="2:248" ht="15" thickBot="1" x14ac:dyDescent="0.35">
      <c r="F28" s="22" t="s">
        <v>502</v>
      </c>
      <c r="G28" s="27">
        <f t="shared" ref="G28:BR28" ca="1" si="144">IF(G27=1,-1000,IF(G3=$C$23,1,-1000))</f>
        <v>-1000</v>
      </c>
      <c r="H28" s="27">
        <f t="shared" ca="1" si="144"/>
        <v>-1000</v>
      </c>
      <c r="I28" s="27">
        <f t="shared" ca="1" si="144"/>
        <v>-1000</v>
      </c>
      <c r="J28" s="27">
        <f t="shared" ca="1" si="144"/>
        <v>-1000</v>
      </c>
      <c r="K28" s="27">
        <f t="shared" ca="1" si="144"/>
        <v>-1000</v>
      </c>
      <c r="L28" s="27">
        <f t="shared" ca="1" si="144"/>
        <v>-1000</v>
      </c>
      <c r="M28" s="27">
        <f t="shared" ca="1" si="144"/>
        <v>-1000</v>
      </c>
      <c r="N28" s="27">
        <f t="shared" ca="1" si="144"/>
        <v>-1000</v>
      </c>
      <c r="O28" s="27">
        <f t="shared" ca="1" si="144"/>
        <v>-1000</v>
      </c>
      <c r="P28" s="27">
        <f t="shared" ca="1" si="144"/>
        <v>1</v>
      </c>
      <c r="Q28" s="27">
        <f t="shared" ca="1" si="144"/>
        <v>-1000</v>
      </c>
      <c r="R28" s="27">
        <f t="shared" ca="1" si="144"/>
        <v>-1000</v>
      </c>
      <c r="S28" s="27">
        <f t="shared" ca="1" si="144"/>
        <v>-1000</v>
      </c>
      <c r="T28" s="27">
        <f t="shared" ca="1" si="144"/>
        <v>-1000</v>
      </c>
      <c r="U28" s="27">
        <f t="shared" ca="1" si="144"/>
        <v>-1000</v>
      </c>
      <c r="V28" s="27">
        <f t="shared" ca="1" si="144"/>
        <v>-1000</v>
      </c>
      <c r="W28" s="27">
        <f t="shared" ca="1" si="144"/>
        <v>-1000</v>
      </c>
      <c r="X28" s="27">
        <f t="shared" ca="1" si="144"/>
        <v>-1000</v>
      </c>
      <c r="Y28" s="27">
        <f t="shared" ca="1" si="144"/>
        <v>-1000</v>
      </c>
      <c r="Z28" s="27">
        <f t="shared" ca="1" si="144"/>
        <v>-1000</v>
      </c>
      <c r="AA28" s="27">
        <f t="shared" ca="1" si="144"/>
        <v>-1000</v>
      </c>
      <c r="AB28" s="27">
        <f t="shared" ca="1" si="144"/>
        <v>-1000</v>
      </c>
      <c r="AC28" s="27">
        <f t="shared" ca="1" si="144"/>
        <v>-1000</v>
      </c>
      <c r="AD28" s="27">
        <f t="shared" ca="1" si="144"/>
        <v>-1000</v>
      </c>
      <c r="AE28" s="27">
        <f t="shared" ca="1" si="144"/>
        <v>-1000</v>
      </c>
      <c r="AF28" s="27">
        <f t="shared" ca="1" si="144"/>
        <v>-1000</v>
      </c>
      <c r="AG28" s="27">
        <f t="shared" ca="1" si="144"/>
        <v>-1000</v>
      </c>
      <c r="AH28" s="27">
        <f t="shared" ca="1" si="144"/>
        <v>-1000</v>
      </c>
      <c r="AI28" s="27">
        <f t="shared" ca="1" si="144"/>
        <v>-1000</v>
      </c>
      <c r="AJ28" s="27">
        <f t="shared" ca="1" si="144"/>
        <v>-1000</v>
      </c>
      <c r="AK28" s="27">
        <f t="shared" ca="1" si="144"/>
        <v>-1000</v>
      </c>
      <c r="AL28" s="27">
        <f t="shared" ca="1" si="144"/>
        <v>-1000</v>
      </c>
      <c r="AM28" s="27">
        <f t="shared" ca="1" si="144"/>
        <v>-1000</v>
      </c>
      <c r="AN28" s="27">
        <f t="shared" ca="1" si="144"/>
        <v>-1000</v>
      </c>
      <c r="AO28" s="27">
        <f t="shared" ca="1" si="144"/>
        <v>-1000</v>
      </c>
      <c r="AP28" s="27">
        <f t="shared" ca="1" si="144"/>
        <v>-1000</v>
      </c>
      <c r="AQ28" s="27">
        <f t="shared" ca="1" si="144"/>
        <v>-1000</v>
      </c>
      <c r="AR28" s="27">
        <f t="shared" ca="1" si="144"/>
        <v>-1000</v>
      </c>
      <c r="AS28" s="27">
        <f t="shared" ca="1" si="144"/>
        <v>-1000</v>
      </c>
      <c r="AT28" s="27">
        <f t="shared" ca="1" si="144"/>
        <v>-1000</v>
      </c>
      <c r="AU28" s="27">
        <f t="shared" ca="1" si="144"/>
        <v>-1000</v>
      </c>
      <c r="AV28" s="27">
        <f t="shared" ca="1" si="144"/>
        <v>-1000</v>
      </c>
      <c r="AW28" s="27">
        <f t="shared" ca="1" si="144"/>
        <v>-1000</v>
      </c>
      <c r="AX28" s="27">
        <f t="shared" ca="1" si="144"/>
        <v>-1000</v>
      </c>
      <c r="AY28" s="27">
        <f t="shared" ca="1" si="144"/>
        <v>-1000</v>
      </c>
      <c r="AZ28" s="27">
        <f t="shared" ca="1" si="144"/>
        <v>-1000</v>
      </c>
      <c r="BA28" s="27">
        <f t="shared" ca="1" si="144"/>
        <v>-1000</v>
      </c>
      <c r="BB28" s="27">
        <f t="shared" ca="1" si="144"/>
        <v>-1000</v>
      </c>
      <c r="BC28" s="27">
        <f t="shared" ca="1" si="144"/>
        <v>-1000</v>
      </c>
      <c r="BD28" s="27">
        <f t="shared" ca="1" si="144"/>
        <v>-1000</v>
      </c>
      <c r="BE28" s="27">
        <f t="shared" ca="1" si="144"/>
        <v>-1000</v>
      </c>
      <c r="BF28" s="27">
        <f t="shared" ca="1" si="144"/>
        <v>-1000</v>
      </c>
      <c r="BG28" s="27">
        <f t="shared" ca="1" si="144"/>
        <v>-1000</v>
      </c>
      <c r="BH28" s="27">
        <f t="shared" ca="1" si="144"/>
        <v>-1000</v>
      </c>
      <c r="BI28" s="27">
        <f t="shared" ca="1" si="144"/>
        <v>-1000</v>
      </c>
      <c r="BJ28" s="27">
        <f t="shared" ca="1" si="144"/>
        <v>-1000</v>
      </c>
      <c r="BK28" s="27">
        <f t="shared" ca="1" si="144"/>
        <v>-1000</v>
      </c>
      <c r="BL28" s="27">
        <f t="shared" ca="1" si="144"/>
        <v>-1000</v>
      </c>
      <c r="BM28" s="27">
        <f t="shared" ca="1" si="144"/>
        <v>-1000</v>
      </c>
      <c r="BN28" s="27">
        <f t="shared" ca="1" si="144"/>
        <v>-1000</v>
      </c>
      <c r="BO28" s="27">
        <f t="shared" ca="1" si="144"/>
        <v>-1000</v>
      </c>
      <c r="BP28" s="27">
        <f t="shared" ca="1" si="144"/>
        <v>-1000</v>
      </c>
      <c r="BQ28" s="27">
        <f t="shared" ca="1" si="144"/>
        <v>-1000</v>
      </c>
      <c r="BR28" s="27">
        <f t="shared" ca="1" si="144"/>
        <v>-1000</v>
      </c>
      <c r="BS28" s="27">
        <f t="shared" ref="BS28:ED28" ca="1" si="145">IF(BS27=1,-1000,IF(BS3=$C$23,1,-1000))</f>
        <v>-1000</v>
      </c>
      <c r="BT28" s="27">
        <f t="shared" ca="1" si="145"/>
        <v>-1000</v>
      </c>
      <c r="BU28" s="27">
        <f t="shared" ca="1" si="145"/>
        <v>-1000</v>
      </c>
      <c r="BV28" s="27">
        <f t="shared" ca="1" si="145"/>
        <v>-1000</v>
      </c>
      <c r="BW28" s="27">
        <f t="shared" ca="1" si="145"/>
        <v>-1000</v>
      </c>
      <c r="BX28" s="27">
        <f t="shared" ca="1" si="145"/>
        <v>-1000</v>
      </c>
      <c r="BY28" s="27">
        <f t="shared" ca="1" si="145"/>
        <v>-1000</v>
      </c>
      <c r="BZ28" s="27">
        <f t="shared" ca="1" si="145"/>
        <v>-1000</v>
      </c>
      <c r="CA28" s="27">
        <f t="shared" ca="1" si="145"/>
        <v>-1000</v>
      </c>
      <c r="CB28" s="27">
        <f t="shared" ca="1" si="145"/>
        <v>-1000</v>
      </c>
      <c r="CC28" s="27">
        <f t="shared" ca="1" si="145"/>
        <v>-1000</v>
      </c>
      <c r="CD28" s="27">
        <f t="shared" ca="1" si="145"/>
        <v>-1000</v>
      </c>
      <c r="CE28" s="27">
        <f t="shared" ca="1" si="145"/>
        <v>-1000</v>
      </c>
      <c r="CF28" s="27">
        <f t="shared" ca="1" si="145"/>
        <v>-1000</v>
      </c>
      <c r="CG28" s="27">
        <f t="shared" ca="1" si="145"/>
        <v>-1000</v>
      </c>
      <c r="CH28" s="27">
        <f t="shared" ca="1" si="145"/>
        <v>-1000</v>
      </c>
      <c r="CI28" s="27">
        <f t="shared" ca="1" si="145"/>
        <v>-1000</v>
      </c>
      <c r="CJ28" s="27">
        <f t="shared" ca="1" si="145"/>
        <v>-1000</v>
      </c>
      <c r="CK28" s="27">
        <f t="shared" ca="1" si="145"/>
        <v>-1000</v>
      </c>
      <c r="CL28" s="27">
        <f t="shared" ca="1" si="145"/>
        <v>-1000</v>
      </c>
      <c r="CM28" s="27">
        <f t="shared" ca="1" si="145"/>
        <v>-1000</v>
      </c>
      <c r="CN28" s="27">
        <f t="shared" ca="1" si="145"/>
        <v>-1000</v>
      </c>
      <c r="CO28" s="27">
        <f t="shared" ca="1" si="145"/>
        <v>-1000</v>
      </c>
      <c r="CP28" s="27">
        <f t="shared" ca="1" si="145"/>
        <v>-1000</v>
      </c>
      <c r="CQ28" s="27">
        <f t="shared" ca="1" si="145"/>
        <v>-1000</v>
      </c>
      <c r="CR28" s="27">
        <f t="shared" ca="1" si="145"/>
        <v>-1000</v>
      </c>
      <c r="CS28" s="27">
        <f t="shared" ca="1" si="145"/>
        <v>-1000</v>
      </c>
      <c r="CT28" s="27">
        <f t="shared" ca="1" si="145"/>
        <v>-1000</v>
      </c>
      <c r="CU28" s="27">
        <f t="shared" ca="1" si="145"/>
        <v>-1000</v>
      </c>
      <c r="CV28" s="27">
        <f t="shared" ca="1" si="145"/>
        <v>-1000</v>
      </c>
      <c r="CW28" s="27">
        <f t="shared" ca="1" si="145"/>
        <v>-1000</v>
      </c>
      <c r="CX28" s="27">
        <f t="shared" ca="1" si="145"/>
        <v>-1000</v>
      </c>
      <c r="CY28" s="27">
        <f t="shared" ca="1" si="145"/>
        <v>-1000</v>
      </c>
      <c r="CZ28" s="27">
        <f t="shared" ca="1" si="145"/>
        <v>-1000</v>
      </c>
      <c r="DA28" s="27">
        <f t="shared" ca="1" si="145"/>
        <v>-1000</v>
      </c>
      <c r="DB28" s="27">
        <f t="shared" ca="1" si="145"/>
        <v>-1000</v>
      </c>
      <c r="DC28" s="27">
        <f t="shared" ca="1" si="145"/>
        <v>-1000</v>
      </c>
      <c r="DD28" s="27">
        <f t="shared" ca="1" si="145"/>
        <v>-1000</v>
      </c>
      <c r="DE28" s="27">
        <f t="shared" ca="1" si="145"/>
        <v>-1000</v>
      </c>
      <c r="DF28" s="27">
        <f t="shared" ca="1" si="145"/>
        <v>-1000</v>
      </c>
      <c r="DG28" s="27">
        <f t="shared" ca="1" si="145"/>
        <v>-1000</v>
      </c>
      <c r="DH28" s="27">
        <f t="shared" ca="1" si="145"/>
        <v>-1000</v>
      </c>
      <c r="DI28" s="27">
        <f t="shared" ca="1" si="145"/>
        <v>-1000</v>
      </c>
      <c r="DJ28" s="27">
        <f t="shared" ca="1" si="145"/>
        <v>-1000</v>
      </c>
      <c r="DK28" s="27">
        <f t="shared" ca="1" si="145"/>
        <v>-1000</v>
      </c>
      <c r="DL28" s="27">
        <f t="shared" ca="1" si="145"/>
        <v>-1000</v>
      </c>
      <c r="DM28" s="27">
        <f t="shared" ca="1" si="145"/>
        <v>-1000</v>
      </c>
      <c r="DN28" s="27">
        <f t="shared" ca="1" si="145"/>
        <v>-1000</v>
      </c>
      <c r="DO28" s="27">
        <f t="shared" ca="1" si="145"/>
        <v>-1000</v>
      </c>
      <c r="DP28" s="27">
        <f t="shared" ca="1" si="145"/>
        <v>-1000</v>
      </c>
      <c r="DQ28" s="27">
        <f t="shared" ca="1" si="145"/>
        <v>-1000</v>
      </c>
      <c r="DR28" s="27">
        <f t="shared" ca="1" si="145"/>
        <v>-1000</v>
      </c>
      <c r="DS28" s="27">
        <f t="shared" ca="1" si="145"/>
        <v>-1000</v>
      </c>
      <c r="DT28" s="27">
        <f t="shared" ca="1" si="145"/>
        <v>-1000</v>
      </c>
      <c r="DU28" s="27">
        <f t="shared" ca="1" si="145"/>
        <v>-1000</v>
      </c>
      <c r="DV28" s="27">
        <f t="shared" ca="1" si="145"/>
        <v>-1000</v>
      </c>
      <c r="DW28" s="27">
        <f t="shared" ca="1" si="145"/>
        <v>-1000</v>
      </c>
      <c r="DX28" s="27">
        <f t="shared" ca="1" si="145"/>
        <v>-1000</v>
      </c>
      <c r="DY28" s="27">
        <f t="shared" ca="1" si="145"/>
        <v>-1000</v>
      </c>
      <c r="DZ28" s="27">
        <f t="shared" ca="1" si="145"/>
        <v>-1000</v>
      </c>
      <c r="EA28" s="27">
        <f t="shared" ca="1" si="145"/>
        <v>-1000</v>
      </c>
      <c r="EB28" s="27">
        <f t="shared" ca="1" si="145"/>
        <v>-1000</v>
      </c>
      <c r="EC28" s="27">
        <f t="shared" ca="1" si="145"/>
        <v>-1000</v>
      </c>
      <c r="ED28" s="27">
        <f t="shared" ca="1" si="145"/>
        <v>-1000</v>
      </c>
      <c r="EE28" s="27">
        <f t="shared" ref="EE28:GP28" ca="1" si="146">IF(EE27=1,-1000,IF(EE3=$C$23,1,-1000))</f>
        <v>-1000</v>
      </c>
      <c r="EF28" s="27">
        <f t="shared" ca="1" si="146"/>
        <v>-1000</v>
      </c>
      <c r="EG28" s="27">
        <f t="shared" ca="1" si="146"/>
        <v>-1000</v>
      </c>
      <c r="EH28" s="27">
        <f t="shared" ca="1" si="146"/>
        <v>-1000</v>
      </c>
      <c r="EI28" s="27">
        <f t="shared" ca="1" si="146"/>
        <v>-1000</v>
      </c>
      <c r="EJ28" s="27">
        <f t="shared" ca="1" si="146"/>
        <v>-1000</v>
      </c>
      <c r="EK28" s="27">
        <f t="shared" ca="1" si="146"/>
        <v>-1000</v>
      </c>
      <c r="EL28" s="27">
        <f t="shared" ca="1" si="146"/>
        <v>-1000</v>
      </c>
      <c r="EM28" s="27">
        <f t="shared" ca="1" si="146"/>
        <v>-1000</v>
      </c>
      <c r="EN28" s="27">
        <f t="shared" ca="1" si="146"/>
        <v>-1000</v>
      </c>
      <c r="EO28" s="27">
        <f t="shared" ca="1" si="146"/>
        <v>-1000</v>
      </c>
      <c r="EP28" s="27">
        <f t="shared" ca="1" si="146"/>
        <v>-1000</v>
      </c>
      <c r="EQ28" s="27">
        <f t="shared" ca="1" si="146"/>
        <v>-1000</v>
      </c>
      <c r="ER28" s="27">
        <f t="shared" ca="1" si="146"/>
        <v>-1000</v>
      </c>
      <c r="ES28" s="27">
        <f t="shared" ca="1" si="146"/>
        <v>-1000</v>
      </c>
      <c r="ET28" s="27">
        <f t="shared" ca="1" si="146"/>
        <v>-1000</v>
      </c>
      <c r="EU28" s="27">
        <f t="shared" ca="1" si="146"/>
        <v>-1000</v>
      </c>
      <c r="EV28" s="27">
        <f t="shared" ca="1" si="146"/>
        <v>-1000</v>
      </c>
      <c r="EW28" s="27">
        <f t="shared" ca="1" si="146"/>
        <v>-1000</v>
      </c>
      <c r="EX28" s="27">
        <f t="shared" ca="1" si="146"/>
        <v>-1000</v>
      </c>
      <c r="EY28" s="27">
        <f t="shared" ca="1" si="146"/>
        <v>-1000</v>
      </c>
      <c r="EZ28" s="27">
        <f t="shared" ca="1" si="146"/>
        <v>-1000</v>
      </c>
      <c r="FA28" s="27">
        <f t="shared" ca="1" si="146"/>
        <v>-1000</v>
      </c>
      <c r="FB28" s="27">
        <f t="shared" ca="1" si="146"/>
        <v>-1000</v>
      </c>
      <c r="FC28" s="27">
        <f t="shared" ca="1" si="146"/>
        <v>-1000</v>
      </c>
      <c r="FD28" s="27">
        <f t="shared" ca="1" si="146"/>
        <v>-1000</v>
      </c>
      <c r="FE28" s="27">
        <f t="shared" ca="1" si="146"/>
        <v>-1000</v>
      </c>
      <c r="FF28" s="27">
        <f t="shared" ca="1" si="146"/>
        <v>-1000</v>
      </c>
      <c r="FG28" s="27">
        <f t="shared" ca="1" si="146"/>
        <v>-1000</v>
      </c>
      <c r="FH28" s="27">
        <f t="shared" ca="1" si="146"/>
        <v>-1000</v>
      </c>
      <c r="FI28" s="27">
        <f t="shared" ca="1" si="146"/>
        <v>-1000</v>
      </c>
      <c r="FJ28" s="27">
        <f t="shared" ca="1" si="146"/>
        <v>-1000</v>
      </c>
      <c r="FK28" s="27">
        <f t="shared" ca="1" si="146"/>
        <v>-1000</v>
      </c>
      <c r="FL28" s="27">
        <f t="shared" ca="1" si="146"/>
        <v>-1000</v>
      </c>
      <c r="FM28" s="27">
        <f t="shared" ca="1" si="146"/>
        <v>-1000</v>
      </c>
      <c r="FN28" s="27">
        <f t="shared" ca="1" si="146"/>
        <v>-1000</v>
      </c>
      <c r="FO28" s="27">
        <f t="shared" ca="1" si="146"/>
        <v>-1000</v>
      </c>
      <c r="FP28" s="27">
        <f t="shared" ca="1" si="146"/>
        <v>-1000</v>
      </c>
      <c r="FQ28" s="27">
        <f t="shared" ca="1" si="146"/>
        <v>-1000</v>
      </c>
      <c r="FR28" s="27">
        <f t="shared" ca="1" si="146"/>
        <v>-1000</v>
      </c>
      <c r="FS28" s="27">
        <f t="shared" ca="1" si="146"/>
        <v>-1000</v>
      </c>
      <c r="FT28" s="27">
        <f t="shared" ca="1" si="146"/>
        <v>-1000</v>
      </c>
      <c r="FU28" s="27">
        <f t="shared" ca="1" si="146"/>
        <v>-1000</v>
      </c>
      <c r="FV28" s="27">
        <f t="shared" ca="1" si="146"/>
        <v>-1000</v>
      </c>
      <c r="FW28" s="27">
        <f t="shared" ca="1" si="146"/>
        <v>-1000</v>
      </c>
      <c r="FX28" s="27">
        <f t="shared" ca="1" si="146"/>
        <v>-1000</v>
      </c>
      <c r="FY28" s="27">
        <f t="shared" ca="1" si="146"/>
        <v>-1000</v>
      </c>
      <c r="FZ28" s="27">
        <f t="shared" ca="1" si="146"/>
        <v>-1000</v>
      </c>
      <c r="GA28" s="27">
        <f t="shared" ca="1" si="146"/>
        <v>-1000</v>
      </c>
      <c r="GB28" s="27">
        <f t="shared" ca="1" si="146"/>
        <v>-1000</v>
      </c>
      <c r="GC28" s="27">
        <f t="shared" ca="1" si="146"/>
        <v>-1000</v>
      </c>
      <c r="GD28" s="27">
        <f t="shared" ca="1" si="146"/>
        <v>-1000</v>
      </c>
      <c r="GE28" s="27">
        <f t="shared" ca="1" si="146"/>
        <v>-1000</v>
      </c>
      <c r="GF28" s="27">
        <f t="shared" ca="1" si="146"/>
        <v>-1000</v>
      </c>
      <c r="GG28" s="27">
        <f t="shared" ca="1" si="146"/>
        <v>-1000</v>
      </c>
      <c r="GH28" s="27">
        <f t="shared" ca="1" si="146"/>
        <v>-1000</v>
      </c>
      <c r="GI28" s="27">
        <f t="shared" ca="1" si="146"/>
        <v>-1000</v>
      </c>
      <c r="GJ28" s="27">
        <f t="shared" ca="1" si="146"/>
        <v>-1000</v>
      </c>
      <c r="GK28" s="27">
        <f t="shared" ca="1" si="146"/>
        <v>-1000</v>
      </c>
      <c r="GL28" s="27">
        <f t="shared" ca="1" si="146"/>
        <v>-1000</v>
      </c>
      <c r="GM28" s="27">
        <f t="shared" ca="1" si="146"/>
        <v>-1000</v>
      </c>
      <c r="GN28" s="27">
        <f t="shared" ca="1" si="146"/>
        <v>-1000</v>
      </c>
      <c r="GO28" s="27">
        <f t="shared" ca="1" si="146"/>
        <v>-1000</v>
      </c>
      <c r="GP28" s="27">
        <f t="shared" ca="1" si="146"/>
        <v>-1000</v>
      </c>
      <c r="GQ28" s="27">
        <f t="shared" ref="GQ28:IN28" ca="1" si="147">IF(GQ27=1,-1000,IF(GQ3=$C$23,1,-1000))</f>
        <v>-1000</v>
      </c>
      <c r="GR28" s="27">
        <f t="shared" ca="1" si="147"/>
        <v>-1000</v>
      </c>
      <c r="GS28" s="27">
        <f t="shared" ca="1" si="147"/>
        <v>-1000</v>
      </c>
      <c r="GT28" s="27">
        <f t="shared" ca="1" si="147"/>
        <v>-1000</v>
      </c>
      <c r="GU28" s="27">
        <f t="shared" ca="1" si="147"/>
        <v>-1000</v>
      </c>
      <c r="GV28" s="27">
        <f t="shared" ca="1" si="147"/>
        <v>-1000</v>
      </c>
      <c r="GW28" s="27">
        <f t="shared" ca="1" si="147"/>
        <v>-1000</v>
      </c>
      <c r="GX28" s="27">
        <f t="shared" ca="1" si="147"/>
        <v>-1000</v>
      </c>
      <c r="GY28" s="27">
        <f t="shared" ca="1" si="147"/>
        <v>-1000</v>
      </c>
      <c r="GZ28" s="27">
        <f t="shared" ca="1" si="147"/>
        <v>-1000</v>
      </c>
      <c r="HA28" s="27">
        <f t="shared" ca="1" si="147"/>
        <v>-1000</v>
      </c>
      <c r="HB28" s="27">
        <f t="shared" ca="1" si="147"/>
        <v>-1000</v>
      </c>
      <c r="HC28" s="27">
        <f t="shared" ca="1" si="147"/>
        <v>-1000</v>
      </c>
      <c r="HD28" s="27">
        <f t="shared" ca="1" si="147"/>
        <v>-1000</v>
      </c>
      <c r="HE28" s="27">
        <f t="shared" ca="1" si="147"/>
        <v>-1000</v>
      </c>
      <c r="HF28" s="27">
        <f t="shared" ca="1" si="147"/>
        <v>-1000</v>
      </c>
      <c r="HG28" s="27">
        <f t="shared" ca="1" si="147"/>
        <v>-1000</v>
      </c>
      <c r="HH28" s="27">
        <f t="shared" ca="1" si="147"/>
        <v>-1000</v>
      </c>
      <c r="HI28" s="27">
        <f t="shared" ca="1" si="147"/>
        <v>-1000</v>
      </c>
      <c r="HJ28" s="27">
        <f t="shared" ca="1" si="147"/>
        <v>-1000</v>
      </c>
      <c r="HK28" s="27">
        <f t="shared" ca="1" si="147"/>
        <v>-1000</v>
      </c>
      <c r="HL28" s="27">
        <f t="shared" ca="1" si="147"/>
        <v>-1000</v>
      </c>
      <c r="HM28" s="27">
        <f t="shared" ca="1" si="147"/>
        <v>-1000</v>
      </c>
      <c r="HN28" s="27">
        <f t="shared" ca="1" si="147"/>
        <v>-1000</v>
      </c>
      <c r="HO28" s="27">
        <f t="shared" ca="1" si="147"/>
        <v>-1000</v>
      </c>
      <c r="HP28" s="27">
        <f t="shared" ca="1" si="147"/>
        <v>-1000</v>
      </c>
      <c r="HQ28" s="27">
        <f t="shared" ca="1" si="147"/>
        <v>-1000</v>
      </c>
      <c r="HR28" s="27">
        <f t="shared" ca="1" si="147"/>
        <v>-1000</v>
      </c>
      <c r="HS28" s="27">
        <f t="shared" ca="1" si="147"/>
        <v>-1000</v>
      </c>
      <c r="HT28" s="27">
        <f t="shared" ca="1" si="147"/>
        <v>-1000</v>
      </c>
      <c r="HU28" s="27">
        <f t="shared" ca="1" si="147"/>
        <v>-1000</v>
      </c>
      <c r="HV28" s="27">
        <f t="shared" ca="1" si="147"/>
        <v>-1000</v>
      </c>
      <c r="HW28" s="27">
        <f t="shared" ca="1" si="147"/>
        <v>-1000</v>
      </c>
      <c r="HX28" s="27">
        <f t="shared" ca="1" si="147"/>
        <v>-1000</v>
      </c>
      <c r="HY28" s="27">
        <f t="shared" ca="1" si="147"/>
        <v>-1000</v>
      </c>
      <c r="HZ28" s="27">
        <f t="shared" ca="1" si="147"/>
        <v>-1000</v>
      </c>
      <c r="IA28" s="27">
        <f t="shared" ca="1" si="147"/>
        <v>-1000</v>
      </c>
      <c r="IB28" s="27">
        <f t="shared" ca="1" si="147"/>
        <v>-1000</v>
      </c>
      <c r="IC28" s="27">
        <f t="shared" ca="1" si="147"/>
        <v>-1000</v>
      </c>
      <c r="ID28" s="27">
        <f t="shared" ca="1" si="147"/>
        <v>-1000</v>
      </c>
      <c r="IE28" s="27">
        <f t="shared" ca="1" si="147"/>
        <v>-1000</v>
      </c>
      <c r="IF28" s="27">
        <f t="shared" ca="1" si="147"/>
        <v>-1000</v>
      </c>
      <c r="IG28" s="27">
        <f t="shared" ca="1" si="147"/>
        <v>-1000</v>
      </c>
      <c r="IH28" s="27">
        <f t="shared" ca="1" si="147"/>
        <v>-1000</v>
      </c>
      <c r="II28" s="27">
        <f t="shared" ca="1" si="147"/>
        <v>-1000</v>
      </c>
      <c r="IJ28" s="27">
        <f t="shared" ca="1" si="147"/>
        <v>-1000</v>
      </c>
      <c r="IK28" s="27">
        <f t="shared" ca="1" si="147"/>
        <v>-1000</v>
      </c>
      <c r="IL28" s="27">
        <f t="shared" ca="1" si="147"/>
        <v>-1000</v>
      </c>
      <c r="IM28" s="27">
        <f t="shared" ca="1" si="147"/>
        <v>-1000</v>
      </c>
      <c r="IN28" s="27">
        <f t="shared" ca="1" si="147"/>
        <v>-1000</v>
      </c>
    </row>
    <row r="29" spans="2:248" ht="15" thickBot="1" x14ac:dyDescent="0.35">
      <c r="B29" s="19" t="s">
        <v>428</v>
      </c>
      <c r="C29" s="20">
        <f ca="1">G3</f>
        <v>43895</v>
      </c>
      <c r="D29" s="20">
        <f ca="1">G3</f>
        <v>43895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ht="15" thickBot="1" x14ac:dyDescent="0.35">
      <c r="B30" s="19" t="s">
        <v>455</v>
      </c>
      <c r="C30" s="20">
        <f ca="1">MIN(IF(Projections!$Z$8="",xMin2+C5+5,xMin2+Projections!$Z$8+C5),MAX(3:3))</f>
        <v>43922</v>
      </c>
      <c r="D30" s="20">
        <f ca="1">IF(D31&lt;TODAY(),TODAY()+3+Projections!Z45,IFERROR(OFFSET(G26,-23,MATCH(1,G26:IN26,0))+3+Projections!Z45,xMax2+3+Projections!Z45))</f>
        <v>43929</v>
      </c>
      <c r="S30" s="18"/>
      <c r="T30" s="29"/>
      <c r="AI30" s="30"/>
      <c r="AJ30" s="31"/>
      <c r="AK30" s="32"/>
      <c r="AL30" s="31"/>
      <c r="AM30" s="31"/>
      <c r="AN30" s="32"/>
      <c r="AO30" s="32"/>
      <c r="AP30" s="33"/>
      <c r="AQ30" s="30"/>
    </row>
    <row r="31" spans="2:248" ht="15" thickBot="1" x14ac:dyDescent="0.35">
      <c r="C31" s="20"/>
      <c r="D31" s="20">
        <f ca="1">IFERROR(OFFSET(G26,-23,MATCH(1,G26:IN26,0))-1,"N/A")</f>
        <v>43925</v>
      </c>
      <c r="S31" s="18"/>
      <c r="T31" s="29"/>
      <c r="AI31" s="30"/>
      <c r="AJ31" s="31"/>
      <c r="AK31" s="32"/>
      <c r="AL31" s="31"/>
      <c r="AM31" s="31"/>
      <c r="AN31" s="32"/>
      <c r="AO31" s="32"/>
      <c r="AP31" s="33"/>
      <c r="AQ31" s="30"/>
    </row>
    <row r="32" spans="2:248" ht="15" thickBot="1" x14ac:dyDescent="0.35">
      <c r="B32" s="19" t="s">
        <v>539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United Kingdom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United Kingdom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topLeftCell="H1" zoomScale="94" workbookViewId="0">
      <selection activeCell="B2" sqref="B2:C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>MAX(I2:KU2)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>IF(COUNTIF(I2:XFD2,"&gt;"&amp;0)=0,,(E2/F2)^(1/MIN(COUNTIF(I2:XFD2,"&gt;"&amp;0)-1,$F$1)))</f>
        <v>1.5</v>
      </c>
      <c r="H2" s="15" t="s">
        <v>430</v>
      </c>
      <c r="I2" s="9">
        <v>100</v>
      </c>
      <c r="J2" s="10">
        <f>I2*1.5</f>
        <v>150</v>
      </c>
      <c r="K2" s="10">
        <f>J2*1.5</f>
        <v>225</v>
      </c>
      <c r="L2" s="10">
        <f>K2*1.5</f>
        <v>337.5</v>
      </c>
      <c r="M2" s="10">
        <f>L2*1.5</f>
        <v>506.25</v>
      </c>
      <c r="N2" s="10">
        <f>M2*1.5</f>
        <v>759.375</v>
      </c>
      <c r="O2" s="10">
        <f>N2*1.5</f>
        <v>1139.0625</v>
      </c>
      <c r="P2" s="10">
        <f>O2*1.5</f>
        <v>1708.59375</v>
      </c>
      <c r="Q2" s="10">
        <f>P2*1.5</f>
        <v>2562.890625</v>
      </c>
      <c r="R2" s="10">
        <f>Q2*1.5</f>
        <v>3844.3359375</v>
      </c>
      <c r="S2" s="10">
        <f>R2*1.5</f>
        <v>5766.50390625</v>
      </c>
      <c r="T2" s="10">
        <f>S2*1.5</f>
        <v>8649.755859375</v>
      </c>
      <c r="U2" s="10">
        <f>T2*1.5</f>
        <v>12974.6337890625</v>
      </c>
      <c r="V2" s="10">
        <f>U2*1.5</f>
        <v>19461.95068359375</v>
      </c>
      <c r="W2" s="10">
        <f>V2*1.5</f>
        <v>29192.926025390625</v>
      </c>
      <c r="X2" s="10">
        <f>W2*1.5</f>
        <v>43789.389038085938</v>
      </c>
      <c r="Y2" s="10">
        <f>X2*1.5</f>
        <v>65684.083557128906</v>
      </c>
      <c r="Z2" s="10">
        <f>Y2*1.5</f>
        <v>98526.125335693359</v>
      </c>
      <c r="AA2" s="10">
        <f>Z2*1.5</f>
        <v>147789.18800354004</v>
      </c>
      <c r="AB2" s="10">
        <f>AA2*1.5</f>
        <v>221683.78200531006</v>
      </c>
      <c r="AC2" s="10">
        <f>AB2*1.5</f>
        <v>332525.67300796509</v>
      </c>
      <c r="AD2" s="10">
        <f>AC2*1.5</f>
        <v>498788.50951194763</v>
      </c>
      <c r="AE2" s="10">
        <f>AD2*1.5</f>
        <v>748182.76426792145</v>
      </c>
      <c r="AF2" s="10">
        <f>AE2*1.5</f>
        <v>1122274.1464018822</v>
      </c>
      <c r="AG2" s="10">
        <f>AF2*1.5</f>
        <v>1683411.2196028233</v>
      </c>
      <c r="AH2" s="10">
        <f>AG2*1.5</f>
        <v>2525116.8294042349</v>
      </c>
      <c r="AI2" s="10">
        <f>AH2*1.5</f>
        <v>3787675.2441063523</v>
      </c>
      <c r="AJ2" s="10">
        <f>AI2*1.5</f>
        <v>5681512.8661595285</v>
      </c>
      <c r="AK2" s="10">
        <f>AJ2*1.5</f>
        <v>8522269.2992392927</v>
      </c>
      <c r="AL2" s="10">
        <f>AK2*1.5</f>
        <v>12783403.948858939</v>
      </c>
      <c r="AM2" s="10">
        <f>AL2*1.5</f>
        <v>19175105.923288409</v>
      </c>
      <c r="AN2" s="10">
        <f>AM2*1.5</f>
        <v>28762658.884932615</v>
      </c>
      <c r="AO2" s="10">
        <f>AN2*1.5</f>
        <v>43143988.327398926</v>
      </c>
      <c r="AP2" s="10">
        <f>AO2*1.5</f>
        <v>64715982.491098389</v>
      </c>
      <c r="AQ2" s="10">
        <f>AP2*1.5</f>
        <v>97073973.736647576</v>
      </c>
      <c r="AR2" s="10">
        <f>AQ2*1.5</f>
        <v>145610960.60497135</v>
      </c>
      <c r="AS2" s="10">
        <f>AR2*1.5</f>
        <v>218416440.90745702</v>
      </c>
      <c r="AT2" s="10">
        <f>AS2*1.5</f>
        <v>327624661.36118555</v>
      </c>
      <c r="AU2" s="10">
        <f>AT2*1.5</f>
        <v>491436992.04177833</v>
      </c>
      <c r="AV2" s="10">
        <f>AU2*1.5</f>
        <v>737155488.06266749</v>
      </c>
      <c r="AW2" s="10">
        <f>AV2*1.5</f>
        <v>1105733232.0940013</v>
      </c>
      <c r="AX2" s="10">
        <f>AW2*1.5</f>
        <v>1658599848.1410019</v>
      </c>
      <c r="AY2" s="10">
        <f>AX2*1.5</f>
        <v>2487899772.211503</v>
      </c>
      <c r="AZ2" s="10">
        <f>AY2*1.5</f>
        <v>3731849658.3172545</v>
      </c>
      <c r="BA2" s="10">
        <f>AZ2*1.5</f>
        <v>5597774487.4758816</v>
      </c>
      <c r="BB2" s="10">
        <f>BA2*1.5</f>
        <v>8396661731.2138224</v>
      </c>
      <c r="BC2" s="10">
        <f>BB2*1.5</f>
        <v>12594992596.820734</v>
      </c>
      <c r="BD2" s="10">
        <f>BC2*1.5</f>
        <v>18892488895.231102</v>
      </c>
      <c r="BE2" s="10">
        <f>BD2*1.5</f>
        <v>28338733342.846653</v>
      </c>
      <c r="BF2" s="10">
        <f>BE2*1.5</f>
        <v>42508100014.269981</v>
      </c>
      <c r="BG2" s="10">
        <f>BF2*1.5</f>
        <v>63762150021.404968</v>
      </c>
      <c r="BH2" s="10">
        <f>BG2*1.5</f>
        <v>95643225032.107452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40% Daily Increase</v>
      </c>
      <c r="D3" s="6">
        <f>MAX(I3:KU3)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>IF(COUNTIF(I3:XFD3,"&gt;"&amp;0)=0,,(E3/F3)^(1/MIN(COUNTIF(I3:XFD3,"&gt;"&amp;0)-1,$F$1)))</f>
        <v>1.4000000000000001</v>
      </c>
      <c r="H3" s="15" t="s">
        <v>431</v>
      </c>
      <c r="I3" s="9">
        <v>100</v>
      </c>
      <c r="J3" s="10">
        <f>I3*1.4</f>
        <v>140</v>
      </c>
      <c r="K3" s="10">
        <f>J3*1.4</f>
        <v>196</v>
      </c>
      <c r="L3" s="10">
        <f>K3*1.4</f>
        <v>274.39999999999998</v>
      </c>
      <c r="M3" s="10">
        <f>L3*1.4</f>
        <v>384.15999999999997</v>
      </c>
      <c r="N3" s="10">
        <f>M3*1.4</f>
        <v>537.82399999999996</v>
      </c>
      <c r="O3" s="10">
        <f>N3*1.4</f>
        <v>752.95359999999994</v>
      </c>
      <c r="P3" s="10">
        <f>O3*1.4</f>
        <v>1054.1350399999999</v>
      </c>
      <c r="Q3" s="10">
        <f>P3*1.4</f>
        <v>1475.7890559999998</v>
      </c>
      <c r="R3" s="10">
        <f>Q3*1.4</f>
        <v>2066.1046783999996</v>
      </c>
      <c r="S3" s="10">
        <f>R3*1.4</f>
        <v>2892.5465497599994</v>
      </c>
      <c r="T3" s="10">
        <f>S3*1.4</f>
        <v>4049.5651696639989</v>
      </c>
      <c r="U3" s="10">
        <f>T3*1.4</f>
        <v>5669.3912375295977</v>
      </c>
      <c r="V3" s="10">
        <f>U3*1.4</f>
        <v>7937.1477325414362</v>
      </c>
      <c r="W3" s="10">
        <f>V3*1.4</f>
        <v>11112.00682555801</v>
      </c>
      <c r="X3" s="10">
        <f>W3*1.4</f>
        <v>15556.809555781212</v>
      </c>
      <c r="Y3" s="10">
        <f>X3*1.4</f>
        <v>21779.533378093696</v>
      </c>
      <c r="Z3" s="10">
        <f>Y3*1.4</f>
        <v>30491.346729331173</v>
      </c>
      <c r="AA3" s="10">
        <f>Z3*1.4</f>
        <v>42687.885421063642</v>
      </c>
      <c r="AB3" s="10">
        <f>AA3*1.4</f>
        <v>59763.039589489097</v>
      </c>
      <c r="AC3" s="10">
        <f>AB3*1.4</f>
        <v>83668.255425284733</v>
      </c>
      <c r="AD3" s="10">
        <f>AC3*1.4</f>
        <v>117135.55759539861</v>
      </c>
      <c r="AE3" s="10">
        <f>AD3*1.4</f>
        <v>163989.78063355805</v>
      </c>
      <c r="AF3" s="10">
        <f>AE3*1.4</f>
        <v>229585.69288698127</v>
      </c>
      <c r="AG3" s="10">
        <f>AF3*1.4</f>
        <v>321419.97004177375</v>
      </c>
      <c r="AH3" s="10">
        <f>AG3*1.4</f>
        <v>449987.9580584832</v>
      </c>
      <c r="AI3" s="10">
        <f>AH3*1.4</f>
        <v>629983.14128187648</v>
      </c>
      <c r="AJ3" s="10">
        <f>AI3*1.4</f>
        <v>881976.397794627</v>
      </c>
      <c r="AK3" s="10">
        <f>AJ3*1.4</f>
        <v>1234766.9569124777</v>
      </c>
      <c r="AL3" s="10">
        <f>AK3*1.4</f>
        <v>1728673.7396774688</v>
      </c>
      <c r="AM3" s="10">
        <f>AL3*1.4</f>
        <v>2420143.2355484562</v>
      </c>
      <c r="AN3" s="10">
        <f>AM3*1.4</f>
        <v>3388200.5297678383</v>
      </c>
      <c r="AO3" s="10">
        <f>AN3*1.4</f>
        <v>4743480.7416749736</v>
      </c>
      <c r="AP3" s="10">
        <f>AO3*1.4</f>
        <v>6640873.0383449625</v>
      </c>
      <c r="AQ3" s="10">
        <f>AP3*1.4</f>
        <v>9297222.2536829468</v>
      </c>
      <c r="AR3" s="10">
        <f>AQ3*1.4</f>
        <v>13016111.155156124</v>
      </c>
      <c r="AS3" s="10">
        <f>AR3*1.4</f>
        <v>18222555.617218573</v>
      </c>
      <c r="AT3" s="10">
        <f>AS3*1.4</f>
        <v>25511577.864105999</v>
      </c>
      <c r="AU3" s="10">
        <f>AT3*1.4</f>
        <v>35716209.009748399</v>
      </c>
      <c r="AV3" s="10">
        <f>AU3*1.4</f>
        <v>50002692.613647759</v>
      </c>
      <c r="AW3" s="10">
        <f>AV3*1.4</f>
        <v>70003769.659106866</v>
      </c>
      <c r="AX3" s="10">
        <f>AW3*1.4</f>
        <v>98005277.522749603</v>
      </c>
      <c r="AY3" s="10">
        <f>AX3*1.4</f>
        <v>137207388.53184944</v>
      </c>
      <c r="AZ3" s="10">
        <f>AY3*1.4</f>
        <v>192090343.9445892</v>
      </c>
      <c r="BA3" s="10">
        <f>AZ3*1.4</f>
        <v>268926481.52242488</v>
      </c>
      <c r="BB3" s="10">
        <f>BA3*1.4</f>
        <v>376497074.1313948</v>
      </c>
      <c r="BC3" s="10">
        <f>BB3*1.4</f>
        <v>527095903.78395271</v>
      </c>
      <c r="BD3" s="10">
        <f>BC3*1.4</f>
        <v>737934265.29753375</v>
      </c>
      <c r="BE3" s="10">
        <f>BD3*1.4</f>
        <v>1033107971.4165472</v>
      </c>
      <c r="BF3" s="10">
        <f>BE3*1.4</f>
        <v>1446351159.983166</v>
      </c>
      <c r="BG3" s="10">
        <f>BF3*1.4</f>
        <v>2024891623.9764323</v>
      </c>
      <c r="BH3" s="10">
        <f>BG3*1.4</f>
        <v>2834848273.5670052</v>
      </c>
    </row>
    <row r="4" spans="1:307" x14ac:dyDescent="0.25">
      <c r="A4" s="9">
        <f t="shared" si="5"/>
        <v>3</v>
      </c>
      <c r="B4" s="9">
        <v>1</v>
      </c>
      <c r="C4" s="9" t="str">
        <f>H4</f>
        <v>30% Daily Increase</v>
      </c>
      <c r="D4" s="6">
        <f>MAX(I4:KU4)</f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>IF(COUNTIF(I4:XFD4,"&gt;"&amp;0)=0,,(E4/F4)^(1/MIN(COUNTIF(I4:XFD4,"&gt;"&amp;0)-1,$F$1)))</f>
        <v>1.3</v>
      </c>
      <c r="H4" s="15" t="s">
        <v>432</v>
      </c>
      <c r="I4" s="9">
        <v>100</v>
      </c>
      <c r="J4" s="10">
        <f>I4*1.3</f>
        <v>130</v>
      </c>
      <c r="K4" s="10">
        <f>J4*1.3</f>
        <v>169</v>
      </c>
      <c r="L4" s="10">
        <f>K4*1.3</f>
        <v>219.70000000000002</v>
      </c>
      <c r="M4" s="10">
        <f>L4*1.3</f>
        <v>285.61</v>
      </c>
      <c r="N4" s="10">
        <f>M4*1.3</f>
        <v>371.29300000000001</v>
      </c>
      <c r="O4" s="10">
        <f>N4*1.3</f>
        <v>482.68090000000001</v>
      </c>
      <c r="P4" s="10">
        <f>O4*1.3</f>
        <v>627.48517000000004</v>
      </c>
      <c r="Q4" s="10">
        <f>P4*1.3</f>
        <v>815.73072100000013</v>
      </c>
      <c r="R4" s="10">
        <f>Q4*1.3</f>
        <v>1060.4499373000001</v>
      </c>
      <c r="S4" s="10">
        <f>R4*1.3</f>
        <v>1378.5849184900003</v>
      </c>
      <c r="T4" s="10">
        <f>S4*1.3</f>
        <v>1792.1603940370005</v>
      </c>
      <c r="U4" s="10">
        <f>T4*1.3</f>
        <v>2329.8085122481007</v>
      </c>
      <c r="V4" s="10">
        <f>U4*1.3</f>
        <v>3028.7510659225309</v>
      </c>
      <c r="W4" s="10">
        <f>V4*1.3</f>
        <v>3937.37638569929</v>
      </c>
      <c r="X4" s="10">
        <f>W4*1.3</f>
        <v>5118.5893014090771</v>
      </c>
      <c r="Y4" s="10">
        <f>X4*1.3</f>
        <v>6654.1660918318003</v>
      </c>
      <c r="Z4" s="10">
        <f>Y4*1.3</f>
        <v>8650.4159193813412</v>
      </c>
      <c r="AA4" s="10">
        <f>Z4*1.3</f>
        <v>11245.540695195745</v>
      </c>
      <c r="AB4" s="10">
        <f>AA4*1.3</f>
        <v>14619.202903754469</v>
      </c>
      <c r="AC4" s="10">
        <f>AB4*1.3</f>
        <v>19004.963774880809</v>
      </c>
      <c r="AD4" s="10">
        <f>AC4*1.3</f>
        <v>24706.452907345054</v>
      </c>
      <c r="AE4" s="10">
        <f>AD4*1.3</f>
        <v>32118.388779548572</v>
      </c>
      <c r="AF4" s="10">
        <f>AE4*1.3</f>
        <v>41753.905413413144</v>
      </c>
      <c r="AG4" s="10">
        <f>AF4*1.3</f>
        <v>54280.077037437091</v>
      </c>
      <c r="AH4" s="10">
        <f>AG4*1.3</f>
        <v>70564.100148668222</v>
      </c>
      <c r="AI4" s="10">
        <f>AH4*1.3</f>
        <v>91733.330193268688</v>
      </c>
      <c r="AJ4" s="10">
        <f>AI4*1.3</f>
        <v>119253.32925124929</v>
      </c>
      <c r="AK4" s="10">
        <f>AJ4*1.3</f>
        <v>155029.32802662408</v>
      </c>
      <c r="AL4" s="10">
        <f>AK4*1.3</f>
        <v>201538.1264346113</v>
      </c>
      <c r="AM4" s="10">
        <f>AL4*1.3</f>
        <v>261999.5643649947</v>
      </c>
      <c r="AN4" s="10">
        <f>AM4*1.3</f>
        <v>340599.43367449311</v>
      </c>
      <c r="AO4" s="10">
        <f>AN4*1.3</f>
        <v>442779.26377684105</v>
      </c>
      <c r="AP4" s="10">
        <f>AO4*1.3</f>
        <v>575613.04290989344</v>
      </c>
      <c r="AQ4" s="10">
        <f>AP4*1.3</f>
        <v>748296.95578286145</v>
      </c>
      <c r="AR4" s="10">
        <f>AQ4*1.3</f>
        <v>972786.04251771991</v>
      </c>
      <c r="AS4" s="10">
        <f>AR4*1.3</f>
        <v>1264621.8552730358</v>
      </c>
      <c r="AT4" s="10">
        <f>AS4*1.3</f>
        <v>1644008.4118549465</v>
      </c>
      <c r="AU4" s="10">
        <f>AT4*1.3</f>
        <v>2137210.9354114304</v>
      </c>
      <c r="AV4" s="10">
        <f>AU4*1.3</f>
        <v>2778374.2160348599</v>
      </c>
      <c r="AW4" s="10">
        <f>AV4*1.3</f>
        <v>3611886.4808453182</v>
      </c>
      <c r="AX4" s="10">
        <f>AW4*1.3</f>
        <v>4695452.4250989137</v>
      </c>
      <c r="AY4" s="10">
        <f>AX4*1.3</f>
        <v>6104088.1526285885</v>
      </c>
      <c r="AZ4" s="10">
        <f>AY4*1.3</f>
        <v>7935314.5984171657</v>
      </c>
      <c r="BA4" s="10">
        <f>AZ4*1.3</f>
        <v>10315908.977942316</v>
      </c>
      <c r="BB4" s="10">
        <f>BA4*1.3</f>
        <v>13410681.671325011</v>
      </c>
      <c r="BC4" s="10">
        <f>BB4*1.3</f>
        <v>17433886.172722515</v>
      </c>
      <c r="BD4" s="10">
        <f>BC4*1.3</f>
        <v>22664052.02453927</v>
      </c>
      <c r="BE4" s="10">
        <f>BD4*1.3</f>
        <v>29463267.631901052</v>
      </c>
      <c r="BF4" s="10">
        <f>BE4*1.3</f>
        <v>38302247.921471372</v>
      </c>
      <c r="BG4" s="10">
        <f>BF4*1.3</f>
        <v>49792922.297912784</v>
      </c>
      <c r="BH4" s="10">
        <f>BG4*1.3</f>
        <v>64730798.98728662</v>
      </c>
    </row>
    <row r="5" spans="1:307" x14ac:dyDescent="0.25">
      <c r="A5" s="9">
        <f t="shared" si="5"/>
        <v>4</v>
      </c>
      <c r="B5" s="9">
        <f t="array" ref="B5">IF(C5="",0,IF(OR(C5=Country_Comparison!$S$10:$S$29),1,0))</f>
        <v>1</v>
      </c>
      <c r="C5" s="9" t="str">
        <f>IF(H5="","",H5)</f>
        <v>US</v>
      </c>
      <c r="D5" s="6">
        <f>MAX(I5:KU5)</f>
        <v>83836</v>
      </c>
      <c r="E5" s="6">
        <f>IF(COUNTIF(I5:XFD5,"&gt;"&amp;0)=0,,HLOOKUP(COUNTIF(I5:XFD5,"&gt;"&amp;0)-1,I$1:XFD5,A5+1,FALSE))</f>
        <v>83836</v>
      </c>
      <c r="F5" s="7">
        <f>IF(COUNTIF(I5:XFD5,"&gt;"&amp;0)=0,,HLOOKUP(COUNTIF(I5:XFD5,"&gt;"&amp;0)-MIN($F$1+1,COUNTIF(I5:XFD5,"&gt;"&amp;0)),I$1:XFD5,A5+1,FALSE))</f>
        <v>25489</v>
      </c>
      <c r="G5" s="8">
        <f>IF(COUNTIF(I5:XFD5,"&gt;"&amp;0)=0,,(E5/F5)^(1/MIN(COUNTIF(I5:XFD5,"&gt;"&amp;0)-1,$F$1)))</f>
        <v>1.268865386367211</v>
      </c>
      <c r="H5" s="13" t="s">
        <v>38</v>
      </c>
      <c r="I5" s="9">
        <v>118</v>
      </c>
      <c r="J5" s="9">
        <v>149</v>
      </c>
      <c r="K5" s="9">
        <v>217</v>
      </c>
      <c r="L5" s="9">
        <v>262</v>
      </c>
      <c r="M5" s="9">
        <v>402</v>
      </c>
      <c r="N5" s="9">
        <v>518</v>
      </c>
      <c r="O5" s="9">
        <v>583</v>
      </c>
      <c r="P5" s="9">
        <v>959</v>
      </c>
      <c r="Q5" s="9">
        <v>1281</v>
      </c>
      <c r="R5" s="9">
        <v>1663</v>
      </c>
      <c r="S5" s="9">
        <v>2179</v>
      </c>
      <c r="T5" s="9">
        <v>2727</v>
      </c>
      <c r="U5" s="9">
        <v>3499</v>
      </c>
      <c r="V5" s="9">
        <v>4632</v>
      </c>
      <c r="W5" s="9">
        <v>6421</v>
      </c>
      <c r="X5" s="9">
        <v>7783</v>
      </c>
      <c r="Y5" s="9">
        <v>13677</v>
      </c>
      <c r="Z5" s="9">
        <v>19100</v>
      </c>
      <c r="AA5" s="9">
        <v>25489</v>
      </c>
      <c r="AB5" s="9">
        <v>33276</v>
      </c>
      <c r="AC5" s="9">
        <v>43847</v>
      </c>
      <c r="AD5" s="9">
        <v>53740</v>
      </c>
      <c r="AE5" s="9">
        <v>65778</v>
      </c>
      <c r="AF5" s="9">
        <v>83836</v>
      </c>
    </row>
    <row r="6" spans="1:307" x14ac:dyDescent="0.25">
      <c r="A6" s="9">
        <f t="shared" si="5"/>
        <v>5</v>
      </c>
      <c r="B6" s="9">
        <f t="array" ref="B6">IF(C6="",0,IF(OR(C6=Country_Comparison!$S$10:$S$29),1,0))</f>
        <v>1</v>
      </c>
      <c r="C6" s="9" t="str">
        <f>IF(H6="","",H6)</f>
        <v>China</v>
      </c>
      <c r="D6" s="6">
        <f>MAX(I6:KU6)</f>
        <v>81782</v>
      </c>
      <c r="E6" s="6">
        <f>IF(COUNTIF(I6:XFD6,"&gt;"&amp;0)=0,,HLOOKUP(COUNTIF(I6:XFD6,"&gt;"&amp;0)-1,I$1:XFD6,A6+1,FALSE))</f>
        <v>81782</v>
      </c>
      <c r="F6" s="7">
        <f>IF(COUNTIF(I6:XFD6,"&gt;"&amp;0)=0,,HLOOKUP(COUNTIF(I6:XFD6,"&gt;"&amp;0)-MIN($F$1+1,COUNTIF(I6:XFD6,"&gt;"&amp;0)),I$1:XFD6,A6+1,FALSE))</f>
        <v>81305</v>
      </c>
      <c r="G6" s="8">
        <f>IF(COUNTIF(I6:XFD6,"&gt;"&amp;0)=0,,(E6/F6)^(1/MIN(COUNTIF(I6:XFD6,"&gt;"&amp;0)-1,$F$1)))</f>
        <v>1.0011706156796794</v>
      </c>
      <c r="H6" s="13" t="s">
        <v>337</v>
      </c>
      <c r="I6" s="9">
        <v>155</v>
      </c>
      <c r="J6" s="9">
        <v>229</v>
      </c>
      <c r="K6" s="9">
        <v>322</v>
      </c>
      <c r="L6" s="9">
        <v>453</v>
      </c>
      <c r="M6" s="9">
        <v>548</v>
      </c>
      <c r="N6" s="9">
        <v>643</v>
      </c>
      <c r="O6" s="9">
        <v>920</v>
      </c>
      <c r="P6" s="9">
        <v>1406</v>
      </c>
      <c r="Q6" s="9">
        <v>2075</v>
      </c>
      <c r="R6" s="9">
        <v>2877</v>
      </c>
      <c r="S6" s="9">
        <v>5509</v>
      </c>
      <c r="T6" s="9">
        <v>6087</v>
      </c>
      <c r="U6" s="9">
        <v>8141</v>
      </c>
      <c r="V6" s="9">
        <v>9802</v>
      </c>
      <c r="W6" s="9">
        <v>11891</v>
      </c>
      <c r="X6" s="9">
        <v>16630</v>
      </c>
      <c r="Y6" s="9">
        <v>19716</v>
      </c>
      <c r="Z6" s="9">
        <v>23707</v>
      </c>
      <c r="AA6" s="9">
        <v>27440</v>
      </c>
      <c r="AB6" s="9">
        <v>30587</v>
      </c>
      <c r="AC6" s="9">
        <v>34110</v>
      </c>
      <c r="AD6" s="9">
        <v>36814</v>
      </c>
      <c r="AE6" s="9">
        <v>39829</v>
      </c>
      <c r="AF6" s="9">
        <v>42354</v>
      </c>
      <c r="AG6" s="9">
        <v>44386</v>
      </c>
      <c r="AH6" s="9">
        <v>44759</v>
      </c>
      <c r="AI6" s="9">
        <v>59895</v>
      </c>
      <c r="AJ6" s="9">
        <v>66358</v>
      </c>
      <c r="AK6" s="9">
        <v>68413</v>
      </c>
      <c r="AL6" s="9">
        <v>70513</v>
      </c>
      <c r="AM6" s="9">
        <v>72434</v>
      </c>
      <c r="AN6" s="9">
        <v>74211</v>
      </c>
      <c r="AO6" s="9">
        <v>74619</v>
      </c>
      <c r="AP6" s="9">
        <v>75077</v>
      </c>
      <c r="AQ6" s="9">
        <v>75550</v>
      </c>
      <c r="AR6" s="9">
        <v>77001</v>
      </c>
      <c r="AS6" s="9">
        <v>77022</v>
      </c>
      <c r="AT6" s="9">
        <v>77241</v>
      </c>
      <c r="AU6" s="9">
        <v>77754</v>
      </c>
      <c r="AV6" s="9">
        <v>78166</v>
      </c>
      <c r="AW6" s="9">
        <v>78600</v>
      </c>
      <c r="AX6" s="9">
        <v>78928</v>
      </c>
      <c r="AY6" s="9">
        <v>79356</v>
      </c>
      <c r="AZ6" s="9">
        <v>79932</v>
      </c>
      <c r="BA6" s="9">
        <v>80136</v>
      </c>
      <c r="BB6" s="9">
        <v>80261</v>
      </c>
      <c r="BC6" s="9">
        <v>80386</v>
      </c>
      <c r="BD6" s="9">
        <v>80537</v>
      </c>
      <c r="BE6" s="9">
        <v>80690</v>
      </c>
      <c r="BF6" s="9">
        <v>80770</v>
      </c>
      <c r="BG6" s="9">
        <v>80823</v>
      </c>
      <c r="BH6" s="9">
        <v>80860</v>
      </c>
      <c r="BI6" s="9">
        <v>80887</v>
      </c>
      <c r="BJ6" s="9">
        <v>80921</v>
      </c>
      <c r="BK6" s="9">
        <v>80932</v>
      </c>
      <c r="BL6" s="9">
        <v>80945</v>
      </c>
      <c r="BM6" s="9">
        <v>80977</v>
      </c>
      <c r="BN6" s="9">
        <v>81003</v>
      </c>
      <c r="BO6" s="9">
        <v>81033</v>
      </c>
      <c r="BP6" s="9">
        <v>81058</v>
      </c>
      <c r="BQ6" s="9">
        <v>81102</v>
      </c>
      <c r="BR6" s="9">
        <v>81156</v>
      </c>
      <c r="BS6" s="9">
        <v>81250</v>
      </c>
      <c r="BT6" s="9">
        <v>81305</v>
      </c>
      <c r="BU6" s="9">
        <v>81435</v>
      </c>
      <c r="BV6" s="9">
        <v>81498</v>
      </c>
      <c r="BW6" s="9">
        <v>81591</v>
      </c>
      <c r="BX6" s="9">
        <v>81661</v>
      </c>
      <c r="BY6" s="9">
        <v>81782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>IF(H7="","",H7)</f>
        <v>Italy</v>
      </c>
      <c r="D7" s="6">
        <f>MAX(I7:KU7)</f>
        <v>80589</v>
      </c>
      <c r="E7" s="6">
        <f>IF(COUNTIF(I7:XFD7,"&gt;"&amp;0)=0,,HLOOKUP(COUNTIF(I7:XFD7,"&gt;"&amp;0)-1,I$1:XFD7,A7+1,FALSE))</f>
        <v>80589</v>
      </c>
      <c r="F7" s="7">
        <f>IF(COUNTIF(I7:XFD7,"&gt;"&amp;0)=0,,HLOOKUP(COUNTIF(I7:XFD7,"&gt;"&amp;0)-MIN($F$1+1,COUNTIF(I7:XFD7,"&gt;"&amp;0)),I$1:XFD7,A7+1,FALSE))</f>
        <v>53578</v>
      </c>
      <c r="G7" s="8">
        <f>IF(COUNTIF(I7:XFD7,"&gt;"&amp;0)=0,,(E7/F7)^(1/MIN(COUNTIF(I7:XFD7,"&gt;"&amp;0)-1,$F$1)))</f>
        <v>1.0850702436006965</v>
      </c>
      <c r="H7" s="15" t="s">
        <v>58</v>
      </c>
      <c r="I7" s="9">
        <v>155</v>
      </c>
      <c r="J7" s="9">
        <v>229</v>
      </c>
      <c r="K7" s="9">
        <v>322</v>
      </c>
      <c r="L7" s="9">
        <v>453</v>
      </c>
      <c r="M7" s="9">
        <v>655</v>
      </c>
      <c r="N7" s="9">
        <v>888</v>
      </c>
      <c r="O7" s="9">
        <v>1128</v>
      </c>
      <c r="P7" s="9">
        <v>1694</v>
      </c>
      <c r="Q7" s="9">
        <v>2036</v>
      </c>
      <c r="R7" s="9">
        <v>2502</v>
      </c>
      <c r="S7" s="9">
        <v>3089</v>
      </c>
      <c r="T7" s="9">
        <v>3858</v>
      </c>
      <c r="U7" s="9">
        <v>4636</v>
      </c>
      <c r="V7" s="9">
        <v>5883</v>
      </c>
      <c r="W7" s="9">
        <v>7375</v>
      </c>
      <c r="X7" s="9">
        <v>9172</v>
      </c>
      <c r="Y7" s="9">
        <v>10149</v>
      </c>
      <c r="Z7" s="9">
        <v>12462</v>
      </c>
      <c r="AA7" s="9">
        <v>15113</v>
      </c>
      <c r="AB7" s="9">
        <v>17660</v>
      </c>
      <c r="AC7" s="9">
        <v>21157</v>
      </c>
      <c r="AD7" s="9">
        <v>24747</v>
      </c>
      <c r="AE7" s="9">
        <v>27980</v>
      </c>
      <c r="AF7" s="9">
        <v>31506</v>
      </c>
      <c r="AG7" s="9">
        <v>35713</v>
      </c>
      <c r="AH7" s="9">
        <v>41035</v>
      </c>
      <c r="AI7" s="9">
        <v>47021</v>
      </c>
      <c r="AJ7" s="9">
        <v>53578</v>
      </c>
      <c r="AK7" s="9">
        <v>59138</v>
      </c>
      <c r="AL7" s="9">
        <v>63927</v>
      </c>
      <c r="AM7" s="9">
        <v>69176</v>
      </c>
      <c r="AN7" s="9">
        <v>74386</v>
      </c>
      <c r="AO7" s="9">
        <v>80589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>IF(H8="","",H8)</f>
        <v>Spain</v>
      </c>
      <c r="D8" s="6">
        <f>MAX(I8:KU8)</f>
        <v>57786</v>
      </c>
      <c r="E8" s="6">
        <f>IF(COUNTIF(I8:XFD8,"&gt;"&amp;0)=0,,HLOOKUP(COUNTIF(I8:XFD8,"&gt;"&amp;0)-1,I$1:XFD8,A8+1,FALSE))</f>
        <v>57786</v>
      </c>
      <c r="F8" s="7">
        <f>IF(COUNTIF(I8:XFD8,"&gt;"&amp;0)=0,,HLOOKUP(COUNTIF(I8:XFD8,"&gt;"&amp;0)-MIN($F$1+1,COUNTIF(I8:XFD8,"&gt;"&amp;0)),I$1:XFD8,A8+1,FALSE))</f>
        <v>25374</v>
      </c>
      <c r="G8" s="8">
        <f>IF(COUNTIF(I8:XFD8,"&gt;"&amp;0)=0,,(E8/F8)^(1/MIN(COUNTIF(I8:XFD8,"&gt;"&amp;0)-1,$F$1)))</f>
        <v>1.1789265261399147</v>
      </c>
      <c r="H8" s="13" t="s">
        <v>60</v>
      </c>
      <c r="I8" s="9">
        <v>120</v>
      </c>
      <c r="J8" s="9">
        <v>165</v>
      </c>
      <c r="K8" s="9">
        <v>222</v>
      </c>
      <c r="L8" s="9">
        <v>259</v>
      </c>
      <c r="M8" s="9">
        <v>400</v>
      </c>
      <c r="N8" s="9">
        <v>500</v>
      </c>
      <c r="O8" s="9">
        <v>673</v>
      </c>
      <c r="P8" s="9">
        <v>1073</v>
      </c>
      <c r="Q8" s="9">
        <v>1695</v>
      </c>
      <c r="R8" s="9">
        <v>2277</v>
      </c>
      <c r="S8" s="9">
        <v>3146</v>
      </c>
      <c r="T8" s="9">
        <v>5232</v>
      </c>
      <c r="U8" s="9">
        <v>6391</v>
      </c>
      <c r="V8" s="9">
        <v>7798</v>
      </c>
      <c r="W8" s="9">
        <v>9942</v>
      </c>
      <c r="X8" s="9">
        <v>11748</v>
      </c>
      <c r="Y8" s="9">
        <v>13910</v>
      </c>
      <c r="Z8" s="9">
        <v>17963</v>
      </c>
      <c r="AA8" s="9">
        <v>20410</v>
      </c>
      <c r="AB8" s="9">
        <v>25374</v>
      </c>
      <c r="AC8" s="9">
        <v>28768</v>
      </c>
      <c r="AD8" s="9">
        <v>35136</v>
      </c>
      <c r="AE8" s="9">
        <v>39885</v>
      </c>
      <c r="AF8" s="9">
        <v>49515</v>
      </c>
      <c r="AG8" s="9">
        <v>57786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>IF(H9="","",H9)</f>
        <v>Germany</v>
      </c>
      <c r="D9" s="6">
        <f>MAX(I9:KU9)</f>
        <v>43938</v>
      </c>
      <c r="E9" s="6">
        <f>IF(COUNTIF(I9:XFD9,"&gt;"&amp;0)=0,,HLOOKUP(COUNTIF(I9:XFD9,"&gt;"&amp;0)-1,I$1:XFD9,A9+1,FALSE))</f>
        <v>43938</v>
      </c>
      <c r="F9" s="7">
        <f>IF(COUNTIF(I9:XFD9,"&gt;"&amp;0)=0,,HLOOKUP(COUNTIF(I9:XFD9,"&gt;"&amp;0)-MIN($F$1+1,COUNTIF(I9:XFD9,"&gt;"&amp;0)),I$1:XFD9,A9+1,FALSE))</f>
        <v>22213</v>
      </c>
      <c r="G9" s="8">
        <f>IF(COUNTIF(I9:XFD9,"&gt;"&amp;0)=0,,(E9/F9)^(1/MIN(COUNTIF(I9:XFD9,"&gt;"&amp;0)-1,$F$1)))</f>
        <v>1.1461636042700556</v>
      </c>
      <c r="H9" s="13" t="s">
        <v>53</v>
      </c>
      <c r="I9" s="9">
        <v>130</v>
      </c>
      <c r="J9" s="9">
        <v>159</v>
      </c>
      <c r="K9" s="9">
        <v>196</v>
      </c>
      <c r="L9" s="9">
        <v>262</v>
      </c>
      <c r="M9" s="9">
        <v>482</v>
      </c>
      <c r="N9" s="9">
        <v>670</v>
      </c>
      <c r="O9" s="9">
        <v>799</v>
      </c>
      <c r="P9" s="9">
        <v>1040</v>
      </c>
      <c r="Q9" s="9">
        <v>1176</v>
      </c>
      <c r="R9" s="9">
        <v>1457</v>
      </c>
      <c r="S9" s="9">
        <v>1908</v>
      </c>
      <c r="T9" s="9">
        <v>2745</v>
      </c>
      <c r="U9" s="9">
        <v>3675</v>
      </c>
      <c r="V9" s="9">
        <v>4585</v>
      </c>
      <c r="W9" s="9">
        <v>5795</v>
      </c>
      <c r="X9" s="9">
        <v>7272</v>
      </c>
      <c r="Y9" s="9">
        <v>9257</v>
      </c>
      <c r="Z9" s="9">
        <v>12327</v>
      </c>
      <c r="AA9" s="9">
        <v>15320</v>
      </c>
      <c r="AB9" s="9">
        <v>19848</v>
      </c>
      <c r="AC9" s="9">
        <v>22213</v>
      </c>
      <c r="AD9" s="9">
        <v>24873</v>
      </c>
      <c r="AE9" s="9">
        <v>29056</v>
      </c>
      <c r="AF9" s="9">
        <v>32986</v>
      </c>
      <c r="AG9" s="9">
        <v>37323</v>
      </c>
      <c r="AH9" s="9">
        <v>43938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>IF(H10="","",H10)</f>
        <v>France</v>
      </c>
      <c r="D10" s="6">
        <f>MAX(I10:KU10)</f>
        <v>29551</v>
      </c>
      <c r="E10" s="6">
        <f>IF(COUNTIF(I10:XFD10,"&gt;"&amp;0)=0,,HLOOKUP(COUNTIF(I10:XFD10,"&gt;"&amp;0)-1,I$1:XFD10,A10+1,FALSE))</f>
        <v>29551</v>
      </c>
      <c r="F10" s="7">
        <f>IF(COUNTIF(I10:XFD10,"&gt;"&amp;0)=0,,HLOOKUP(COUNTIF(I10:XFD10,"&gt;"&amp;0)-MIN($F$1+1,COUNTIF(I10:XFD10,"&gt;"&amp;0)),I$1:XFD10,A10+1,FALSE))</f>
        <v>14463</v>
      </c>
      <c r="G10" s="8">
        <f>IF(COUNTIF(I10:XFD10,"&gt;"&amp;0)=0,,(E10/F10)^(1/MIN(COUNTIF(I10:XFD10,"&gt;"&amp;0)-1,$F$1)))</f>
        <v>1.1536199533902116</v>
      </c>
      <c r="H10" s="13" t="s">
        <v>41</v>
      </c>
      <c r="I10" s="9">
        <v>100</v>
      </c>
      <c r="J10" s="9">
        <v>130</v>
      </c>
      <c r="K10" s="9">
        <v>191</v>
      </c>
      <c r="L10" s="9">
        <v>204</v>
      </c>
      <c r="M10" s="9">
        <v>288</v>
      </c>
      <c r="N10" s="9">
        <v>380</v>
      </c>
      <c r="O10" s="9">
        <v>656</v>
      </c>
      <c r="P10" s="9">
        <v>959</v>
      </c>
      <c r="Q10" s="9">
        <v>1136</v>
      </c>
      <c r="R10" s="9">
        <v>1219</v>
      </c>
      <c r="S10" s="9">
        <v>1794</v>
      </c>
      <c r="T10" s="9">
        <v>2293</v>
      </c>
      <c r="U10" s="9">
        <v>2876</v>
      </c>
      <c r="V10" s="9">
        <v>3681</v>
      </c>
      <c r="W10" s="9">
        <v>4496</v>
      </c>
      <c r="X10" s="9">
        <v>5432</v>
      </c>
      <c r="Y10" s="9">
        <v>6683</v>
      </c>
      <c r="Z10" s="9">
        <v>7715</v>
      </c>
      <c r="AA10" s="9">
        <v>9124</v>
      </c>
      <c r="AB10" s="9">
        <v>10970</v>
      </c>
      <c r="AC10" s="9">
        <v>12758</v>
      </c>
      <c r="AD10" s="9">
        <v>14463</v>
      </c>
      <c r="AE10" s="9">
        <v>16243</v>
      </c>
      <c r="AF10" s="9">
        <v>20123</v>
      </c>
      <c r="AG10" s="9">
        <v>22622</v>
      </c>
      <c r="AH10" s="9">
        <v>25600</v>
      </c>
      <c r="AI10" s="9">
        <v>29551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1</v>
      </c>
      <c r="C11" s="9" t="str">
        <f>IF(H11="","",H11)</f>
        <v>United Kingdom</v>
      </c>
      <c r="D11" s="6">
        <f>MAX(I11:KU11)</f>
        <v>11812</v>
      </c>
      <c r="E11" s="6">
        <f>IF(COUNTIF(I11:XFD11,"&gt;"&amp;0)=0,,HLOOKUP(COUNTIF(I11:XFD11,"&gt;"&amp;0)-1,I$1:XFD11,A11+1,FALSE))</f>
        <v>11812</v>
      </c>
      <c r="F11" s="7">
        <f>IF(COUNTIF(I11:XFD11,"&gt;"&amp;0)=0,,HLOOKUP(COUNTIF(I11:XFD11,"&gt;"&amp;0)-MIN($F$1+1,COUNTIF(I11:XFD11,"&gt;"&amp;0)),I$1:XFD11,A11+1,FALSE))</f>
        <v>5067</v>
      </c>
      <c r="G11" s="8">
        <f>IF(COUNTIF(I11:XFD11,"&gt;"&amp;0)=0,,(E11/F11)^(1/MIN(COUNTIF(I11:XFD11,"&gt;"&amp;0)-1,$F$1)))</f>
        <v>1.1844439304858052</v>
      </c>
      <c r="H11" s="13" t="s">
        <v>349</v>
      </c>
      <c r="I11" s="9">
        <v>116</v>
      </c>
      <c r="J11" s="9">
        <v>164</v>
      </c>
      <c r="K11" s="9">
        <v>207</v>
      </c>
      <c r="L11" s="9">
        <v>274</v>
      </c>
      <c r="M11" s="9">
        <v>322</v>
      </c>
      <c r="N11" s="9">
        <v>384</v>
      </c>
      <c r="O11" s="9">
        <v>459</v>
      </c>
      <c r="P11" s="9">
        <v>590</v>
      </c>
      <c r="Q11" s="9">
        <v>802</v>
      </c>
      <c r="R11" s="9">
        <v>1144</v>
      </c>
      <c r="S11" s="9">
        <v>1355</v>
      </c>
      <c r="T11" s="9">
        <v>1551</v>
      </c>
      <c r="U11" s="9">
        <v>1960</v>
      </c>
      <c r="V11" s="9">
        <v>2642</v>
      </c>
      <c r="W11" s="9">
        <v>2716</v>
      </c>
      <c r="X11" s="9">
        <v>4014</v>
      </c>
      <c r="Y11" s="9">
        <v>5067</v>
      </c>
      <c r="Z11" s="9">
        <v>5745</v>
      </c>
      <c r="AA11" s="9">
        <v>6726</v>
      </c>
      <c r="AB11" s="9">
        <v>8164</v>
      </c>
      <c r="AC11" s="9">
        <v>9640</v>
      </c>
      <c r="AD11" s="9">
        <v>11812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0</v>
      </c>
      <c r="C12" s="9" t="str">
        <f>IF(H12="","",H12)</f>
        <v>World</v>
      </c>
      <c r="D12" s="6">
        <f>MAX(I12:KU12)</f>
        <v>527572</v>
      </c>
      <c r="E12" s="6">
        <f>IF(COUNTIF(I12:XFD12,"&gt;"&amp;0)=0,,HLOOKUP(COUNTIF(I12:XFD12,"&gt;"&amp;0)-1,I$1:XFD12,A12+1,FALSE))</f>
        <v>527572</v>
      </c>
      <c r="F12" s="7">
        <f>IF(COUNTIF(I12:XFD12,"&gt;"&amp;0)=0,,HLOOKUP(COUNTIF(I12:XFD12,"&gt;"&amp;0)-MIN($F$1+1,COUNTIF(I12:XFD12,"&gt;"&amp;0)),I$1:XFD12,A12+1,FALSE))</f>
        <v>303183</v>
      </c>
      <c r="G12" s="8">
        <f>IF(COUNTIF(I12:XFD12,"&gt;"&amp;0)=0,,(E12/F12)^(1/MIN(COUNTIF(I12:XFD12,"&gt;"&amp;0)-1,$F$1)))</f>
        <v>1.1171600026965167</v>
      </c>
      <c r="H12" s="13" t="s">
        <v>606</v>
      </c>
      <c r="I12" s="9">
        <v>555</v>
      </c>
      <c r="J12" s="9">
        <v>654</v>
      </c>
      <c r="K12" s="9">
        <v>941</v>
      </c>
      <c r="L12" s="9">
        <v>1434</v>
      </c>
      <c r="M12" s="9">
        <v>2118</v>
      </c>
      <c r="N12" s="9">
        <v>2927</v>
      </c>
      <c r="O12" s="9">
        <v>5578</v>
      </c>
      <c r="P12" s="9">
        <v>6166</v>
      </c>
      <c r="Q12" s="9">
        <v>8234</v>
      </c>
      <c r="R12" s="9">
        <v>9927</v>
      </c>
      <c r="S12" s="9">
        <v>12038</v>
      </c>
      <c r="T12" s="9">
        <v>16787</v>
      </c>
      <c r="U12" s="9">
        <v>19881</v>
      </c>
      <c r="V12" s="9">
        <v>23892</v>
      </c>
      <c r="W12" s="9">
        <v>27635</v>
      </c>
      <c r="X12" s="9">
        <v>30794</v>
      </c>
      <c r="Y12" s="9">
        <v>34330</v>
      </c>
      <c r="Z12" s="9">
        <v>37059</v>
      </c>
      <c r="AA12" s="9">
        <v>40086</v>
      </c>
      <c r="AB12" s="9">
        <v>42627</v>
      </c>
      <c r="AC12" s="9">
        <v>44667</v>
      </c>
      <c r="AD12" s="9">
        <v>45046</v>
      </c>
      <c r="AE12" s="9">
        <v>60193</v>
      </c>
      <c r="AF12" s="9">
        <v>66667</v>
      </c>
      <c r="AG12" s="9">
        <v>68745</v>
      </c>
      <c r="AH12" s="9">
        <v>70869</v>
      </c>
      <c r="AI12" s="9">
        <v>72804</v>
      </c>
      <c r="AJ12" s="9">
        <v>74594</v>
      </c>
      <c r="AK12" s="9">
        <v>75018</v>
      </c>
      <c r="AL12" s="9">
        <v>75563</v>
      </c>
      <c r="AM12" s="9">
        <v>76185</v>
      </c>
      <c r="AN12" s="9">
        <v>77938</v>
      </c>
      <c r="AO12" s="9">
        <v>78267</v>
      </c>
      <c r="AP12" s="9">
        <v>78870</v>
      </c>
      <c r="AQ12" s="9">
        <v>79715</v>
      </c>
      <c r="AR12" s="9">
        <v>80683</v>
      </c>
      <c r="AS12" s="9">
        <v>82041</v>
      </c>
      <c r="AT12" s="9">
        <v>83407</v>
      </c>
      <c r="AU12" s="9">
        <v>85306</v>
      </c>
      <c r="AV12" s="9">
        <v>87664</v>
      </c>
      <c r="AW12" s="9">
        <v>89601</v>
      </c>
      <c r="AX12" s="9">
        <v>92134</v>
      </c>
      <c r="AY12" s="9">
        <v>94414</v>
      </c>
      <c r="AZ12" s="9">
        <v>97176</v>
      </c>
      <c r="BA12" s="9">
        <v>101088</v>
      </c>
      <c r="BB12" s="9">
        <v>105125</v>
      </c>
      <c r="BC12" s="9">
        <v>109099</v>
      </c>
      <c r="BD12" s="9">
        <v>112865</v>
      </c>
      <c r="BE12" s="9">
        <v>117888</v>
      </c>
      <c r="BF12" s="9">
        <v>125139</v>
      </c>
      <c r="BG12" s="9">
        <v>132517</v>
      </c>
      <c r="BH12" s="9">
        <v>144468</v>
      </c>
      <c r="BI12" s="9">
        <v>155337</v>
      </c>
      <c r="BJ12" s="9">
        <v>167781</v>
      </c>
      <c r="BK12" s="9">
        <v>180762</v>
      </c>
      <c r="BL12" s="9">
        <v>196234</v>
      </c>
      <c r="BM12" s="9">
        <v>213897</v>
      </c>
      <c r="BN12" s="9">
        <v>241500</v>
      </c>
      <c r="BO12" s="9">
        <v>270949</v>
      </c>
      <c r="BP12" s="9">
        <v>303183</v>
      </c>
      <c r="BQ12" s="9">
        <v>335631</v>
      </c>
      <c r="BR12" s="9">
        <v>376812</v>
      </c>
      <c r="BS12" s="9">
        <v>416496</v>
      </c>
      <c r="BT12" s="9">
        <v>465942</v>
      </c>
      <c r="BU12" s="9">
        <v>527572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>IF(H13="","",H13)</f>
        <v>Europe</v>
      </c>
      <c r="D13" s="6">
        <f>MAX(I13:KU13)</f>
        <v>287075</v>
      </c>
      <c r="E13" s="6">
        <f>IF(COUNTIF(I13:XFD13,"&gt;"&amp;0)=0,,HLOOKUP(COUNTIF(I13:XFD13,"&gt;"&amp;0)-1,I$1:XFD13,A13+1,FALSE))</f>
        <v>287075</v>
      </c>
      <c r="F13" s="7">
        <f>IF(COUNTIF(I13:XFD13,"&gt;"&amp;0)=0,,HLOOKUP(COUNTIF(I13:XFD13,"&gt;"&amp;0)-MIN($F$1+1,COUNTIF(I13:XFD13,"&gt;"&amp;0)),I$1:XFD13,A13+1,FALSE))</f>
        <v>151490</v>
      </c>
      <c r="G13" s="8">
        <f>IF(COUNTIF(I13:XFD13,"&gt;"&amp;0)=0,,(E13/F13)^(1/MIN(COUNTIF(I13:XFD13,"&gt;"&amp;0)-1,$F$1)))</f>
        <v>1.1363765982426959</v>
      </c>
      <c r="H13" s="13" t="s">
        <v>609</v>
      </c>
      <c r="I13" s="9">
        <v>104</v>
      </c>
      <c r="J13" s="9">
        <v>197</v>
      </c>
      <c r="K13" s="9">
        <v>275</v>
      </c>
      <c r="L13" s="9">
        <v>379</v>
      </c>
      <c r="M13" s="9">
        <v>540</v>
      </c>
      <c r="N13" s="9">
        <v>804</v>
      </c>
      <c r="O13" s="9">
        <v>1093</v>
      </c>
      <c r="P13" s="9">
        <v>1465</v>
      </c>
      <c r="Q13" s="9">
        <v>2205</v>
      </c>
      <c r="R13" s="9">
        <v>2731</v>
      </c>
      <c r="S13" s="9">
        <v>3360</v>
      </c>
      <c r="T13" s="9">
        <v>4342</v>
      </c>
      <c r="U13" s="9">
        <v>5743</v>
      </c>
      <c r="V13" s="9">
        <v>7509</v>
      </c>
      <c r="W13" s="9">
        <v>9653</v>
      </c>
      <c r="X13" s="9">
        <v>12202</v>
      </c>
      <c r="Y13" s="9">
        <v>14988</v>
      </c>
      <c r="Z13" s="9">
        <v>18391</v>
      </c>
      <c r="AA13" s="9">
        <v>23465</v>
      </c>
      <c r="AB13" s="9">
        <v>29097</v>
      </c>
      <c r="AC13" s="9">
        <v>38314</v>
      </c>
      <c r="AD13" s="9">
        <v>46524</v>
      </c>
      <c r="AE13" s="9">
        <v>56031</v>
      </c>
      <c r="AF13" s="9">
        <v>65711</v>
      </c>
      <c r="AG13" s="9">
        <v>76893</v>
      </c>
      <c r="AH13" s="9">
        <v>90579</v>
      </c>
      <c r="AI13" s="9">
        <v>109054</v>
      </c>
      <c r="AJ13" s="9">
        <v>129704</v>
      </c>
      <c r="AK13" s="9">
        <v>151490</v>
      </c>
      <c r="AL13" s="9">
        <v>171175</v>
      </c>
      <c r="AM13" s="9">
        <v>196940</v>
      </c>
      <c r="AN13" s="9">
        <v>220914</v>
      </c>
      <c r="AO13" s="9">
        <v>251069</v>
      </c>
      <c r="AP13" s="9">
        <v>287075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>IF(H14="","",H14)</f>
        <v>Asia</v>
      </c>
      <c r="D14" s="6">
        <f>MAX(I14:KU14)</f>
        <v>101468</v>
      </c>
      <c r="E14" s="6">
        <f>IF(COUNTIF(I14:XFD14,"&gt;"&amp;0)=0,,HLOOKUP(COUNTIF(I14:XFD14,"&gt;"&amp;0)-1,I$1:XFD14,A14+1,FALSE))</f>
        <v>101468</v>
      </c>
      <c r="F14" s="7">
        <f>IF(COUNTIF(I14:XFD14,"&gt;"&amp;0)=0,,HLOOKUP(COUNTIF(I14:XFD14,"&gt;"&amp;0)-MIN($F$1+1,COUNTIF(I14:XFD14,"&gt;"&amp;0)),I$1:XFD14,A14+1,FALSE))</f>
        <v>95824</v>
      </c>
      <c r="G14" s="8">
        <f>IF(COUNTIF(I14:XFD14,"&gt;"&amp;0)=0,,(E14/F14)^(1/MIN(COUNTIF(I14:XFD14,"&gt;"&amp;0)-1,$F$1)))</f>
        <v>1.0115118172590858</v>
      </c>
      <c r="H14" s="13" t="s">
        <v>608</v>
      </c>
      <c r="I14" s="9">
        <v>554</v>
      </c>
      <c r="J14" s="9">
        <v>653</v>
      </c>
      <c r="K14" s="9">
        <v>937</v>
      </c>
      <c r="L14" s="9">
        <v>1429</v>
      </c>
      <c r="M14" s="9">
        <v>2105</v>
      </c>
      <c r="N14" s="9">
        <v>2911</v>
      </c>
      <c r="O14" s="9">
        <v>5557</v>
      </c>
      <c r="P14" s="9">
        <v>6138</v>
      </c>
      <c r="Q14" s="9">
        <v>8203</v>
      </c>
      <c r="R14" s="9">
        <v>9886</v>
      </c>
      <c r="S14" s="9">
        <v>11988</v>
      </c>
      <c r="T14" s="9">
        <v>16734</v>
      </c>
      <c r="U14" s="9">
        <v>19823</v>
      </c>
      <c r="V14" s="9">
        <v>23832</v>
      </c>
      <c r="W14" s="9">
        <v>27574</v>
      </c>
      <c r="X14" s="9">
        <v>30732</v>
      </c>
      <c r="Y14" s="9">
        <v>34262</v>
      </c>
      <c r="Z14" s="9">
        <v>36984</v>
      </c>
      <c r="AA14" s="9">
        <v>40009</v>
      </c>
      <c r="AB14" s="9">
        <v>42544</v>
      </c>
      <c r="AC14" s="9">
        <v>44581</v>
      </c>
      <c r="AD14" s="9">
        <v>44959</v>
      </c>
      <c r="AE14" s="9">
        <v>60105</v>
      </c>
      <c r="AF14" s="9">
        <v>66578</v>
      </c>
      <c r="AG14" s="9">
        <v>68655</v>
      </c>
      <c r="AH14" s="9">
        <v>70778</v>
      </c>
      <c r="AI14" s="9">
        <v>72712</v>
      </c>
      <c r="AJ14" s="9">
        <v>74502</v>
      </c>
      <c r="AK14" s="9">
        <v>74924</v>
      </c>
      <c r="AL14" s="9">
        <v>75466</v>
      </c>
      <c r="AM14" s="9">
        <v>76053</v>
      </c>
      <c r="AN14" s="9">
        <v>77750</v>
      </c>
      <c r="AO14" s="9">
        <v>77971</v>
      </c>
      <c r="AP14" s="9">
        <v>78435</v>
      </c>
      <c r="AQ14" s="9">
        <v>79108</v>
      </c>
      <c r="AR14" s="9">
        <v>79831</v>
      </c>
      <c r="AS14" s="9">
        <v>80796</v>
      </c>
      <c r="AT14" s="9">
        <v>81712</v>
      </c>
      <c r="AU14" s="9">
        <v>82985</v>
      </c>
      <c r="AV14" s="9">
        <v>84174</v>
      </c>
      <c r="AW14" s="9">
        <v>85004</v>
      </c>
      <c r="AX14" s="9">
        <v>86010</v>
      </c>
      <c r="AY14" s="9">
        <v>86645</v>
      </c>
      <c r="AZ14" s="9">
        <v>87311</v>
      </c>
      <c r="BA14" s="9">
        <v>88093</v>
      </c>
      <c r="BB14" s="9">
        <v>88691</v>
      </c>
      <c r="BC14" s="9">
        <v>89110</v>
      </c>
      <c r="BD14" s="9">
        <v>89366</v>
      </c>
      <c r="BE14" s="9">
        <v>89578</v>
      </c>
      <c r="BF14" s="9">
        <v>90009</v>
      </c>
      <c r="BG14" s="9">
        <v>90170</v>
      </c>
      <c r="BH14" s="9">
        <v>90559</v>
      </c>
      <c r="BI14" s="9">
        <v>90960</v>
      </c>
      <c r="BJ14" s="9">
        <v>91494</v>
      </c>
      <c r="BK14" s="9">
        <v>91957</v>
      </c>
      <c r="BL14" s="9">
        <v>92557</v>
      </c>
      <c r="BM14" s="9">
        <v>93142</v>
      </c>
      <c r="BN14" s="9">
        <v>93991</v>
      </c>
      <c r="BO14" s="9">
        <v>94711</v>
      </c>
      <c r="BP14" s="9">
        <v>95824</v>
      </c>
      <c r="BQ14" s="9">
        <v>96920</v>
      </c>
      <c r="BR14" s="9">
        <v>97888</v>
      </c>
      <c r="BS14" s="9">
        <v>98851</v>
      </c>
      <c r="BT14" s="9">
        <v>100098</v>
      </c>
      <c r="BU14" s="9">
        <v>101468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>IF(H15="","",H15)</f>
        <v>North America</v>
      </c>
      <c r="D15" s="6">
        <f>MAX(I15:KU15)</f>
        <v>89242</v>
      </c>
      <c r="E15" s="6">
        <f>IF(COUNTIF(I15:XFD15,"&gt;"&amp;0)=0,,HLOOKUP(COUNTIF(I15:XFD15,"&gt;"&amp;0)-1,I$1:XFD15,A15+1,FALSE))</f>
        <v>89242</v>
      </c>
      <c r="F15" s="7">
        <f>IF(COUNTIF(I15:XFD15,"&gt;"&amp;0)=0,,HLOOKUP(COUNTIF(I15:XFD15,"&gt;"&amp;0)-MIN($F$1+1,COUNTIF(I15:XFD15,"&gt;"&amp;0)),I$1:XFD15,A15+1,FALSE))</f>
        <v>27324</v>
      </c>
      <c r="G15" s="8">
        <f>IF(COUNTIF(I15:XFD15,"&gt;"&amp;0)=0,,(E15/F15)^(1/MIN(COUNTIF(I15:XFD15,"&gt;"&amp;0)-1,$F$1)))</f>
        <v>1.2670828232593172</v>
      </c>
      <c r="H15" s="13" t="s">
        <v>611</v>
      </c>
      <c r="I15" s="9">
        <v>103</v>
      </c>
      <c r="J15" s="9">
        <v>130</v>
      </c>
      <c r="K15" s="9">
        <v>153</v>
      </c>
      <c r="L15" s="9">
        <v>187</v>
      </c>
      <c r="M15" s="9">
        <v>259</v>
      </c>
      <c r="N15" s="9">
        <v>318</v>
      </c>
      <c r="O15" s="9">
        <v>463</v>
      </c>
      <c r="P15" s="9">
        <v>594</v>
      </c>
      <c r="Q15" s="9">
        <v>676</v>
      </c>
      <c r="R15" s="9">
        <v>1055</v>
      </c>
      <c r="S15" s="9">
        <v>1419</v>
      </c>
      <c r="T15" s="9">
        <v>1830</v>
      </c>
      <c r="U15" s="9">
        <v>2447</v>
      </c>
      <c r="V15" s="9">
        <v>3026</v>
      </c>
      <c r="W15" s="9">
        <v>3877</v>
      </c>
      <c r="X15" s="9">
        <v>5205</v>
      </c>
      <c r="Y15" s="9">
        <v>7109</v>
      </c>
      <c r="Z15" s="9">
        <v>8690</v>
      </c>
      <c r="AA15" s="9">
        <v>14800</v>
      </c>
      <c r="AB15" s="9">
        <v>20466</v>
      </c>
      <c r="AC15" s="9">
        <v>27324</v>
      </c>
      <c r="AD15" s="9">
        <v>35498</v>
      </c>
      <c r="AE15" s="9">
        <v>46816</v>
      </c>
      <c r="AF15" s="9">
        <v>57491</v>
      </c>
      <c r="AG15" s="9">
        <v>70164</v>
      </c>
      <c r="AH15" s="9">
        <v>89242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>IF(H16="","",H16)</f>
        <v>Middle East</v>
      </c>
      <c r="D16" s="6">
        <f>MAX(I16:KU16)</f>
        <v>35824</v>
      </c>
      <c r="E16" s="6">
        <f>IF(COUNTIF(I16:XFD16,"&gt;"&amp;0)=0,,HLOOKUP(COUNTIF(I16:XFD16,"&gt;"&amp;0)-1,I$1:XFD16,A16+1,FALSE))</f>
        <v>35824</v>
      </c>
      <c r="F16" s="7">
        <f>IF(COUNTIF(I16:XFD16,"&gt;"&amp;0)=0,,HLOOKUP(COUNTIF(I16:XFD16,"&gt;"&amp;0)-MIN($F$1+1,COUNTIF(I16:XFD16,"&gt;"&amp;0)),I$1:XFD16,A16+1,FALSE))</f>
        <v>23391</v>
      </c>
      <c r="G16" s="8">
        <f>IF(COUNTIF(I16:XFD16,"&gt;"&amp;0)=0,,(E16/F16)^(1/MIN(COUNTIF(I16:XFD16,"&gt;"&amp;0)-1,$F$1)))</f>
        <v>1.0889929230708364</v>
      </c>
      <c r="H16" s="13" t="s">
        <v>610</v>
      </c>
      <c r="I16" s="9">
        <v>148</v>
      </c>
      <c r="J16" s="9">
        <v>225</v>
      </c>
      <c r="K16" s="9">
        <v>351</v>
      </c>
      <c r="L16" s="9">
        <v>506</v>
      </c>
      <c r="M16" s="9">
        <v>732</v>
      </c>
      <c r="N16" s="9">
        <v>1140</v>
      </c>
      <c r="O16" s="9">
        <v>1687</v>
      </c>
      <c r="P16" s="9">
        <v>2547</v>
      </c>
      <c r="Q16" s="9">
        <v>3146</v>
      </c>
      <c r="R16" s="9">
        <v>3757</v>
      </c>
      <c r="S16" s="9">
        <v>5024</v>
      </c>
      <c r="T16" s="9">
        <v>6164</v>
      </c>
      <c r="U16" s="9">
        <v>6960</v>
      </c>
      <c r="V16" s="9">
        <v>7572</v>
      </c>
      <c r="W16" s="9">
        <v>8550</v>
      </c>
      <c r="X16" s="9">
        <v>9861</v>
      </c>
      <c r="Y16" s="9">
        <v>11000</v>
      </c>
      <c r="Z16" s="9">
        <v>12461</v>
      </c>
      <c r="AA16" s="9">
        <v>13957</v>
      </c>
      <c r="AB16" s="9">
        <v>15351</v>
      </c>
      <c r="AC16" s="9">
        <v>16495</v>
      </c>
      <c r="AD16" s="9">
        <v>17839</v>
      </c>
      <c r="AE16" s="9">
        <v>19209</v>
      </c>
      <c r="AF16" s="9">
        <v>20622</v>
      </c>
      <c r="AG16" s="9">
        <v>22099</v>
      </c>
      <c r="AH16" s="9">
        <v>23391</v>
      </c>
      <c r="AI16" s="9">
        <v>24889</v>
      </c>
      <c r="AJ16" s="9">
        <v>26713</v>
      </c>
      <c r="AK16" s="9">
        <v>29119</v>
      </c>
      <c r="AL16" s="9">
        <v>32804</v>
      </c>
      <c r="AM16" s="9">
        <v>35824</v>
      </c>
    </row>
    <row r="17" spans="1:44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>IF(H17="","",H17)</f>
        <v>Iran</v>
      </c>
      <c r="D17" s="6">
        <f>MAX(I17:KU17)</f>
        <v>29406</v>
      </c>
      <c r="E17" s="6">
        <f>IF(COUNTIF(I17:XFD17,"&gt;"&amp;0)=0,,HLOOKUP(COUNTIF(I17:XFD17,"&gt;"&amp;0)-1,I$1:XFD17,A17+1,FALSE))</f>
        <v>29406</v>
      </c>
      <c r="F17" s="7">
        <f>IF(COUNTIF(I17:XFD17,"&gt;"&amp;0)=0,,HLOOKUP(COUNTIF(I17:XFD17,"&gt;"&amp;0)-MIN($F$1+1,COUNTIF(I17:XFD17,"&gt;"&amp;0)),I$1:XFD17,A17+1,FALSE))</f>
        <v>20610</v>
      </c>
      <c r="G17" s="8">
        <f>IF(COUNTIF(I17:XFD17,"&gt;"&amp;0)=0,,(E17/F17)^(1/MIN(COUNTIF(I17:XFD17,"&gt;"&amp;0)-1,$F$1)))</f>
        <v>1.0736719130117174</v>
      </c>
      <c r="H17" s="15" t="s">
        <v>338</v>
      </c>
      <c r="I17" s="9">
        <v>139</v>
      </c>
      <c r="J17" s="9">
        <v>245</v>
      </c>
      <c r="K17" s="9">
        <v>388</v>
      </c>
      <c r="L17" s="9">
        <v>593</v>
      </c>
      <c r="M17" s="9">
        <v>978</v>
      </c>
      <c r="N17" s="9">
        <v>1501</v>
      </c>
      <c r="O17" s="9">
        <v>2336</v>
      </c>
      <c r="P17" s="9">
        <v>2922</v>
      </c>
      <c r="Q17" s="9">
        <v>3513</v>
      </c>
      <c r="R17" s="9">
        <v>4747</v>
      </c>
      <c r="S17" s="9">
        <v>5823</v>
      </c>
      <c r="T17" s="9">
        <v>6566</v>
      </c>
      <c r="U17" s="9">
        <v>7161</v>
      </c>
      <c r="V17" s="9">
        <v>8042</v>
      </c>
      <c r="W17" s="9">
        <v>9000</v>
      </c>
      <c r="X17" s="9">
        <v>10075</v>
      </c>
      <c r="Y17" s="9">
        <v>11364</v>
      </c>
      <c r="Z17" s="9">
        <v>12729</v>
      </c>
      <c r="AA17" s="9">
        <v>13938</v>
      </c>
      <c r="AB17" s="9">
        <v>14991</v>
      </c>
      <c r="AC17" s="9">
        <v>16169</v>
      </c>
      <c r="AD17" s="9">
        <v>17361</v>
      </c>
      <c r="AE17" s="9">
        <v>18407</v>
      </c>
      <c r="AF17" s="9">
        <v>19644</v>
      </c>
      <c r="AG17" s="9">
        <v>20610</v>
      </c>
      <c r="AH17" s="9">
        <v>21638</v>
      </c>
      <c r="AI17" s="9">
        <v>23049</v>
      </c>
      <c r="AJ17" s="9">
        <v>24811</v>
      </c>
      <c r="AK17" s="9">
        <v>27017</v>
      </c>
      <c r="AL17" s="9">
        <v>29406</v>
      </c>
    </row>
    <row r="18" spans="1:44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>IF(H18="","",H18)</f>
        <v>Switzerland</v>
      </c>
      <c r="D18" s="6">
        <f>MAX(I18:KU18)</f>
        <v>11811</v>
      </c>
      <c r="E18" s="6">
        <f>IF(COUNTIF(I18:XFD18,"&gt;"&amp;0)=0,,HLOOKUP(COUNTIF(I18:XFD18,"&gt;"&amp;0)-1,I$1:XFD18,A18+1,FALSE))</f>
        <v>11811</v>
      </c>
      <c r="F18" s="7">
        <f>IF(COUNTIF(I18:XFD18,"&gt;"&amp;0)=0,,HLOOKUP(COUNTIF(I18:XFD18,"&gt;"&amp;0)-MIN($F$1+1,COUNTIF(I18:XFD18,"&gt;"&amp;0)),I$1:XFD18,A18+1,FALSE))</f>
        <v>6575</v>
      </c>
      <c r="G18" s="8">
        <f>IF(COUNTIF(I18:XFD18,"&gt;"&amp;0)=0,,(E18/F18)^(1/MIN(COUNTIF(I18:XFD18,"&gt;"&amp;0)-1,$F$1)))</f>
        <v>1.1242895718730936</v>
      </c>
      <c r="H18" s="13" t="s">
        <v>77</v>
      </c>
      <c r="I18" s="9">
        <v>114</v>
      </c>
      <c r="J18" s="9">
        <v>214</v>
      </c>
      <c r="K18" s="9">
        <v>268</v>
      </c>
      <c r="L18" s="9">
        <v>337</v>
      </c>
      <c r="M18" s="9">
        <v>374</v>
      </c>
      <c r="N18" s="9">
        <v>491</v>
      </c>
      <c r="O18" s="9">
        <v>652</v>
      </c>
      <c r="P18" s="9">
        <v>652</v>
      </c>
      <c r="Q18" s="9">
        <v>1139</v>
      </c>
      <c r="R18" s="9">
        <v>1359</v>
      </c>
      <c r="S18" s="9">
        <v>2200</v>
      </c>
      <c r="T18" s="9">
        <v>2200</v>
      </c>
      <c r="U18" s="9">
        <v>2700</v>
      </c>
      <c r="V18" s="9">
        <v>3028</v>
      </c>
      <c r="W18" s="9">
        <v>4075</v>
      </c>
      <c r="X18" s="9">
        <v>5294</v>
      </c>
      <c r="Y18" s="9">
        <v>6575</v>
      </c>
      <c r="Z18" s="9">
        <v>7474</v>
      </c>
      <c r="AA18" s="9">
        <v>8795</v>
      </c>
      <c r="AB18" s="9">
        <v>9877</v>
      </c>
      <c r="AC18" s="9">
        <v>10897</v>
      </c>
      <c r="AD18" s="9">
        <v>11811</v>
      </c>
    </row>
    <row r="19" spans="1:44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>IF(H19="","",H19)</f>
        <v>Korea, South</v>
      </c>
      <c r="D19" s="6">
        <f>MAX(I19:KU19)</f>
        <v>9241</v>
      </c>
      <c r="E19" s="6">
        <f>IF(COUNTIF(I19:XFD19,"&gt;"&amp;0)=0,,HLOOKUP(COUNTIF(I19:XFD19,"&gt;"&amp;0)-1,I$1:XFD19,A19+1,FALSE))</f>
        <v>9241</v>
      </c>
      <c r="F19" s="7">
        <f>IF(COUNTIF(I19:XFD19,"&gt;"&amp;0)=0,,HLOOKUP(COUNTIF(I19:XFD19,"&gt;"&amp;0)-MIN($F$1+1,COUNTIF(I19:XFD19,"&gt;"&amp;0)),I$1:XFD19,A19+1,FALSE))</f>
        <v>8799</v>
      </c>
      <c r="G19" s="8">
        <f>IF(COUNTIF(I19:XFD19,"&gt;"&amp;0)=0,,(E19/F19)^(1/MIN(COUNTIF(I19:XFD19,"&gt;"&amp;0)-1,$F$1)))</f>
        <v>1.0098506061891386</v>
      </c>
      <c r="H19" s="13" t="s">
        <v>339</v>
      </c>
      <c r="I19" s="9">
        <v>104</v>
      </c>
      <c r="J19" s="9">
        <v>204</v>
      </c>
      <c r="K19" s="9">
        <v>433</v>
      </c>
      <c r="L19" s="9">
        <v>602</v>
      </c>
      <c r="M19" s="9">
        <v>833</v>
      </c>
      <c r="N19" s="9">
        <v>977</v>
      </c>
      <c r="O19" s="9">
        <v>1261</v>
      </c>
      <c r="P19" s="9">
        <v>1766</v>
      </c>
      <c r="Q19" s="9">
        <v>2337</v>
      </c>
      <c r="R19" s="9">
        <v>3150</v>
      </c>
      <c r="S19" s="9">
        <v>3736</v>
      </c>
      <c r="T19" s="9">
        <v>4335</v>
      </c>
      <c r="U19" s="9">
        <v>5186</v>
      </c>
      <c r="V19" s="9">
        <v>5621</v>
      </c>
      <c r="W19" s="9">
        <v>6088</v>
      </c>
      <c r="X19" s="9">
        <v>6593</v>
      </c>
      <c r="Y19" s="9">
        <v>7041</v>
      </c>
      <c r="Z19" s="9">
        <v>7314</v>
      </c>
      <c r="AA19" s="9">
        <v>7478</v>
      </c>
      <c r="AB19" s="9">
        <v>7513</v>
      </c>
      <c r="AC19" s="9">
        <v>7755</v>
      </c>
      <c r="AD19" s="9">
        <v>7869</v>
      </c>
      <c r="AE19" s="9">
        <v>7979</v>
      </c>
      <c r="AF19" s="9">
        <v>8086</v>
      </c>
      <c r="AG19" s="9">
        <v>8162</v>
      </c>
      <c r="AH19" s="9">
        <v>8236</v>
      </c>
      <c r="AI19" s="9">
        <v>8320</v>
      </c>
      <c r="AJ19" s="9">
        <v>8413</v>
      </c>
      <c r="AK19" s="9">
        <v>8565</v>
      </c>
      <c r="AL19" s="9">
        <v>8652</v>
      </c>
      <c r="AM19" s="9">
        <v>8799</v>
      </c>
      <c r="AN19" s="9">
        <v>8961</v>
      </c>
      <c r="AO19" s="9">
        <v>8961</v>
      </c>
      <c r="AP19" s="9">
        <v>9037</v>
      </c>
      <c r="AQ19" s="9">
        <v>9137</v>
      </c>
      <c r="AR19" s="9">
        <v>9241</v>
      </c>
    </row>
    <row r="20" spans="1:44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>IF(H20="","",H20)</f>
        <v>South America</v>
      </c>
      <c r="D20" s="6">
        <f>MAX(I20:KU20)</f>
        <v>7992</v>
      </c>
      <c r="E20" s="6">
        <f>IF(COUNTIF(I20:XFD20,"&gt;"&amp;0)=0,,HLOOKUP(COUNTIF(I20:XFD20,"&gt;"&amp;0)-1,I$1:XFD20,A20+1,FALSE))</f>
        <v>7992</v>
      </c>
      <c r="F20" s="7">
        <f>IF(COUNTIF(I20:XFD20,"&gt;"&amp;0)=0,,HLOOKUP(COUNTIF(I20:XFD20,"&gt;"&amp;0)-MIN($F$1+1,COUNTIF(I20:XFD20,"&gt;"&amp;0)),I$1:XFD20,A20+1,FALSE))</f>
        <v>2969</v>
      </c>
      <c r="G20" s="8">
        <f>IF(COUNTIF(I20:XFD20,"&gt;"&amp;0)=0,,(E20/F20)^(1/MIN(COUNTIF(I20:XFD20,"&gt;"&amp;0)-1,$F$1)))</f>
        <v>1.2190150164827027</v>
      </c>
      <c r="H20" s="13" t="s">
        <v>612</v>
      </c>
      <c r="I20" s="9">
        <v>134</v>
      </c>
      <c r="J20" s="9">
        <v>153</v>
      </c>
      <c r="K20" s="9">
        <v>305</v>
      </c>
      <c r="L20" s="9">
        <v>371</v>
      </c>
      <c r="M20" s="9">
        <v>427</v>
      </c>
      <c r="N20" s="9">
        <v>635</v>
      </c>
      <c r="O20" s="9">
        <v>919</v>
      </c>
      <c r="P20" s="9">
        <v>1133</v>
      </c>
      <c r="Q20" s="9">
        <v>1604</v>
      </c>
      <c r="R20" s="9">
        <v>2266</v>
      </c>
      <c r="S20" s="9">
        <v>2969</v>
      </c>
      <c r="T20" s="9">
        <v>4204</v>
      </c>
      <c r="U20" s="9">
        <v>5055</v>
      </c>
      <c r="V20" s="9">
        <v>5926</v>
      </c>
      <c r="W20" s="9">
        <v>6804</v>
      </c>
      <c r="X20" s="9">
        <v>7992</v>
      </c>
    </row>
    <row r="21" spans="1:44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>IF(H21="","",H21)</f>
        <v>Netherlands</v>
      </c>
      <c r="D21" s="6">
        <f>MAX(I21:KU21)</f>
        <v>7468</v>
      </c>
      <c r="E21" s="6">
        <f>IF(COUNTIF(I21:XFD21,"&gt;"&amp;0)=0,,HLOOKUP(COUNTIF(I21:XFD21,"&gt;"&amp;0)-1,I$1:XFD21,A21+1,FALSE))</f>
        <v>7468</v>
      </c>
      <c r="F21" s="7">
        <f>IF(COUNTIF(I21:XFD21,"&gt;"&amp;0)=0,,HLOOKUP(COUNTIF(I21:XFD21,"&gt;"&amp;0)-MIN($F$1+1,COUNTIF(I21:XFD21,"&gt;"&amp;0)),I$1:XFD21,A21+1,FALSE))</f>
        <v>3640</v>
      </c>
      <c r="G21" s="8">
        <f>IF(COUNTIF(I21:XFD21,"&gt;"&amp;0)=0,,(E21/F21)^(1/MIN(COUNTIF(I21:XFD21,"&gt;"&amp;0)-1,$F$1)))</f>
        <v>1.1545708411316351</v>
      </c>
      <c r="H21" s="13" t="s">
        <v>89</v>
      </c>
      <c r="I21" s="9">
        <v>128</v>
      </c>
      <c r="J21" s="9">
        <v>188</v>
      </c>
      <c r="K21" s="9">
        <v>265</v>
      </c>
      <c r="L21" s="9">
        <v>321</v>
      </c>
      <c r="M21" s="9">
        <v>382</v>
      </c>
      <c r="N21" s="9">
        <v>503</v>
      </c>
      <c r="O21" s="9">
        <v>503</v>
      </c>
      <c r="P21" s="9">
        <v>806</v>
      </c>
      <c r="Q21" s="9">
        <v>962</v>
      </c>
      <c r="R21" s="9">
        <v>1138</v>
      </c>
      <c r="S21" s="9">
        <v>1416</v>
      </c>
      <c r="T21" s="9">
        <v>1711</v>
      </c>
      <c r="U21" s="9">
        <v>2058</v>
      </c>
      <c r="V21" s="9">
        <v>2467</v>
      </c>
      <c r="W21" s="9">
        <v>3003</v>
      </c>
      <c r="X21" s="9">
        <v>3640</v>
      </c>
      <c r="Y21" s="9">
        <v>4217</v>
      </c>
      <c r="Z21" s="9">
        <v>4764</v>
      </c>
      <c r="AA21" s="9">
        <v>5580</v>
      </c>
      <c r="AB21" s="9">
        <v>6438</v>
      </c>
      <c r="AC21" s="9">
        <v>7468</v>
      </c>
    </row>
    <row r="22" spans="1:44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>IF(H22="","",H22)</f>
        <v>Austria</v>
      </c>
      <c r="D22" s="6">
        <f>MAX(I22:KU22)</f>
        <v>6909</v>
      </c>
      <c r="E22" s="6">
        <f>IF(COUNTIF(I22:XFD22,"&gt;"&amp;0)=0,,HLOOKUP(COUNTIF(I22:XFD22,"&gt;"&amp;0)-1,I$1:XFD22,A22+1,FALSE))</f>
        <v>6909</v>
      </c>
      <c r="F22" s="7">
        <f>IF(COUNTIF(I22:XFD22,"&gt;"&amp;0)=0,,HLOOKUP(COUNTIF(I22:XFD22,"&gt;"&amp;0)-MIN($F$1+1,COUNTIF(I22:XFD22,"&gt;"&amp;0)),I$1:XFD22,A22+1,FALSE))</f>
        <v>2814</v>
      </c>
      <c r="G22" s="8">
        <f>IF(COUNTIF(I22:XFD22,"&gt;"&amp;0)=0,,(E22/F22)^(1/MIN(COUNTIF(I22:XFD22,"&gt;"&amp;0)-1,$F$1)))</f>
        <v>1.196790739107451</v>
      </c>
      <c r="H22" s="13" t="s">
        <v>78</v>
      </c>
      <c r="I22" s="9">
        <v>104</v>
      </c>
      <c r="J22" s="9">
        <v>131</v>
      </c>
      <c r="K22" s="9">
        <v>182</v>
      </c>
      <c r="L22" s="9">
        <v>246</v>
      </c>
      <c r="M22" s="9">
        <v>302</v>
      </c>
      <c r="N22" s="9">
        <v>504</v>
      </c>
      <c r="O22" s="9">
        <v>655</v>
      </c>
      <c r="P22" s="9">
        <v>860</v>
      </c>
      <c r="Q22" s="9">
        <v>1018</v>
      </c>
      <c r="R22" s="9">
        <v>1332</v>
      </c>
      <c r="S22" s="9">
        <v>1646</v>
      </c>
      <c r="T22" s="9">
        <v>2013</v>
      </c>
      <c r="U22" s="9">
        <v>2388</v>
      </c>
      <c r="V22" s="9">
        <v>2814</v>
      </c>
      <c r="W22" s="9">
        <v>3582</v>
      </c>
      <c r="X22" s="9">
        <v>4474</v>
      </c>
      <c r="Y22" s="9">
        <v>5283</v>
      </c>
      <c r="Z22" s="9">
        <v>5588</v>
      </c>
      <c r="AA22" s="9">
        <v>6909</v>
      </c>
    </row>
    <row r="23" spans="1:44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>IF(H23="","",H23)</f>
        <v>Belgium</v>
      </c>
      <c r="D23" s="6">
        <f>MAX(I23:KU23)</f>
        <v>6235</v>
      </c>
      <c r="E23" s="6">
        <f>IF(COUNTIF(I23:XFD23,"&gt;"&amp;0)=0,,HLOOKUP(COUNTIF(I23:XFD23,"&gt;"&amp;0)-1,I$1:XFD23,A23+1,FALSE))</f>
        <v>6235</v>
      </c>
      <c r="F23" s="7">
        <f>IF(COUNTIF(I23:XFD23,"&gt;"&amp;0)=0,,HLOOKUP(COUNTIF(I23:XFD23,"&gt;"&amp;0)-MIN($F$1+1,COUNTIF(I23:XFD23,"&gt;"&amp;0)),I$1:XFD23,A23+1,FALSE))</f>
        <v>2815</v>
      </c>
      <c r="G23" s="8">
        <f>IF(COUNTIF(I23:XFD23,"&gt;"&amp;0)=0,,(E23/F23)^(1/MIN(COUNTIF(I23:XFD23,"&gt;"&amp;0)-1,$F$1)))</f>
        <v>1.1723886672301003</v>
      </c>
      <c r="H23" s="13" t="s">
        <v>63</v>
      </c>
      <c r="I23" s="9">
        <v>109</v>
      </c>
      <c r="J23" s="9">
        <v>169</v>
      </c>
      <c r="K23" s="9">
        <v>200</v>
      </c>
      <c r="L23" s="9">
        <v>239</v>
      </c>
      <c r="M23" s="9">
        <v>267</v>
      </c>
      <c r="N23" s="9">
        <v>314</v>
      </c>
      <c r="O23" s="9">
        <v>314</v>
      </c>
      <c r="P23" s="9">
        <v>559</v>
      </c>
      <c r="Q23" s="9">
        <v>689</v>
      </c>
      <c r="R23" s="9">
        <v>886</v>
      </c>
      <c r="S23" s="9">
        <v>1058</v>
      </c>
      <c r="T23" s="9">
        <v>1243</v>
      </c>
      <c r="U23" s="9">
        <v>1486</v>
      </c>
      <c r="V23" s="9">
        <v>1795</v>
      </c>
      <c r="W23" s="9">
        <v>2257</v>
      </c>
      <c r="X23" s="9">
        <v>2815</v>
      </c>
      <c r="Y23" s="9">
        <v>3401</v>
      </c>
      <c r="Z23" s="9">
        <v>3743</v>
      </c>
      <c r="AA23" s="9">
        <v>4269</v>
      </c>
      <c r="AB23" s="9">
        <v>4937</v>
      </c>
      <c r="AC23" s="9">
        <v>6235</v>
      </c>
    </row>
    <row r="24" spans="1:44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>IF(H24="","",H24)</f>
        <v>Canada</v>
      </c>
      <c r="D24" s="6">
        <f>MAX(I24:KU24)</f>
        <v>4042</v>
      </c>
      <c r="E24" s="6">
        <f>IF(COUNTIF(I24:XFD24,"&gt;"&amp;0)=0,,HLOOKUP(COUNTIF(I24:XFD24,"&gt;"&amp;0)-1,I$1:XFD24,A24+1,FALSE))</f>
        <v>4042</v>
      </c>
      <c r="F24" s="7">
        <f>IF(COUNTIF(I24:XFD24,"&gt;"&amp;0)=0,,HLOOKUP(COUNTIF(I24:XFD24,"&gt;"&amp;0)-MIN($F$1+1,COUNTIF(I24:XFD24,"&gt;"&amp;0)),I$1:XFD24,A24+1,FALSE))</f>
        <v>1277</v>
      </c>
      <c r="G24" s="8">
        <f>IF(COUNTIF(I24:XFD24,"&gt;"&amp;0)=0,,(E24/F24)^(1/MIN(COUNTIF(I24:XFD24,"&gt;"&amp;0)-1,$F$1)))</f>
        <v>1.2591604739611628</v>
      </c>
      <c r="H24" s="13" t="s">
        <v>45</v>
      </c>
      <c r="I24" s="9">
        <v>108</v>
      </c>
      <c r="J24" s="9">
        <v>117</v>
      </c>
      <c r="K24" s="9">
        <v>193</v>
      </c>
      <c r="L24" s="9">
        <v>198</v>
      </c>
      <c r="M24" s="9">
        <v>252</v>
      </c>
      <c r="N24" s="9">
        <v>415</v>
      </c>
      <c r="O24" s="9">
        <v>478</v>
      </c>
      <c r="P24" s="9">
        <v>657</v>
      </c>
      <c r="Q24" s="9">
        <v>800</v>
      </c>
      <c r="R24" s="9">
        <v>943</v>
      </c>
      <c r="S24" s="9">
        <v>1277</v>
      </c>
      <c r="T24" s="9">
        <v>1469</v>
      </c>
      <c r="U24" s="9">
        <v>2088</v>
      </c>
      <c r="V24" s="9">
        <v>2790</v>
      </c>
      <c r="W24" s="9">
        <v>3251</v>
      </c>
      <c r="X24" s="9">
        <v>4042</v>
      </c>
    </row>
    <row r="25" spans="1:44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>IF(H25="","",H25)</f>
        <v>Turkey</v>
      </c>
      <c r="D25" s="6">
        <f>MAX(I25:KU25)</f>
        <v>3629</v>
      </c>
      <c r="E25" s="6">
        <f>IF(COUNTIF(I25:XFD25,"&gt;"&amp;0)=0,,HLOOKUP(COUNTIF(I25:XFD25,"&gt;"&amp;0)-1,I$1:XFD25,A25+1,FALSE))</f>
        <v>3629</v>
      </c>
      <c r="F25" s="7">
        <f>IF(COUNTIF(I25:XFD25,"&gt;"&amp;0)=0,,HLOOKUP(COUNTIF(I25:XFD25,"&gt;"&amp;0)-MIN($F$1+1,COUNTIF(I25:XFD25,"&gt;"&amp;0)),I$1:XFD25,A25+1,FALSE))</f>
        <v>670</v>
      </c>
      <c r="G25" s="8">
        <f>IF(COUNTIF(I25:XFD25,"&gt;"&amp;0)=0,,(E25/F25)^(1/MIN(COUNTIF(I25:XFD25,"&gt;"&amp;0)-1,$F$1)))</f>
        <v>1.4019819849109492</v>
      </c>
      <c r="H25" s="13" t="s">
        <v>355</v>
      </c>
      <c r="I25" s="9">
        <v>192</v>
      </c>
      <c r="J25" s="9">
        <v>359</v>
      </c>
      <c r="K25" s="9">
        <v>670</v>
      </c>
      <c r="L25" s="9">
        <v>1236</v>
      </c>
      <c r="M25" s="9">
        <v>1529</v>
      </c>
      <c r="N25" s="9">
        <v>1872</v>
      </c>
      <c r="O25" s="9">
        <v>2433</v>
      </c>
      <c r="P25" s="9">
        <v>3629</v>
      </c>
    </row>
    <row r="26" spans="1:44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>IF(H26="","",H26)</f>
        <v>Portugal</v>
      </c>
      <c r="D26" s="6">
        <f>MAX(I26:KU26)</f>
        <v>3544</v>
      </c>
      <c r="E26" s="6">
        <f>IF(COUNTIF(I26:XFD26,"&gt;"&amp;0)=0,,HLOOKUP(COUNTIF(I26:XFD26,"&gt;"&amp;0)-1,I$1:XFD26,A26+1,FALSE))</f>
        <v>3544</v>
      </c>
      <c r="F26" s="7">
        <f>IF(COUNTIF(I26:XFD26,"&gt;"&amp;0)=0,,HLOOKUP(COUNTIF(I26:XFD26,"&gt;"&amp;0)-MIN($F$1+1,COUNTIF(I26:XFD26,"&gt;"&amp;0)),I$1:XFD26,A26+1,FALSE))</f>
        <v>1280</v>
      </c>
      <c r="G26" s="8">
        <f>IF(COUNTIF(I26:XFD26,"&gt;"&amp;0)=0,,(E26/F26)^(1/MIN(COUNTIF(I26:XFD26,"&gt;"&amp;0)-1,$F$1)))</f>
        <v>1.2259048090232181</v>
      </c>
      <c r="H26" s="13" t="s">
        <v>108</v>
      </c>
      <c r="I26" s="9">
        <v>112</v>
      </c>
      <c r="J26" s="9">
        <v>169</v>
      </c>
      <c r="K26" s="9">
        <v>245</v>
      </c>
      <c r="L26" s="9">
        <v>331</v>
      </c>
      <c r="M26" s="9">
        <v>448</v>
      </c>
      <c r="N26" s="9">
        <v>448</v>
      </c>
      <c r="O26" s="9">
        <v>785</v>
      </c>
      <c r="P26" s="9">
        <v>1020</v>
      </c>
      <c r="Q26" s="9">
        <v>1280</v>
      </c>
      <c r="R26" s="9">
        <v>1600</v>
      </c>
      <c r="S26" s="9">
        <v>2060</v>
      </c>
      <c r="T26" s="9">
        <v>2362</v>
      </c>
      <c r="U26" s="9">
        <v>2995</v>
      </c>
      <c r="V26" s="9">
        <v>3544</v>
      </c>
    </row>
    <row r="27" spans="1:44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>IF(H27="","",H27)</f>
        <v>Norway</v>
      </c>
      <c r="D27" s="6">
        <f>MAX(I27:KU27)</f>
        <v>3369</v>
      </c>
      <c r="E27" s="6">
        <f>IF(COUNTIF(I27:XFD27,"&gt;"&amp;0)=0,,HLOOKUP(COUNTIF(I27:XFD27,"&gt;"&amp;0)-1,I$1:XFD27,A27+1,FALSE))</f>
        <v>3369</v>
      </c>
      <c r="F27" s="7">
        <f>IF(COUNTIF(I27:XFD27,"&gt;"&amp;0)=0,,HLOOKUP(COUNTIF(I27:XFD27,"&gt;"&amp;0)-MIN($F$1+1,COUNTIF(I27:XFD27,"&gt;"&amp;0)),I$1:XFD27,A27+1,FALSE))</f>
        <v>2118</v>
      </c>
      <c r="G27" s="8">
        <f>IF(COUNTIF(I27:XFD27,"&gt;"&amp;0)=0,,(E27/F27)^(1/MIN(COUNTIF(I27:XFD27,"&gt;"&amp;0)-1,$F$1)))</f>
        <v>1.0972738038491923</v>
      </c>
      <c r="H27" s="13" t="s">
        <v>85</v>
      </c>
      <c r="I27" s="9">
        <v>108</v>
      </c>
      <c r="J27" s="9">
        <v>147</v>
      </c>
      <c r="K27" s="9">
        <v>176</v>
      </c>
      <c r="L27" s="9">
        <v>205</v>
      </c>
      <c r="M27" s="9">
        <v>400</v>
      </c>
      <c r="N27" s="9">
        <v>598</v>
      </c>
      <c r="O27" s="9">
        <v>702</v>
      </c>
      <c r="P27" s="9">
        <v>996</v>
      </c>
      <c r="Q27" s="9">
        <v>1090</v>
      </c>
      <c r="R27" s="9">
        <v>1221</v>
      </c>
      <c r="S27" s="9">
        <v>1333</v>
      </c>
      <c r="T27" s="9">
        <v>1463</v>
      </c>
      <c r="U27" s="9">
        <v>1550</v>
      </c>
      <c r="V27" s="9">
        <v>1746</v>
      </c>
      <c r="W27" s="9">
        <v>1914</v>
      </c>
      <c r="X27" s="9">
        <v>2118</v>
      </c>
      <c r="Y27" s="9">
        <v>2385</v>
      </c>
      <c r="Z27" s="9">
        <v>2621</v>
      </c>
      <c r="AA27" s="9">
        <v>2863</v>
      </c>
      <c r="AB27" s="9">
        <v>3084</v>
      </c>
      <c r="AC27" s="9">
        <v>3369</v>
      </c>
    </row>
    <row r="28" spans="1:44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>IF(H28="","",H28)</f>
        <v>Brazil</v>
      </c>
      <c r="D28" s="6">
        <f>MAX(I28:KU28)</f>
        <v>2985</v>
      </c>
      <c r="E28" s="6">
        <f>IF(COUNTIF(I28:XFD28,"&gt;"&amp;0)=0,,HLOOKUP(COUNTIF(I28:XFD28,"&gt;"&amp;0)-1,I$1:XFD28,A28+1,FALSE))</f>
        <v>2985</v>
      </c>
      <c r="F28" s="7">
        <f>IF(COUNTIF(I28:XFD28,"&gt;"&amp;0)=0,,HLOOKUP(COUNTIF(I28:XFD28,"&gt;"&amp;0)-MIN($F$1+1,COUNTIF(I28:XFD28,"&gt;"&amp;0)),I$1:XFD28,A28+1,FALSE))</f>
        <v>1021</v>
      </c>
      <c r="G28" s="8">
        <f>IF(COUNTIF(I28:XFD28,"&gt;"&amp;0)=0,,(E28/F28)^(1/MIN(COUNTIF(I28:XFD28,"&gt;"&amp;0)-1,$F$1)))</f>
        <v>1.2393207428875881</v>
      </c>
      <c r="H28" s="13" t="s">
        <v>81</v>
      </c>
      <c r="I28" s="9">
        <v>151</v>
      </c>
      <c r="J28" s="9">
        <v>151</v>
      </c>
      <c r="K28" s="9">
        <v>162</v>
      </c>
      <c r="L28" s="9">
        <v>200</v>
      </c>
      <c r="M28" s="9">
        <v>321</v>
      </c>
      <c r="N28" s="9">
        <v>372</v>
      </c>
      <c r="O28" s="9">
        <v>621</v>
      </c>
      <c r="P28" s="9">
        <v>793</v>
      </c>
      <c r="Q28" s="9">
        <v>1021</v>
      </c>
      <c r="R28" s="9">
        <v>1546</v>
      </c>
      <c r="S28" s="9">
        <v>1924</v>
      </c>
      <c r="T28" s="9">
        <v>2247</v>
      </c>
      <c r="U28" s="9">
        <v>2554</v>
      </c>
      <c r="V28" s="9">
        <v>2985</v>
      </c>
    </row>
    <row r="29" spans="1:44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>IF(H29="","",H29)</f>
        <v>Africa</v>
      </c>
      <c r="D29" s="6">
        <f>MAX(I29:KU29)</f>
        <v>2878</v>
      </c>
      <c r="E29" s="6">
        <f>IF(COUNTIF(I29:XFD29,"&gt;"&amp;0)=0,,HLOOKUP(COUNTIF(I29:XFD29,"&gt;"&amp;0)-1,I$1:XFD29,A29+1,FALSE))</f>
        <v>2878</v>
      </c>
      <c r="F29" s="7">
        <f>IF(COUNTIF(I29:XFD29,"&gt;"&amp;0)=0,,HLOOKUP(COUNTIF(I29:XFD29,"&gt;"&amp;0)-MIN($F$1+1,COUNTIF(I29:XFD29,"&gt;"&amp;0)),I$1:XFD29,A29+1,FALSE))</f>
        <v>1062</v>
      </c>
      <c r="G29" s="8">
        <f>IF(COUNTIF(I29:XFD29,"&gt;"&amp;0)=0,,(E29/F29)^(1/MIN(COUNTIF(I29:XFD29,"&gt;"&amp;0)-1,$F$1)))</f>
        <v>1.2206558998785968</v>
      </c>
      <c r="H29" s="13" t="s">
        <v>613</v>
      </c>
      <c r="I29" s="9">
        <v>104</v>
      </c>
      <c r="J29" s="9">
        <v>118</v>
      </c>
      <c r="K29" s="9">
        <v>134</v>
      </c>
      <c r="L29" s="9">
        <v>177</v>
      </c>
      <c r="M29" s="9">
        <v>243</v>
      </c>
      <c r="N29" s="9">
        <v>296</v>
      </c>
      <c r="O29" s="9">
        <v>374</v>
      </c>
      <c r="P29" s="9">
        <v>453</v>
      </c>
      <c r="Q29" s="9">
        <v>556</v>
      </c>
      <c r="R29" s="9">
        <v>720</v>
      </c>
      <c r="S29" s="9">
        <v>873</v>
      </c>
      <c r="T29" s="9">
        <v>1062</v>
      </c>
      <c r="U29" s="9">
        <v>1294</v>
      </c>
      <c r="V29" s="9">
        <v>1616</v>
      </c>
      <c r="W29" s="9">
        <v>1996</v>
      </c>
      <c r="X29" s="9">
        <v>2434</v>
      </c>
      <c r="Y29" s="9">
        <v>2878</v>
      </c>
    </row>
    <row r="30" spans="1:44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>IF(H30="","",H30)</f>
        <v>Sweden</v>
      </c>
      <c r="D30" s="6">
        <f>MAX(I30:KU30)</f>
        <v>2840</v>
      </c>
      <c r="E30" s="6">
        <f>IF(COUNTIF(I30:XFD30,"&gt;"&amp;0)=0,,HLOOKUP(COUNTIF(I30:XFD30,"&gt;"&amp;0)-1,I$1:XFD30,A30+1,FALSE))</f>
        <v>2840</v>
      </c>
      <c r="F30" s="7">
        <f>IF(COUNTIF(I30:XFD30,"&gt;"&amp;0)=0,,HLOOKUP(COUNTIF(I30:XFD30,"&gt;"&amp;0)-MIN($F$1+1,COUNTIF(I30:XFD30,"&gt;"&amp;0)),I$1:XFD30,A30+1,FALSE))</f>
        <v>1763</v>
      </c>
      <c r="G30" s="8">
        <f>IF(COUNTIF(I30:XFD30,"&gt;"&amp;0)=0,,(E30/F30)^(1/MIN(COUNTIF(I30:XFD30,"&gt;"&amp;0)-1,$F$1)))</f>
        <v>1.1000519761697927</v>
      </c>
      <c r="H30" s="13" t="s">
        <v>59</v>
      </c>
      <c r="I30" s="9">
        <v>101</v>
      </c>
      <c r="J30" s="9">
        <v>161</v>
      </c>
      <c r="K30" s="9">
        <v>203</v>
      </c>
      <c r="L30" s="9">
        <v>248</v>
      </c>
      <c r="M30" s="9">
        <v>355</v>
      </c>
      <c r="N30" s="9">
        <v>500</v>
      </c>
      <c r="O30" s="9">
        <v>599</v>
      </c>
      <c r="P30" s="9">
        <v>814</v>
      </c>
      <c r="Q30" s="9">
        <v>961</v>
      </c>
      <c r="R30" s="9">
        <v>1022</v>
      </c>
      <c r="S30" s="9">
        <v>1103</v>
      </c>
      <c r="T30" s="9">
        <v>1190</v>
      </c>
      <c r="U30" s="9">
        <v>1279</v>
      </c>
      <c r="V30" s="9">
        <v>1439</v>
      </c>
      <c r="W30" s="9">
        <v>1639</v>
      </c>
      <c r="X30" s="9">
        <v>1763</v>
      </c>
      <c r="Y30" s="9">
        <v>1934</v>
      </c>
      <c r="Z30" s="9">
        <v>2046</v>
      </c>
      <c r="AA30" s="9">
        <v>2286</v>
      </c>
      <c r="AB30" s="9">
        <v>2526</v>
      </c>
      <c r="AC30" s="9">
        <v>2840</v>
      </c>
    </row>
    <row r="31" spans="1:44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>IF(H31="","",H31)</f>
        <v>Australia</v>
      </c>
      <c r="D31" s="6">
        <f>MAX(I31:KU31)</f>
        <v>2810</v>
      </c>
      <c r="E31" s="6">
        <f>IF(COUNTIF(I31:XFD31,"&gt;"&amp;0)=0,,HLOOKUP(COUNTIF(I31:XFD31,"&gt;"&amp;0)-1,I$1:XFD31,A31+1,FALSE))</f>
        <v>2810</v>
      </c>
      <c r="F31" s="7">
        <f>IF(COUNTIF(I31:XFD31,"&gt;"&amp;0)=0,,HLOOKUP(COUNTIF(I31:XFD31,"&gt;"&amp;0)-MIN($F$1+1,COUNTIF(I31:XFD31,"&gt;"&amp;0)),I$1:XFD31,A31+1,FALSE))</f>
        <v>1071</v>
      </c>
      <c r="G31" s="8">
        <f>IF(COUNTIF(I31:XFD31,"&gt;"&amp;0)=0,,(E31/F31)^(1/MIN(COUNTIF(I31:XFD31,"&gt;"&amp;0)-1,$F$1)))</f>
        <v>1.212783751584507</v>
      </c>
      <c r="H31" s="13" t="s">
        <v>48</v>
      </c>
      <c r="I31" s="9">
        <v>107</v>
      </c>
      <c r="J31" s="9">
        <v>128</v>
      </c>
      <c r="K31" s="9">
        <v>128</v>
      </c>
      <c r="L31" s="9">
        <v>200</v>
      </c>
      <c r="M31" s="9">
        <v>250</v>
      </c>
      <c r="N31" s="9">
        <v>297</v>
      </c>
      <c r="O31" s="9">
        <v>377</v>
      </c>
      <c r="P31" s="9">
        <v>452</v>
      </c>
      <c r="Q31" s="9">
        <v>568</v>
      </c>
      <c r="R31" s="9">
        <v>681</v>
      </c>
      <c r="S31" s="9">
        <v>791</v>
      </c>
      <c r="T31" s="9">
        <v>1071</v>
      </c>
      <c r="U31" s="9">
        <v>1549</v>
      </c>
      <c r="V31" s="9">
        <v>1682</v>
      </c>
      <c r="W31" s="9">
        <v>2044</v>
      </c>
      <c r="X31" s="9">
        <v>2364</v>
      </c>
      <c r="Y31" s="9">
        <v>2810</v>
      </c>
    </row>
    <row r="32" spans="1:44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>IF(H32="","",H32)</f>
        <v>Israel</v>
      </c>
      <c r="D32" s="6">
        <f>MAX(I32:KU32)</f>
        <v>2693</v>
      </c>
      <c r="E32" s="6">
        <f>IF(COUNTIF(I32:XFD32,"&gt;"&amp;0)=0,,HLOOKUP(COUNTIF(I32:XFD32,"&gt;"&amp;0)-1,I$1:XFD32,A32+1,FALSE))</f>
        <v>2693</v>
      </c>
      <c r="F32" s="7">
        <f>IF(COUNTIF(I32:XFD32,"&gt;"&amp;0)=0,,HLOOKUP(COUNTIF(I32:XFD32,"&gt;"&amp;0)-MIN($F$1+1,COUNTIF(I32:XFD32,"&gt;"&amp;0)),I$1:XFD32,A32+1,FALSE))</f>
        <v>712</v>
      </c>
      <c r="G32" s="8">
        <f>IF(COUNTIF(I32:XFD32,"&gt;"&amp;0)=0,,(E32/F32)^(1/MIN(COUNTIF(I32:XFD32,"&gt;"&amp;0)-1,$F$1)))</f>
        <v>1.304822004274359</v>
      </c>
      <c r="H32" s="13" t="s">
        <v>79</v>
      </c>
      <c r="I32" s="9">
        <v>100</v>
      </c>
      <c r="J32" s="9">
        <v>126</v>
      </c>
      <c r="K32" s="9">
        <v>155</v>
      </c>
      <c r="L32" s="9">
        <v>213</v>
      </c>
      <c r="M32" s="9">
        <v>218</v>
      </c>
      <c r="N32" s="9">
        <v>250</v>
      </c>
      <c r="O32" s="9">
        <v>304</v>
      </c>
      <c r="P32" s="9">
        <v>427</v>
      </c>
      <c r="Q32" s="9">
        <v>529</v>
      </c>
      <c r="R32" s="9">
        <v>712</v>
      </c>
      <c r="S32" s="9">
        <v>883</v>
      </c>
      <c r="T32" s="9">
        <v>1071</v>
      </c>
      <c r="U32" s="9">
        <v>1238</v>
      </c>
      <c r="V32" s="9">
        <v>2369</v>
      </c>
      <c r="W32" s="9">
        <v>2693</v>
      </c>
    </row>
    <row r="33" spans="1:43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>IF(H33="","",H33)</f>
        <v>Malaysia</v>
      </c>
      <c r="D33" s="6">
        <f>MAX(I33:KU33)</f>
        <v>2031</v>
      </c>
      <c r="E33" s="6">
        <f>IF(COUNTIF(I33:XFD33,"&gt;"&amp;0)=0,,HLOOKUP(COUNTIF(I33:XFD33,"&gt;"&amp;0)-1,I$1:XFD33,A33+1,FALSE))</f>
        <v>2031</v>
      </c>
      <c r="F33" s="7">
        <f>IF(COUNTIF(I33:XFD33,"&gt;"&amp;0)=0,,HLOOKUP(COUNTIF(I33:XFD33,"&gt;"&amp;0)-MIN($F$1+1,COUNTIF(I33:XFD33,"&gt;"&amp;0)),I$1:XFD33,A33+1,FALSE))</f>
        <v>1183</v>
      </c>
      <c r="G33" s="8">
        <f>IF(COUNTIF(I33:XFD33,"&gt;"&amp;0)=0,,(E33/F33)^(1/MIN(COUNTIF(I33:XFD33,"&gt;"&amp;0)-1,$F$1)))</f>
        <v>1.1141535175660173</v>
      </c>
      <c r="H33" s="13" t="s">
        <v>43</v>
      </c>
      <c r="I33" s="9">
        <v>117</v>
      </c>
      <c r="J33" s="9">
        <v>129</v>
      </c>
      <c r="K33" s="9">
        <v>149</v>
      </c>
      <c r="L33" s="9">
        <v>149</v>
      </c>
      <c r="M33" s="9">
        <v>197</v>
      </c>
      <c r="N33" s="9">
        <v>238</v>
      </c>
      <c r="O33" s="9">
        <v>428</v>
      </c>
      <c r="P33" s="9">
        <v>566</v>
      </c>
      <c r="Q33" s="9">
        <v>673</v>
      </c>
      <c r="R33" s="9">
        <v>790</v>
      </c>
      <c r="S33" s="9">
        <v>900</v>
      </c>
      <c r="T33" s="9">
        <v>1030</v>
      </c>
      <c r="U33" s="9">
        <v>1183</v>
      </c>
      <c r="V33" s="9">
        <v>1306</v>
      </c>
      <c r="W33" s="9">
        <v>1518</v>
      </c>
      <c r="X33" s="9">
        <v>1624</v>
      </c>
      <c r="Y33" s="9">
        <v>1796</v>
      </c>
      <c r="Z33" s="9">
        <v>2031</v>
      </c>
    </row>
    <row r="34" spans="1:43" x14ac:dyDescent="0.25">
      <c r="A34" s="9">
        <f t="shared" si="5"/>
        <v>33</v>
      </c>
      <c r="B34" s="9">
        <f t="array" ref="B34">IF(C34="",0,IF(OR(C34=Country_Comparison!$S$10:$S$29),1,0))</f>
        <v>0</v>
      </c>
      <c r="C34" s="9" t="str">
        <f>IF(H34="","",H34)</f>
        <v>Denmark</v>
      </c>
      <c r="D34" s="6">
        <f>MAX(I34:KU34)</f>
        <v>2023</v>
      </c>
      <c r="E34" s="6">
        <f>IF(COUNTIF(I34:XFD34,"&gt;"&amp;0)=0,,HLOOKUP(COUNTIF(I34:XFD34,"&gt;"&amp;0)-1,I$1:XFD34,A34+1,FALSE))</f>
        <v>2023</v>
      </c>
      <c r="F34" s="7">
        <f>IF(COUNTIF(I34:XFD34,"&gt;"&amp;0)=0,,HLOOKUP(COUNTIF(I34:XFD34,"&gt;"&amp;0)-MIN($F$1+1,COUNTIF(I34:XFD34,"&gt;"&amp;0)),I$1:XFD34,A34+1,FALSE))</f>
        <v>1420</v>
      </c>
      <c r="G34" s="8">
        <f>IF(COUNTIF(I34:XFD34,"&gt;"&amp;0)=0,,(E34/F34)^(1/MIN(COUNTIF(I34:XFD34,"&gt;"&amp;0)-1,$F$1)))</f>
        <v>1.0733503634326442</v>
      </c>
      <c r="H34" s="13" t="s">
        <v>87</v>
      </c>
      <c r="I34" s="9">
        <v>264</v>
      </c>
      <c r="J34" s="9">
        <v>444</v>
      </c>
      <c r="K34" s="9">
        <v>617</v>
      </c>
      <c r="L34" s="9">
        <v>804</v>
      </c>
      <c r="M34" s="9">
        <v>836</v>
      </c>
      <c r="N34" s="9">
        <v>875</v>
      </c>
      <c r="O34" s="9">
        <v>933</v>
      </c>
      <c r="P34" s="9">
        <v>1025</v>
      </c>
      <c r="Q34" s="9">
        <v>1116</v>
      </c>
      <c r="R34" s="9">
        <v>1225</v>
      </c>
      <c r="S34" s="9">
        <v>1337</v>
      </c>
      <c r="T34" s="9">
        <v>1420</v>
      </c>
      <c r="U34" s="9">
        <v>1514</v>
      </c>
      <c r="V34" s="9">
        <v>1572</v>
      </c>
      <c r="W34" s="9">
        <v>1718</v>
      </c>
      <c r="X34" s="9">
        <v>1862</v>
      </c>
      <c r="Y34" s="9">
        <v>2023</v>
      </c>
    </row>
    <row r="35" spans="1:43" x14ac:dyDescent="0.25">
      <c r="A35" s="9">
        <f t="shared" si="5"/>
        <v>34</v>
      </c>
      <c r="B35" s="9">
        <f t="array" ref="B35">IF(C35="",0,IF(OR(C35=Country_Comparison!$S$10:$S$29),1,0))</f>
        <v>0</v>
      </c>
      <c r="C35" s="9" t="str">
        <f>IF(H35="","",H35)</f>
        <v>Czechia</v>
      </c>
      <c r="D35" s="6">
        <f>MAX(I35:KU35)</f>
        <v>1925</v>
      </c>
      <c r="E35" s="6">
        <f>IF(COUNTIF(I35:XFD35,"&gt;"&amp;0)=0,,HLOOKUP(COUNTIF(I35:XFD35,"&gt;"&amp;0)-1,I$1:XFD35,A35+1,FALSE))</f>
        <v>1925</v>
      </c>
      <c r="F35" s="7">
        <f>IF(COUNTIF(I35:XFD35,"&gt;"&amp;0)=0,,HLOOKUP(COUNTIF(I35:XFD35,"&gt;"&amp;0)-MIN($F$1+1,COUNTIF(I35:XFD35,"&gt;"&amp;0)),I$1:XFD35,A35+1,FALSE))</f>
        <v>995</v>
      </c>
      <c r="G35" s="8">
        <f>IF(COUNTIF(I35:XFD35,"&gt;"&amp;0)=0,,(E35/F35)^(1/MIN(COUNTIF(I35:XFD35,"&gt;"&amp;0)-1,$F$1)))</f>
        <v>1.1410942859037505</v>
      </c>
      <c r="H35" s="13" t="s">
        <v>341</v>
      </c>
      <c r="I35" s="9">
        <v>141</v>
      </c>
      <c r="J35" s="9">
        <v>189</v>
      </c>
      <c r="K35" s="9">
        <v>253</v>
      </c>
      <c r="L35" s="9">
        <v>298</v>
      </c>
      <c r="M35" s="9">
        <v>396</v>
      </c>
      <c r="N35" s="9">
        <v>464</v>
      </c>
      <c r="O35" s="9">
        <v>694</v>
      </c>
      <c r="P35" s="9">
        <v>833</v>
      </c>
      <c r="Q35" s="9">
        <v>995</v>
      </c>
      <c r="R35" s="9">
        <v>1120</v>
      </c>
      <c r="S35" s="9">
        <v>1236</v>
      </c>
      <c r="T35" s="9">
        <v>1394</v>
      </c>
      <c r="U35" s="9">
        <v>1654</v>
      </c>
      <c r="V35" s="9">
        <v>1925</v>
      </c>
    </row>
    <row r="36" spans="1:43" x14ac:dyDescent="0.25">
      <c r="A36" s="9">
        <f t="shared" si="5"/>
        <v>35</v>
      </c>
      <c r="B36" s="9">
        <f t="array" ref="B36">IF(C36="",0,IF(OR(C36=Country_Comparison!$S$10:$S$29),1,0))</f>
        <v>0</v>
      </c>
      <c r="C36" s="9" t="str">
        <f>IF(H36="","",H36)</f>
        <v>Ireland</v>
      </c>
      <c r="D36" s="6">
        <f>MAX(I36:KU36)</f>
        <v>1819</v>
      </c>
      <c r="E36" s="6">
        <f>IF(COUNTIF(I36:XFD36,"&gt;"&amp;0)=0,,HLOOKUP(COUNTIF(I36:XFD36,"&gt;"&amp;0)-1,I$1:XFD36,A36+1,FALSE))</f>
        <v>1819</v>
      </c>
      <c r="F36" s="7">
        <f>IF(COUNTIF(I36:XFD36,"&gt;"&amp;0)=0,,HLOOKUP(COUNTIF(I36:XFD36,"&gt;"&amp;0)-MIN($F$1+1,COUNTIF(I36:XFD36,"&gt;"&amp;0)),I$1:XFD36,A36+1,FALSE))</f>
        <v>785</v>
      </c>
      <c r="G36" s="8">
        <f>IF(COUNTIF(I36:XFD36,"&gt;"&amp;0)=0,,(E36/F36)^(1/MIN(COUNTIF(I36:XFD36,"&gt;"&amp;0)-1,$F$1)))</f>
        <v>1.1830214209534422</v>
      </c>
      <c r="H36" s="13" t="s">
        <v>98</v>
      </c>
      <c r="I36" s="9">
        <v>129</v>
      </c>
      <c r="J36" s="9">
        <v>129</v>
      </c>
      <c r="K36" s="9">
        <v>169</v>
      </c>
      <c r="L36" s="9">
        <v>223</v>
      </c>
      <c r="M36" s="9">
        <v>292</v>
      </c>
      <c r="N36" s="9">
        <v>557</v>
      </c>
      <c r="O36" s="9">
        <v>683</v>
      </c>
      <c r="P36" s="9">
        <v>785</v>
      </c>
      <c r="Q36" s="9">
        <v>906</v>
      </c>
      <c r="R36" s="9">
        <v>1125</v>
      </c>
      <c r="S36" s="9">
        <v>1329</v>
      </c>
      <c r="T36" s="9">
        <v>1564</v>
      </c>
      <c r="U36" s="9">
        <v>1819</v>
      </c>
    </row>
    <row r="37" spans="1:43" x14ac:dyDescent="0.25">
      <c r="A37" s="9">
        <f t="shared" si="5"/>
        <v>36</v>
      </c>
      <c r="B37" s="9">
        <f t="array" ref="B37">IF(C37="",0,IF(OR(C37=Country_Comparison!$S$10:$S$29),1,0))</f>
        <v>0</v>
      </c>
      <c r="C37" s="9" t="str">
        <f>IF(H37="","",H37)</f>
        <v>Luxembourg</v>
      </c>
      <c r="D37" s="6">
        <f>MAX(I37:KU37)</f>
        <v>1453</v>
      </c>
      <c r="E37" s="6">
        <f>IF(COUNTIF(I37:XFD37,"&gt;"&amp;0)=0,,HLOOKUP(COUNTIF(I37:XFD37,"&gt;"&amp;0)-1,I$1:XFD37,A37+1,FALSE))</f>
        <v>1453</v>
      </c>
      <c r="F37" s="7">
        <f>IF(COUNTIF(I37:XFD37,"&gt;"&amp;0)=0,,HLOOKUP(COUNTIF(I37:XFD37,"&gt;"&amp;0)-MIN($F$1+1,COUNTIF(I37:XFD37,"&gt;"&amp;0)),I$1:XFD37,A37+1,FALSE))</f>
        <v>670</v>
      </c>
      <c r="G37" s="8">
        <f>IF(COUNTIF(I37:XFD37,"&gt;"&amp;0)=0,,(E37/F37)^(1/MIN(COUNTIF(I37:XFD37,"&gt;"&amp;0)-1,$F$1)))</f>
        <v>1.1674496581072793</v>
      </c>
      <c r="H37" s="13" t="s">
        <v>99</v>
      </c>
      <c r="I37" s="9">
        <v>140</v>
      </c>
      <c r="J37" s="9">
        <v>203</v>
      </c>
      <c r="K37" s="9">
        <v>335</v>
      </c>
      <c r="L37" s="9">
        <v>484</v>
      </c>
      <c r="M37" s="9">
        <v>670</v>
      </c>
      <c r="N37" s="9">
        <v>798</v>
      </c>
      <c r="O37" s="9">
        <v>875</v>
      </c>
      <c r="P37" s="9">
        <v>1099</v>
      </c>
      <c r="Q37" s="9">
        <v>1333</v>
      </c>
      <c r="R37" s="9">
        <v>1453</v>
      </c>
    </row>
    <row r="38" spans="1:43" x14ac:dyDescent="0.25">
      <c r="A38" s="9">
        <f t="shared" si="5"/>
        <v>37</v>
      </c>
      <c r="B38" s="9">
        <f t="array" ref="B38">IF(C38="",0,IF(OR(C38=Country_Comparison!$S$10:$S$29),1,0))</f>
        <v>0</v>
      </c>
      <c r="C38" s="9" t="str">
        <f>IF(H38="","",H38)</f>
        <v>Ecuador</v>
      </c>
      <c r="D38" s="6">
        <f>MAX(I38:KU38)</f>
        <v>1403</v>
      </c>
      <c r="E38" s="6">
        <f>IF(COUNTIF(I38:XFD38,"&gt;"&amp;0)=0,,HLOOKUP(COUNTIF(I38:XFD38,"&gt;"&amp;0)-1,I$1:XFD38,A38+1,FALSE))</f>
        <v>1403</v>
      </c>
      <c r="F38" s="7">
        <f>IF(COUNTIF(I38:XFD38,"&gt;"&amp;0)=0,,HLOOKUP(COUNTIF(I38:XFD38,"&gt;"&amp;0)-MIN($F$1+1,COUNTIF(I38:XFD38,"&gt;"&amp;0)),I$1:XFD38,A38+1,FALSE))</f>
        <v>506</v>
      </c>
      <c r="G38" s="8">
        <f>IF(COUNTIF(I38:XFD38,"&gt;"&amp;0)=0,,(E38/F38)^(1/MIN(COUNTIF(I38:XFD38,"&gt;"&amp;0)-1,$F$1)))</f>
        <v>1.2262568060320347</v>
      </c>
      <c r="H38" s="13" t="s">
        <v>103</v>
      </c>
      <c r="I38" s="9">
        <v>111</v>
      </c>
      <c r="J38" s="9">
        <v>199</v>
      </c>
      <c r="K38" s="9">
        <v>367</v>
      </c>
      <c r="L38" s="9">
        <v>506</v>
      </c>
      <c r="M38" s="9">
        <v>789</v>
      </c>
      <c r="N38" s="9">
        <v>981</v>
      </c>
      <c r="O38" s="9">
        <v>1082</v>
      </c>
      <c r="P38" s="9">
        <v>1173</v>
      </c>
      <c r="Q38" s="9">
        <v>1403</v>
      </c>
    </row>
    <row r="39" spans="1:43" x14ac:dyDescent="0.25">
      <c r="A39" s="9">
        <f t="shared" si="5"/>
        <v>38</v>
      </c>
      <c r="B39" s="9">
        <f t="array" ref="B39">IF(C39="",0,IF(OR(C39=Country_Comparison!$S$10:$S$29),1,0))</f>
        <v>0</v>
      </c>
      <c r="C39" s="9" t="str">
        <f>IF(H39="","",H39)</f>
        <v>Japan</v>
      </c>
      <c r="D39" s="6">
        <f>MAX(I39:KU39)</f>
        <v>1387</v>
      </c>
      <c r="E39" s="6">
        <f>IF(COUNTIF(I39:XFD39,"&gt;"&amp;0)=0,,HLOOKUP(COUNTIF(I39:XFD39,"&gt;"&amp;0)-1,I$1:XFD39,A39+1,FALSE))</f>
        <v>1387</v>
      </c>
      <c r="F39" s="7">
        <f>IF(COUNTIF(I39:XFD39,"&gt;"&amp;0)=0,,HLOOKUP(COUNTIF(I39:XFD39,"&gt;"&amp;0)-MIN($F$1+1,COUNTIF(I39:XFD39,"&gt;"&amp;0)),I$1:XFD39,A39+1,FALSE))</f>
        <v>1007</v>
      </c>
      <c r="G39" s="8">
        <f>IF(COUNTIF(I39:XFD39,"&gt;"&amp;0)=0,,(E39/F39)^(1/MIN(COUNTIF(I39:XFD39,"&gt;"&amp;0)-1,$F$1)))</f>
        <v>1.0661281193393133</v>
      </c>
      <c r="H39" s="13" t="s">
        <v>36</v>
      </c>
      <c r="I39" s="9">
        <v>105</v>
      </c>
      <c r="J39" s="9">
        <v>122</v>
      </c>
      <c r="K39" s="9">
        <v>147</v>
      </c>
      <c r="L39" s="9">
        <v>159</v>
      </c>
      <c r="M39" s="9">
        <v>170</v>
      </c>
      <c r="N39" s="9">
        <v>189</v>
      </c>
      <c r="O39" s="9">
        <v>214</v>
      </c>
      <c r="P39" s="9">
        <v>228</v>
      </c>
      <c r="Q39" s="9">
        <v>241</v>
      </c>
      <c r="R39" s="9">
        <v>256</v>
      </c>
      <c r="S39" s="9">
        <v>274</v>
      </c>
      <c r="T39" s="9">
        <v>293</v>
      </c>
      <c r="U39" s="9">
        <v>331</v>
      </c>
      <c r="V39" s="9">
        <v>360</v>
      </c>
      <c r="W39" s="9">
        <v>420</v>
      </c>
      <c r="X39" s="9">
        <v>461</v>
      </c>
      <c r="Y39" s="9">
        <v>502</v>
      </c>
      <c r="Z39" s="9">
        <v>511</v>
      </c>
      <c r="AA39" s="9">
        <v>581</v>
      </c>
      <c r="AB39" s="9">
        <v>639</v>
      </c>
      <c r="AC39" s="9">
        <v>639</v>
      </c>
      <c r="AD39" s="9">
        <v>701</v>
      </c>
      <c r="AE39" s="9">
        <v>773</v>
      </c>
      <c r="AF39" s="9">
        <v>839</v>
      </c>
      <c r="AG39" s="9">
        <v>839</v>
      </c>
      <c r="AH39" s="9">
        <v>878</v>
      </c>
      <c r="AI39" s="9">
        <v>889</v>
      </c>
      <c r="AJ39" s="9">
        <v>924</v>
      </c>
      <c r="AK39" s="9">
        <v>963</v>
      </c>
      <c r="AL39" s="9">
        <v>1007</v>
      </c>
      <c r="AM39" s="9">
        <v>1101</v>
      </c>
      <c r="AN39" s="9">
        <v>1128</v>
      </c>
      <c r="AO39" s="9">
        <v>1193</v>
      </c>
      <c r="AP39" s="9">
        <v>1307</v>
      </c>
      <c r="AQ39" s="9">
        <v>1387</v>
      </c>
    </row>
    <row r="40" spans="1:43" x14ac:dyDescent="0.25">
      <c r="A40" s="9">
        <f t="shared" si="5"/>
        <v>39</v>
      </c>
      <c r="B40" s="9">
        <f t="array" ref="B40">IF(C40="",0,IF(OR(C40=Country_Comparison!$S$10:$S$29),1,0))</f>
        <v>0</v>
      </c>
      <c r="C40" s="9" t="str">
        <f>IF(H40="","",H40)</f>
        <v>Chile</v>
      </c>
      <c r="D40" s="6">
        <f>MAX(I40:KU40)</f>
        <v>1306</v>
      </c>
      <c r="E40" s="6">
        <f>IF(COUNTIF(I40:XFD40,"&gt;"&amp;0)=0,,HLOOKUP(COUNTIF(I40:XFD40,"&gt;"&amp;0)-1,I$1:XFD40,A40+1,FALSE))</f>
        <v>1306</v>
      </c>
      <c r="F40" s="7">
        <f>IF(COUNTIF(I40:XFD40,"&gt;"&amp;0)=0,,HLOOKUP(COUNTIF(I40:XFD40,"&gt;"&amp;0)-MIN($F$1+1,COUNTIF(I40:XFD40,"&gt;"&amp;0)),I$1:XFD40,A40+1,FALSE))</f>
        <v>537</v>
      </c>
      <c r="G40" s="8">
        <f>IF(COUNTIF(I40:XFD40,"&gt;"&amp;0)=0,,(E40/F40)^(1/MIN(COUNTIF(I40:XFD40,"&gt;"&amp;0)-1,$F$1)))</f>
        <v>1.1945209699681467</v>
      </c>
      <c r="H40" s="13" t="s">
        <v>124</v>
      </c>
      <c r="I40" s="9">
        <v>155</v>
      </c>
      <c r="J40" s="9">
        <v>201</v>
      </c>
      <c r="K40" s="9">
        <v>238</v>
      </c>
      <c r="L40" s="9">
        <v>238</v>
      </c>
      <c r="M40" s="9">
        <v>434</v>
      </c>
      <c r="N40" s="9">
        <v>537</v>
      </c>
      <c r="O40" s="9">
        <v>632</v>
      </c>
      <c r="P40" s="9">
        <v>746</v>
      </c>
      <c r="Q40" s="9">
        <v>922</v>
      </c>
      <c r="R40" s="9">
        <v>1142</v>
      </c>
      <c r="S40" s="9">
        <v>1306</v>
      </c>
    </row>
    <row r="41" spans="1:43" x14ac:dyDescent="0.25">
      <c r="A41" s="9">
        <f t="shared" si="5"/>
        <v>40</v>
      </c>
      <c r="B41" s="9">
        <f t="array" ref="B41">IF(C41="",0,IF(OR(C41=Country_Comparison!$S$10:$S$29),1,0))</f>
        <v>0</v>
      </c>
      <c r="C41" s="9" t="str">
        <f>IF(H41="","",H41)</f>
        <v>Poland</v>
      </c>
      <c r="D41" s="6">
        <f>MAX(I41:KU41)</f>
        <v>1221</v>
      </c>
      <c r="E41" s="6">
        <f>IF(COUNTIF(I41:XFD41,"&gt;"&amp;0)=0,,HLOOKUP(COUNTIF(I41:XFD41,"&gt;"&amp;0)-1,I$1:XFD41,A41+1,FALSE))</f>
        <v>1221</v>
      </c>
      <c r="F41" s="7">
        <f>IF(COUNTIF(I41:XFD41,"&gt;"&amp;0)=0,,HLOOKUP(COUNTIF(I41:XFD41,"&gt;"&amp;0)-MIN($F$1+1,COUNTIF(I41:XFD41,"&gt;"&amp;0)),I$1:XFD41,A41+1,FALSE))</f>
        <v>536</v>
      </c>
      <c r="G41" s="8">
        <f>IF(COUNTIF(I41:XFD41,"&gt;"&amp;0)=0,,(E41/F41)^(1/MIN(COUNTIF(I41:XFD41,"&gt;"&amp;0)-1,$F$1)))</f>
        <v>1.1789901448423779</v>
      </c>
      <c r="H41" s="13" t="s">
        <v>137</v>
      </c>
      <c r="I41" s="9">
        <v>103</v>
      </c>
      <c r="J41" s="9">
        <v>119</v>
      </c>
      <c r="K41" s="9">
        <v>177</v>
      </c>
      <c r="L41" s="9">
        <v>238</v>
      </c>
      <c r="M41" s="9">
        <v>251</v>
      </c>
      <c r="N41" s="9">
        <v>355</v>
      </c>
      <c r="O41" s="9">
        <v>425</v>
      </c>
      <c r="P41" s="9">
        <v>536</v>
      </c>
      <c r="Q41" s="9">
        <v>634</v>
      </c>
      <c r="R41" s="9">
        <v>749</v>
      </c>
      <c r="S41" s="9">
        <v>901</v>
      </c>
      <c r="T41" s="9">
        <v>1051</v>
      </c>
      <c r="U41" s="9">
        <v>1221</v>
      </c>
    </row>
    <row r="42" spans="1:43" x14ac:dyDescent="0.25">
      <c r="A42" s="9">
        <f t="shared" si="5"/>
        <v>41</v>
      </c>
      <c r="B42" s="9">
        <f t="array" ref="B42">IF(C42="",0,IF(OR(C42=Country_Comparison!$S$10:$S$29),1,0))</f>
        <v>0</v>
      </c>
      <c r="C42" s="9" t="str">
        <f>IF(H42="","",H42)</f>
        <v>Pakistan</v>
      </c>
      <c r="D42" s="6">
        <f>MAX(I42:KU42)</f>
        <v>1201</v>
      </c>
      <c r="E42" s="6">
        <f>IF(COUNTIF(I42:XFD42,"&gt;"&amp;0)=0,,HLOOKUP(COUNTIF(I42:XFD42,"&gt;"&amp;0)-1,I$1:XFD42,A42+1,FALSE))</f>
        <v>1201</v>
      </c>
      <c r="F42" s="7">
        <f>IF(COUNTIF(I42:XFD42,"&gt;"&amp;0)=0,,HLOOKUP(COUNTIF(I42:XFD42,"&gt;"&amp;0)-MIN($F$1+1,COUNTIF(I42:XFD42,"&gt;"&amp;0)),I$1:XFD42,A42+1,FALSE))</f>
        <v>730</v>
      </c>
      <c r="G42" s="8">
        <f>IF(COUNTIF(I42:XFD42,"&gt;"&amp;0)=0,,(E42/F42)^(1/MIN(COUNTIF(I42:XFD42,"&gt;"&amp;0)-1,$F$1)))</f>
        <v>1.1046991744485168</v>
      </c>
      <c r="H42" s="13" t="s">
        <v>80</v>
      </c>
      <c r="I42" s="9">
        <v>136</v>
      </c>
      <c r="J42" s="9">
        <v>236</v>
      </c>
      <c r="K42" s="9">
        <v>299</v>
      </c>
      <c r="L42" s="9">
        <v>454</v>
      </c>
      <c r="M42" s="9">
        <v>501</v>
      </c>
      <c r="N42" s="9">
        <v>730</v>
      </c>
      <c r="O42" s="9">
        <v>776</v>
      </c>
      <c r="P42" s="9">
        <v>875</v>
      </c>
      <c r="Q42" s="9">
        <v>972</v>
      </c>
      <c r="R42" s="9">
        <v>1063</v>
      </c>
      <c r="S42" s="9">
        <v>1201</v>
      </c>
    </row>
    <row r="43" spans="1:43" x14ac:dyDescent="0.25">
      <c r="A43" s="9">
        <f t="shared" si="5"/>
        <v>42</v>
      </c>
      <c r="B43" s="9">
        <f t="array" ref="B43">IF(C43="",0,IF(OR(C43=Country_Comparison!$S$10:$S$29),1,0))</f>
        <v>0</v>
      </c>
      <c r="C43" s="9" t="str">
        <f>IF(H43="","",H43)</f>
        <v>Thailand</v>
      </c>
      <c r="D43" s="6">
        <f>MAX(I43:KU43)</f>
        <v>1045</v>
      </c>
      <c r="E43" s="6">
        <f>IF(COUNTIF(I43:XFD43,"&gt;"&amp;0)=0,,HLOOKUP(COUNTIF(I43:XFD43,"&gt;"&amp;0)-1,I$1:XFD43,A43+1,FALSE))</f>
        <v>1045</v>
      </c>
      <c r="F43" s="7">
        <f>IF(COUNTIF(I43:XFD43,"&gt;"&amp;0)=0,,HLOOKUP(COUNTIF(I43:XFD43,"&gt;"&amp;0)-MIN($F$1+1,COUNTIF(I43:XFD43,"&gt;"&amp;0)),I$1:XFD43,A43+1,FALSE))</f>
        <v>411</v>
      </c>
      <c r="G43" s="8">
        <f>IF(COUNTIF(I43:XFD43,"&gt;"&amp;0)=0,,(E43/F43)^(1/MIN(COUNTIF(I43:XFD43,"&gt;"&amp;0)-1,$F$1)))</f>
        <v>1.2051882634658524</v>
      </c>
      <c r="H43" s="13" t="s">
        <v>35</v>
      </c>
      <c r="I43" s="9">
        <v>114</v>
      </c>
      <c r="J43" s="9">
        <v>147</v>
      </c>
      <c r="K43" s="9">
        <v>177</v>
      </c>
      <c r="L43" s="9">
        <v>212</v>
      </c>
      <c r="M43" s="9">
        <v>272</v>
      </c>
      <c r="N43" s="9">
        <v>322</v>
      </c>
      <c r="O43" s="9">
        <v>411</v>
      </c>
      <c r="P43" s="9">
        <v>599</v>
      </c>
      <c r="Q43" s="9">
        <v>721</v>
      </c>
      <c r="R43" s="9">
        <v>827</v>
      </c>
      <c r="S43" s="9">
        <v>934</v>
      </c>
      <c r="T43" s="9">
        <v>1045</v>
      </c>
    </row>
    <row r="44" spans="1:43" x14ac:dyDescent="0.25">
      <c r="A44" s="9">
        <f t="shared" si="5"/>
        <v>43</v>
      </c>
      <c r="B44" s="9">
        <f t="array" ref="B44">IF(C44="",0,IF(OR(C44=Country_Comparison!$S$10:$S$29),1,0))</f>
        <v>0</v>
      </c>
      <c r="C44" s="9" t="str">
        <f>IF(H44="","",H44)</f>
        <v>Romania</v>
      </c>
      <c r="D44" s="6">
        <f>MAX(I44:KU44)</f>
        <v>1029</v>
      </c>
      <c r="E44" s="6">
        <f>IF(COUNTIF(I44:XFD44,"&gt;"&amp;0)=0,,HLOOKUP(COUNTIF(I44:XFD44,"&gt;"&amp;0)-1,I$1:XFD44,A44+1,FALSE))</f>
        <v>1029</v>
      </c>
      <c r="F44" s="7">
        <f>IF(COUNTIF(I44:XFD44,"&gt;"&amp;0)=0,,HLOOKUP(COUNTIF(I44:XFD44,"&gt;"&amp;0)-MIN($F$1+1,COUNTIF(I44:XFD44,"&gt;"&amp;0)),I$1:XFD44,A44+1,FALSE))</f>
        <v>367</v>
      </c>
      <c r="G44" s="8">
        <f>IF(COUNTIF(I44:XFD44,"&gt;"&amp;0)=0,,(E44/F44)^(1/MIN(COUNTIF(I44:XFD44,"&gt;"&amp;0)-1,$F$1)))</f>
        <v>1.2289942814418899</v>
      </c>
      <c r="H44" s="13" t="s">
        <v>86</v>
      </c>
      <c r="I44" s="9">
        <v>123</v>
      </c>
      <c r="J44" s="9">
        <v>131</v>
      </c>
      <c r="K44" s="9">
        <v>158</v>
      </c>
      <c r="L44" s="9">
        <v>184</v>
      </c>
      <c r="M44" s="9">
        <v>260</v>
      </c>
      <c r="N44" s="9">
        <v>277</v>
      </c>
      <c r="O44" s="9">
        <v>308</v>
      </c>
      <c r="P44" s="9">
        <v>367</v>
      </c>
      <c r="Q44" s="9">
        <v>433</v>
      </c>
      <c r="R44" s="9">
        <v>576</v>
      </c>
      <c r="S44" s="9">
        <v>794</v>
      </c>
      <c r="T44" s="9">
        <v>906</v>
      </c>
      <c r="U44" s="9">
        <v>1029</v>
      </c>
    </row>
    <row r="45" spans="1:43" x14ac:dyDescent="0.25">
      <c r="A45" s="9">
        <f t="shared" si="5"/>
        <v>44</v>
      </c>
      <c r="B45" s="9">
        <f t="array" ref="B45">IF(C45="",0,IF(OR(C45=Country_Comparison!$S$10:$S$29),1,0))</f>
        <v>0</v>
      </c>
      <c r="C45" s="9" t="str">
        <f>IF(H45="","",H45)</f>
        <v>Saudi Arabia</v>
      </c>
      <c r="D45" s="6">
        <f>MAX(I45:KU45)</f>
        <v>1012</v>
      </c>
      <c r="E45" s="6">
        <f>IF(COUNTIF(I45:XFD45,"&gt;"&amp;0)=0,,HLOOKUP(COUNTIF(I45:XFD45,"&gt;"&amp;0)-1,I$1:XFD45,A45+1,FALSE))</f>
        <v>1012</v>
      </c>
      <c r="F45" s="7">
        <f>IF(COUNTIF(I45:XFD45,"&gt;"&amp;0)=0,,HLOOKUP(COUNTIF(I45:XFD45,"&gt;"&amp;0)-MIN($F$1+1,COUNTIF(I45:XFD45,"&gt;"&amp;0)),I$1:XFD45,A45+1,FALSE))</f>
        <v>392</v>
      </c>
      <c r="G45" s="8">
        <f>IF(COUNTIF(I45:XFD45,"&gt;"&amp;0)=0,,(E45/F45)^(1/MIN(COUNTIF(I45:XFD45,"&gt;"&amp;0)-1,$F$1)))</f>
        <v>1.2088680211320622</v>
      </c>
      <c r="H45" s="13" t="s">
        <v>113</v>
      </c>
      <c r="I45" s="9">
        <v>103</v>
      </c>
      <c r="J45" s="9">
        <v>103</v>
      </c>
      <c r="K45" s="9">
        <v>118</v>
      </c>
      <c r="L45" s="9">
        <v>171</v>
      </c>
      <c r="M45" s="9">
        <v>171</v>
      </c>
      <c r="N45" s="9">
        <v>274</v>
      </c>
      <c r="O45" s="9">
        <v>344</v>
      </c>
      <c r="P45" s="9">
        <v>392</v>
      </c>
      <c r="Q45" s="9">
        <v>511</v>
      </c>
      <c r="R45" s="9">
        <v>562</v>
      </c>
      <c r="S45" s="9">
        <v>767</v>
      </c>
      <c r="T45" s="9">
        <v>900</v>
      </c>
      <c r="U45" s="9">
        <v>1012</v>
      </c>
    </row>
    <row r="46" spans="1:43" x14ac:dyDescent="0.25">
      <c r="A46" s="9">
        <f t="shared" si="5"/>
        <v>45</v>
      </c>
      <c r="B46" s="9">
        <f t="array" ref="B46">IF(C46="",0,IF(OR(C46=Country_Comparison!$S$10:$S$29),1,0))</f>
        <v>0</v>
      </c>
      <c r="C46" s="9" t="str">
        <f>IF(H46="","",H46)</f>
        <v>Finland</v>
      </c>
      <c r="D46" s="6">
        <f>MAX(I46:KU46)</f>
        <v>958</v>
      </c>
      <c r="E46" s="6">
        <f>IF(COUNTIF(I46:XFD46,"&gt;"&amp;0)=0,,HLOOKUP(COUNTIF(I46:XFD46,"&gt;"&amp;0)-1,I$1:XFD46,A46+1,FALSE))</f>
        <v>958</v>
      </c>
      <c r="F46" s="7">
        <f>IF(COUNTIF(I46:XFD46,"&gt;"&amp;0)=0,,HLOOKUP(COUNTIF(I46:XFD46,"&gt;"&amp;0)-MIN($F$1+1,COUNTIF(I46:XFD46,"&gt;"&amp;0)),I$1:XFD46,A46+1,FALSE))</f>
        <v>523</v>
      </c>
      <c r="G46" s="8">
        <f>IF(COUNTIF(I46:XFD46,"&gt;"&amp;0)=0,,(E46/F46)^(1/MIN(COUNTIF(I46:XFD46,"&gt;"&amp;0)-1,$F$1)))</f>
        <v>1.128685027670034</v>
      </c>
      <c r="H46" s="13" t="s">
        <v>54</v>
      </c>
      <c r="I46" s="9">
        <v>155</v>
      </c>
      <c r="J46" s="9">
        <v>225</v>
      </c>
      <c r="K46" s="9">
        <v>244</v>
      </c>
      <c r="L46" s="9">
        <v>277</v>
      </c>
      <c r="M46" s="9">
        <v>321</v>
      </c>
      <c r="N46" s="9">
        <v>336</v>
      </c>
      <c r="O46" s="9">
        <v>400</v>
      </c>
      <c r="P46" s="9">
        <v>450</v>
      </c>
      <c r="Q46" s="9">
        <v>523</v>
      </c>
      <c r="R46" s="9">
        <v>626</v>
      </c>
      <c r="S46" s="9">
        <v>700</v>
      </c>
      <c r="T46" s="9">
        <v>792</v>
      </c>
      <c r="U46" s="9">
        <v>880</v>
      </c>
      <c r="V46" s="9">
        <v>958</v>
      </c>
    </row>
    <row r="47" spans="1:43" x14ac:dyDescent="0.25">
      <c r="A47" s="9">
        <f t="shared" si="5"/>
        <v>46</v>
      </c>
      <c r="B47" s="9">
        <f t="array" ref="B47">IF(C47="",0,IF(OR(C47=Country_Comparison!$S$10:$S$29),1,0))</f>
        <v>0</v>
      </c>
      <c r="C47" s="9" t="str">
        <f>IF(H47="","",H47)</f>
        <v>South Africa</v>
      </c>
      <c r="D47" s="6">
        <f>MAX(I47:KU47)</f>
        <v>927</v>
      </c>
      <c r="E47" s="6">
        <f>IF(COUNTIF(I47:XFD47,"&gt;"&amp;0)=0,,HLOOKUP(COUNTIF(I47:XFD47,"&gt;"&amp;0)-1,I$1:XFD47,A47+1,FALSE))</f>
        <v>927</v>
      </c>
      <c r="F47" s="7">
        <f>IF(COUNTIF(I47:XFD47,"&gt;"&amp;0)=0,,HLOOKUP(COUNTIF(I47:XFD47,"&gt;"&amp;0)-MIN($F$1+1,COUNTIF(I47:XFD47,"&gt;"&amp;0)),I$1:XFD47,A47+1,FALSE))</f>
        <v>240</v>
      </c>
      <c r="G47" s="8">
        <f>IF(COUNTIF(I47:XFD47,"&gt;"&amp;0)=0,,(E47/F47)^(1/MIN(COUNTIF(I47:XFD47,"&gt;"&amp;0)-1,$F$1)))</f>
        <v>1.3103089229327716</v>
      </c>
      <c r="H47" s="13" t="s">
        <v>145</v>
      </c>
      <c r="I47" s="9">
        <v>116</v>
      </c>
      <c r="J47" s="9">
        <v>150</v>
      </c>
      <c r="K47" s="9">
        <v>202</v>
      </c>
      <c r="L47" s="9">
        <v>240</v>
      </c>
      <c r="M47" s="9">
        <v>274</v>
      </c>
      <c r="N47" s="9">
        <v>402</v>
      </c>
      <c r="O47" s="9">
        <v>554</v>
      </c>
      <c r="P47" s="9">
        <v>709</v>
      </c>
      <c r="Q47" s="9">
        <v>927</v>
      </c>
    </row>
    <row r="48" spans="1:43" x14ac:dyDescent="0.25">
      <c r="A48" s="9">
        <f t="shared" si="5"/>
        <v>47</v>
      </c>
      <c r="B48" s="9">
        <f t="array" ref="B48">IF(C48="",0,IF(OR(C48=Country_Comparison!$S$10:$S$29),1,0))</f>
        <v>0</v>
      </c>
      <c r="C48" s="9" t="str">
        <f>IF(H48="","",H48)</f>
        <v>Indonesia</v>
      </c>
      <c r="D48" s="6">
        <f>MAX(I48:KU48)</f>
        <v>893</v>
      </c>
      <c r="E48" s="6">
        <f>IF(COUNTIF(I48:XFD48,"&gt;"&amp;0)=0,,HLOOKUP(COUNTIF(I48:XFD48,"&gt;"&amp;0)-1,I$1:XFD48,A48+1,FALSE))</f>
        <v>893</v>
      </c>
      <c r="F48" s="7">
        <f>IF(COUNTIF(I48:XFD48,"&gt;"&amp;0)=0,,HLOOKUP(COUNTIF(I48:XFD48,"&gt;"&amp;0)-MIN($F$1+1,COUNTIF(I48:XFD48,"&gt;"&amp;0)),I$1:XFD48,A48+1,FALSE))</f>
        <v>450</v>
      </c>
      <c r="G48" s="8">
        <f>IF(COUNTIF(I48:XFD48,"&gt;"&amp;0)=0,,(E48/F48)^(1/MIN(COUNTIF(I48:XFD48,"&gt;"&amp;0)-1,$F$1)))</f>
        <v>1.1469059056717792</v>
      </c>
      <c r="H48" s="13" t="s">
        <v>107</v>
      </c>
      <c r="I48" s="9">
        <v>117</v>
      </c>
      <c r="J48" s="9">
        <v>134</v>
      </c>
      <c r="K48" s="9">
        <v>172</v>
      </c>
      <c r="L48" s="9">
        <v>227</v>
      </c>
      <c r="M48" s="9">
        <v>311</v>
      </c>
      <c r="N48" s="9">
        <v>369</v>
      </c>
      <c r="O48" s="9">
        <v>450</v>
      </c>
      <c r="P48" s="9">
        <v>514</v>
      </c>
      <c r="Q48" s="9">
        <v>579</v>
      </c>
      <c r="R48" s="9">
        <v>686</v>
      </c>
      <c r="S48" s="9">
        <v>790</v>
      </c>
      <c r="T48" s="9">
        <v>893</v>
      </c>
    </row>
    <row r="49" spans="1:35" x14ac:dyDescent="0.25">
      <c r="A49" s="9">
        <f t="shared" si="5"/>
        <v>48</v>
      </c>
      <c r="B49" s="9">
        <f t="array" ref="B49">IF(C49="",0,IF(OR(C49=Country_Comparison!$S$10:$S$29),1,0))</f>
        <v>0</v>
      </c>
      <c r="C49" s="9" t="str">
        <f>IF(H49="","",H49)</f>
        <v>Greece</v>
      </c>
      <c r="D49" s="6">
        <f>MAX(I49:KU49)</f>
        <v>892</v>
      </c>
      <c r="E49" s="6">
        <f>IF(COUNTIF(I49:XFD49,"&gt;"&amp;0)=0,,HLOOKUP(COUNTIF(I49:XFD49,"&gt;"&amp;0)-1,I$1:XFD49,A49+1,FALSE))</f>
        <v>892</v>
      </c>
      <c r="F49" s="7">
        <f>IF(COUNTIF(I49:XFD49,"&gt;"&amp;0)=0,,HLOOKUP(COUNTIF(I49:XFD49,"&gt;"&amp;0)-MIN($F$1+1,COUNTIF(I49:XFD49,"&gt;"&amp;0)),I$1:XFD49,A49+1,FALSE))</f>
        <v>530</v>
      </c>
      <c r="G49" s="8">
        <f>IF(COUNTIF(I49:XFD49,"&gt;"&amp;0)=0,,(E49/F49)^(1/MIN(COUNTIF(I49:XFD49,"&gt;"&amp;0)-1,$F$1)))</f>
        <v>1.109731201521085</v>
      </c>
      <c r="H49" s="13" t="s">
        <v>83</v>
      </c>
      <c r="I49" s="9">
        <v>190</v>
      </c>
      <c r="J49" s="9">
        <v>228</v>
      </c>
      <c r="K49" s="9">
        <v>331</v>
      </c>
      <c r="L49" s="9">
        <v>331</v>
      </c>
      <c r="M49" s="9">
        <v>387</v>
      </c>
      <c r="N49" s="9">
        <v>418</v>
      </c>
      <c r="O49" s="9">
        <v>418</v>
      </c>
      <c r="P49" s="9">
        <v>495</v>
      </c>
      <c r="Q49" s="9">
        <v>530</v>
      </c>
      <c r="R49" s="9">
        <v>624</v>
      </c>
      <c r="S49" s="9">
        <v>695</v>
      </c>
      <c r="T49" s="9">
        <v>743</v>
      </c>
      <c r="U49" s="9">
        <v>821</v>
      </c>
      <c r="V49" s="9">
        <v>892</v>
      </c>
    </row>
    <row r="50" spans="1:35" x14ac:dyDescent="0.25">
      <c r="A50" s="9">
        <f t="shared" si="5"/>
        <v>49</v>
      </c>
      <c r="B50" s="9">
        <f t="array" ref="B50">IF(C50="",0,IF(OR(C50=Country_Comparison!$S$10:$S$29),1,0))</f>
        <v>0</v>
      </c>
      <c r="C50" s="9" t="str">
        <f>IF(H50="","",H50)</f>
        <v>Russia</v>
      </c>
      <c r="D50" s="6">
        <f>MAX(I50:KU50)</f>
        <v>840</v>
      </c>
      <c r="E50" s="6">
        <f>IF(COUNTIF(I50:XFD50,"&gt;"&amp;0)=0,,HLOOKUP(COUNTIF(I50:XFD50,"&gt;"&amp;0)-1,I$1:XFD50,A50+1,FALSE))</f>
        <v>840</v>
      </c>
      <c r="F50" s="7">
        <f>IF(COUNTIF(I50:XFD50,"&gt;"&amp;0)=0,,HLOOKUP(COUNTIF(I50:XFD50,"&gt;"&amp;0)-MIN($F$1+1,COUNTIF(I50:XFD50,"&gt;"&amp;0)),I$1:XFD50,A50+1,FALSE))</f>
        <v>306</v>
      </c>
      <c r="G50" s="8">
        <f>IF(COUNTIF(I50:XFD50,"&gt;"&amp;0)=0,,(E50/F50)^(1/MIN(COUNTIF(I50:XFD50,"&gt;"&amp;0)-1,$F$1)))</f>
        <v>1.2238031646660734</v>
      </c>
      <c r="H50" s="13" t="s">
        <v>344</v>
      </c>
      <c r="I50" s="9">
        <v>114</v>
      </c>
      <c r="J50" s="9">
        <v>147</v>
      </c>
      <c r="K50" s="9">
        <v>199</v>
      </c>
      <c r="L50" s="9">
        <v>253</v>
      </c>
      <c r="M50" s="9">
        <v>306</v>
      </c>
      <c r="N50" s="9">
        <v>367</v>
      </c>
      <c r="O50" s="9">
        <v>438</v>
      </c>
      <c r="P50" s="9">
        <v>495</v>
      </c>
      <c r="Q50" s="9">
        <v>658</v>
      </c>
      <c r="R50" s="9">
        <v>840</v>
      </c>
    </row>
    <row r="51" spans="1:35" x14ac:dyDescent="0.25">
      <c r="A51" s="9">
        <f t="shared" si="5"/>
        <v>50</v>
      </c>
      <c r="B51" s="9">
        <f t="array" ref="B51">IF(C51="",0,IF(OR(C51=Country_Comparison!$S$10:$S$29),1,0))</f>
        <v>0</v>
      </c>
      <c r="C51" s="9" t="str">
        <f>IF(H51="","",H51)</f>
        <v>Iceland</v>
      </c>
      <c r="D51" s="6">
        <f>MAX(I51:KU51)</f>
        <v>802</v>
      </c>
      <c r="E51" s="6">
        <f>IF(COUNTIF(I51:XFD51,"&gt;"&amp;0)=0,,HLOOKUP(COUNTIF(I51:XFD51,"&gt;"&amp;0)-1,I$1:XFD51,A51+1,FALSE))</f>
        <v>802</v>
      </c>
      <c r="F51" s="7">
        <f>IF(COUNTIF(I51:XFD51,"&gt;"&amp;0)=0,,HLOOKUP(COUNTIF(I51:XFD51,"&gt;"&amp;0)-MIN($F$1+1,COUNTIF(I51:XFD51,"&gt;"&amp;0)),I$1:XFD51,A51+1,FALSE))</f>
        <v>473</v>
      </c>
      <c r="G51" s="8">
        <f>IF(COUNTIF(I51:XFD51,"&gt;"&amp;0)=0,,(E51/F51)^(1/MIN(COUNTIF(I51:XFD51,"&gt;"&amp;0)-1,$F$1)))</f>
        <v>1.111380175036103</v>
      </c>
      <c r="H51" s="13" t="s">
        <v>92</v>
      </c>
      <c r="I51" s="9">
        <v>103</v>
      </c>
      <c r="J51" s="9">
        <v>134</v>
      </c>
      <c r="K51" s="9">
        <v>156</v>
      </c>
      <c r="L51" s="9">
        <v>171</v>
      </c>
      <c r="M51" s="9">
        <v>180</v>
      </c>
      <c r="N51" s="9">
        <v>220</v>
      </c>
      <c r="O51" s="9">
        <v>250</v>
      </c>
      <c r="P51" s="9">
        <v>330</v>
      </c>
      <c r="Q51" s="9">
        <v>409</v>
      </c>
      <c r="R51" s="9">
        <v>473</v>
      </c>
      <c r="S51" s="9">
        <v>568</v>
      </c>
      <c r="T51" s="9">
        <v>588</v>
      </c>
      <c r="U51" s="9">
        <v>648</v>
      </c>
      <c r="V51" s="9">
        <v>737</v>
      </c>
      <c r="W51" s="9">
        <v>802</v>
      </c>
    </row>
    <row r="52" spans="1:35" x14ac:dyDescent="0.25">
      <c r="A52" s="9">
        <f t="shared" si="5"/>
        <v>51</v>
      </c>
      <c r="B52" s="9">
        <f t="array" ref="B52">IF(C52="",0,IF(OR(C52=Country_Comparison!$S$10:$S$29),1,0))</f>
        <v>0</v>
      </c>
      <c r="C52" s="9" t="str">
        <f>IF(H52="","",H52)</f>
        <v>India</v>
      </c>
      <c r="D52" s="6">
        <f>MAX(I52:KU52)</f>
        <v>727</v>
      </c>
      <c r="E52" s="6">
        <f>IF(COUNTIF(I52:XFD52,"&gt;"&amp;0)=0,,HLOOKUP(COUNTIF(I52:XFD52,"&gt;"&amp;0)-1,I$1:XFD52,A52+1,FALSE))</f>
        <v>727</v>
      </c>
      <c r="F52" s="7">
        <f>IF(COUNTIF(I52:XFD52,"&gt;"&amp;0)=0,,HLOOKUP(COUNTIF(I52:XFD52,"&gt;"&amp;0)-MIN($F$1+1,COUNTIF(I52:XFD52,"&gt;"&amp;0)),I$1:XFD52,A52+1,FALSE))</f>
        <v>330</v>
      </c>
      <c r="G52" s="8">
        <f>IF(COUNTIF(I52:XFD52,"&gt;"&amp;0)=0,,(E52/F52)^(1/MIN(COUNTIF(I52:XFD52,"&gt;"&amp;0)-1,$F$1)))</f>
        <v>1.1711272711946419</v>
      </c>
      <c r="H52" s="13" t="s">
        <v>57</v>
      </c>
      <c r="I52" s="9">
        <v>102</v>
      </c>
      <c r="J52" s="9">
        <v>113</v>
      </c>
      <c r="K52" s="9">
        <v>119</v>
      </c>
      <c r="L52" s="9">
        <v>142</v>
      </c>
      <c r="M52" s="9">
        <v>156</v>
      </c>
      <c r="N52" s="9">
        <v>194</v>
      </c>
      <c r="O52" s="9">
        <v>244</v>
      </c>
      <c r="P52" s="9">
        <v>330</v>
      </c>
      <c r="Q52" s="9">
        <v>396</v>
      </c>
      <c r="R52" s="9">
        <v>499</v>
      </c>
      <c r="S52" s="9">
        <v>536</v>
      </c>
      <c r="T52" s="9">
        <v>657</v>
      </c>
      <c r="U52" s="9">
        <v>727</v>
      </c>
    </row>
    <row r="53" spans="1:35" x14ac:dyDescent="0.25">
      <c r="A53" s="9">
        <f t="shared" si="5"/>
        <v>52</v>
      </c>
      <c r="B53" s="9">
        <f t="array" ref="B53">IF(C53="",0,IF(OR(C53=Country_Comparison!$S$10:$S$29),1,0))</f>
        <v>0</v>
      </c>
      <c r="C53" s="9" t="str">
        <f>IF(H53="","",H53)</f>
        <v>Philippines</v>
      </c>
      <c r="D53" s="6">
        <f>MAX(I53:KU53)</f>
        <v>707</v>
      </c>
      <c r="E53" s="6">
        <f>IF(COUNTIF(I53:XFD53,"&gt;"&amp;0)=0,,HLOOKUP(COUNTIF(I53:XFD53,"&gt;"&amp;0)-1,I$1:XFD53,A53+1,FALSE))</f>
        <v>707</v>
      </c>
      <c r="F53" s="7">
        <f>IF(COUNTIF(I53:XFD53,"&gt;"&amp;0)=0,,HLOOKUP(COUNTIF(I53:XFD53,"&gt;"&amp;0)-MIN($F$1+1,COUNTIF(I53:XFD53,"&gt;"&amp;0)),I$1:XFD53,A53+1,FALSE))</f>
        <v>307</v>
      </c>
      <c r="G53" s="8">
        <f>IF(COUNTIF(I53:XFD53,"&gt;"&amp;0)=0,,(E53/F53)^(1/MIN(COUNTIF(I53:XFD53,"&gt;"&amp;0)-1,$F$1)))</f>
        <v>1.1815611631322165</v>
      </c>
      <c r="H53" s="13" t="s">
        <v>56</v>
      </c>
      <c r="I53" s="9">
        <v>111</v>
      </c>
      <c r="J53" s="9">
        <v>140</v>
      </c>
      <c r="K53" s="9">
        <v>142</v>
      </c>
      <c r="L53" s="9">
        <v>187</v>
      </c>
      <c r="M53" s="9">
        <v>202</v>
      </c>
      <c r="N53" s="9">
        <v>217</v>
      </c>
      <c r="O53" s="9">
        <v>230</v>
      </c>
      <c r="P53" s="9">
        <v>307</v>
      </c>
      <c r="Q53" s="9">
        <v>380</v>
      </c>
      <c r="R53" s="9">
        <v>462</v>
      </c>
      <c r="S53" s="9">
        <v>552</v>
      </c>
      <c r="T53" s="9">
        <v>636</v>
      </c>
      <c r="U53" s="9">
        <v>707</v>
      </c>
    </row>
    <row r="54" spans="1:35" x14ac:dyDescent="0.25">
      <c r="A54" s="9">
        <f t="shared" si="5"/>
        <v>53</v>
      </c>
      <c r="B54" s="9">
        <f t="array" ref="B54">IF(C54="",0,IF(OR(C54=Country_Comparison!$S$10:$S$29),1,0))</f>
        <v>0</v>
      </c>
      <c r="C54" s="9" t="str">
        <f>IF(H54="","",H54)</f>
        <v>Singapore</v>
      </c>
      <c r="D54" s="6">
        <f>MAX(I54:KU54)</f>
        <v>683</v>
      </c>
      <c r="E54" s="6">
        <f>IF(COUNTIF(I54:XFD54,"&gt;"&amp;0)=0,,HLOOKUP(COUNTIF(I54:XFD54,"&gt;"&amp;0)-1,I$1:XFD54,A54+1,FALSE))</f>
        <v>683</v>
      </c>
      <c r="F54" s="7">
        <f>IF(COUNTIF(I54:XFD54,"&gt;"&amp;0)=0,,HLOOKUP(COUNTIF(I54:XFD54,"&gt;"&amp;0)-MIN($F$1+1,COUNTIF(I54:XFD54,"&gt;"&amp;0)),I$1:XFD54,A54+1,FALSE))</f>
        <v>432</v>
      </c>
      <c r="G54" s="8">
        <f>IF(COUNTIF(I54:XFD54,"&gt;"&amp;0)=0,,(E54/F54)^(1/MIN(COUNTIF(I54:XFD54,"&gt;"&amp;0)-1,$F$1)))</f>
        <v>1.0959415472092875</v>
      </c>
      <c r="H54" s="13" t="s">
        <v>40</v>
      </c>
      <c r="I54" s="9">
        <v>102</v>
      </c>
      <c r="J54" s="9">
        <v>106</v>
      </c>
      <c r="K54" s="9">
        <v>108</v>
      </c>
      <c r="L54" s="9">
        <v>110</v>
      </c>
      <c r="M54" s="9">
        <v>110</v>
      </c>
      <c r="N54" s="9">
        <v>117</v>
      </c>
      <c r="O54" s="9">
        <v>130</v>
      </c>
      <c r="P54" s="9">
        <v>138</v>
      </c>
      <c r="Q54" s="9">
        <v>150</v>
      </c>
      <c r="R54" s="9">
        <v>150</v>
      </c>
      <c r="S54" s="9">
        <v>160</v>
      </c>
      <c r="T54" s="9">
        <v>178</v>
      </c>
      <c r="U54" s="9">
        <v>178</v>
      </c>
      <c r="V54" s="9">
        <v>200</v>
      </c>
      <c r="W54" s="9">
        <v>212</v>
      </c>
      <c r="X54" s="9">
        <v>226</v>
      </c>
      <c r="Y54" s="9">
        <v>243</v>
      </c>
      <c r="Z54" s="9">
        <v>266</v>
      </c>
      <c r="AA54" s="9">
        <v>313</v>
      </c>
      <c r="AB54" s="9">
        <v>345</v>
      </c>
      <c r="AC54" s="9">
        <v>385</v>
      </c>
      <c r="AD54" s="9">
        <v>432</v>
      </c>
      <c r="AE54" s="9">
        <v>455</v>
      </c>
      <c r="AF54" s="9">
        <v>509</v>
      </c>
      <c r="AG54" s="9">
        <v>558</v>
      </c>
      <c r="AH54" s="9">
        <v>631</v>
      </c>
      <c r="AI54" s="9">
        <v>683</v>
      </c>
    </row>
    <row r="55" spans="1:35" x14ac:dyDescent="0.25">
      <c r="A55" s="9">
        <f t="shared" si="5"/>
        <v>54</v>
      </c>
      <c r="B55" s="9">
        <f t="array" ref="B55">IF(C55="",0,IF(OR(C55=Country_Comparison!$S$10:$S$29),1,0))</f>
        <v>0</v>
      </c>
      <c r="C55" s="9" t="str">
        <f>IF(H55="","",H55)</f>
        <v>Peru</v>
      </c>
      <c r="D55" s="6">
        <f>MAX(I55:KU55)</f>
        <v>580</v>
      </c>
      <c r="E55" s="6">
        <f>IF(COUNTIF(I55:XFD55,"&gt;"&amp;0)=0,,HLOOKUP(COUNTIF(I55:XFD55,"&gt;"&amp;0)-1,I$1:XFD55,A55+1,FALSE))</f>
        <v>580</v>
      </c>
      <c r="F55" s="7">
        <f>IF(COUNTIF(I55:XFD55,"&gt;"&amp;0)=0,,HLOOKUP(COUNTIF(I55:XFD55,"&gt;"&amp;0)-MIN($F$1+1,COUNTIF(I55:XFD55,"&gt;"&amp;0)),I$1:XFD55,A55+1,FALSE))</f>
        <v>318</v>
      </c>
      <c r="G55" s="8">
        <f>IF(COUNTIF(I55:XFD55,"&gt;"&amp;0)=0,,(E55/F55)^(1/MIN(COUNTIF(I55:XFD55,"&gt;"&amp;0)-1,$F$1)))</f>
        <v>1.1277171230094625</v>
      </c>
      <c r="H55" s="13" t="s">
        <v>160</v>
      </c>
      <c r="I55" s="9">
        <v>117</v>
      </c>
      <c r="J55" s="9">
        <v>145</v>
      </c>
      <c r="K55" s="9">
        <v>234</v>
      </c>
      <c r="L55" s="9">
        <v>234</v>
      </c>
      <c r="M55" s="9">
        <v>318</v>
      </c>
      <c r="N55" s="9">
        <v>363</v>
      </c>
      <c r="O55" s="9">
        <v>395</v>
      </c>
      <c r="P55" s="9">
        <v>416</v>
      </c>
      <c r="Q55" s="9">
        <v>480</v>
      </c>
      <c r="R55" s="9">
        <v>580</v>
      </c>
    </row>
    <row r="56" spans="1:35" x14ac:dyDescent="0.25">
      <c r="A56" s="9">
        <f t="shared" si="5"/>
        <v>55</v>
      </c>
      <c r="B56" s="9">
        <f t="array" ref="B56">IF(C56="",0,IF(OR(C56=Country_Comparison!$S$10:$S$29),1,0))</f>
        <v>0</v>
      </c>
      <c r="C56" s="9" t="str">
        <f>IF(H56="","",H56)</f>
        <v>Slovenia</v>
      </c>
      <c r="D56" s="6">
        <f>MAX(I56:KU56)</f>
        <v>562</v>
      </c>
      <c r="E56" s="6">
        <f>IF(COUNTIF(I56:XFD56,"&gt;"&amp;0)=0,,HLOOKUP(COUNTIF(I56:XFD56,"&gt;"&amp;0)-1,I$1:XFD56,A56+1,FALSE))</f>
        <v>562</v>
      </c>
      <c r="F56" s="7">
        <f>IF(COUNTIF(I56:XFD56,"&gt;"&amp;0)=0,,HLOOKUP(COUNTIF(I56:XFD56,"&gt;"&amp;0)-MIN($F$1+1,COUNTIF(I56:XFD56,"&gt;"&amp;0)),I$1:XFD56,A56+1,FALSE))</f>
        <v>383</v>
      </c>
      <c r="G56" s="8">
        <f>IF(COUNTIF(I56:XFD56,"&gt;"&amp;0)=0,,(E56/F56)^(1/MIN(COUNTIF(I56:XFD56,"&gt;"&amp;0)-1,$F$1)))</f>
        <v>1.07971095617276</v>
      </c>
      <c r="H56" s="13" t="s">
        <v>141</v>
      </c>
      <c r="I56" s="9">
        <v>141</v>
      </c>
      <c r="J56" s="9">
        <v>181</v>
      </c>
      <c r="K56" s="9">
        <v>219</v>
      </c>
      <c r="L56" s="9">
        <v>253</v>
      </c>
      <c r="M56" s="9">
        <v>275</v>
      </c>
      <c r="N56" s="9">
        <v>275</v>
      </c>
      <c r="O56" s="9">
        <v>286</v>
      </c>
      <c r="P56" s="9">
        <v>341</v>
      </c>
      <c r="Q56" s="9">
        <v>383</v>
      </c>
      <c r="R56" s="9">
        <v>414</v>
      </c>
      <c r="S56" s="9">
        <v>442</v>
      </c>
      <c r="T56" s="9">
        <v>480</v>
      </c>
      <c r="U56" s="9">
        <v>528</v>
      </c>
      <c r="V56" s="9">
        <v>562</v>
      </c>
    </row>
    <row r="57" spans="1:35" x14ac:dyDescent="0.25">
      <c r="A57" s="9">
        <f t="shared" si="5"/>
        <v>56</v>
      </c>
      <c r="B57" s="9">
        <f t="array" ref="B57">IF(C57="",0,IF(OR(C57=Country_Comparison!$S$10:$S$29),1,0))</f>
        <v>0</v>
      </c>
      <c r="C57" s="9" t="str">
        <f>IF(H57="","",H57)</f>
        <v>Panama</v>
      </c>
      <c r="D57" s="6">
        <f>MAX(I57:KU57)</f>
        <v>558</v>
      </c>
      <c r="E57" s="6">
        <f>IF(COUNTIF(I57:XFD57,"&gt;"&amp;0)=0,,HLOOKUP(COUNTIF(I57:XFD57,"&gt;"&amp;0)-1,I$1:XFD57,A57+1,FALSE))</f>
        <v>558</v>
      </c>
      <c r="F57" s="7">
        <f>IF(COUNTIF(I57:XFD57,"&gt;"&amp;0)=0,,HLOOKUP(COUNTIF(I57:XFD57,"&gt;"&amp;0)-MIN($F$1+1,COUNTIF(I57:XFD57,"&gt;"&amp;0)),I$1:XFD57,A57+1,FALSE))</f>
        <v>200</v>
      </c>
      <c r="G57" s="8">
        <f>IF(COUNTIF(I57:XFD57,"&gt;"&amp;0)=0,,(E57/F57)^(1/MIN(COUNTIF(I57:XFD57,"&gt;"&amp;0)-1,$F$1)))</f>
        <v>1.2277808085989845</v>
      </c>
      <c r="H57" s="13" t="s">
        <v>283</v>
      </c>
      <c r="I57" s="9">
        <v>109</v>
      </c>
      <c r="J57" s="9">
        <v>137</v>
      </c>
      <c r="K57" s="9">
        <v>200</v>
      </c>
      <c r="L57" s="9">
        <v>313</v>
      </c>
      <c r="M57" s="9">
        <v>345</v>
      </c>
      <c r="N57" s="9">
        <v>345</v>
      </c>
      <c r="O57" s="9">
        <v>443</v>
      </c>
      <c r="P57" s="9">
        <v>558</v>
      </c>
    </row>
    <row r="58" spans="1:35" x14ac:dyDescent="0.25">
      <c r="A58" s="9">
        <f t="shared" si="5"/>
        <v>57</v>
      </c>
      <c r="B58" s="9">
        <f t="array" ref="B58">IF(C58="",0,IF(OR(C58=Country_Comparison!$S$10:$S$29),1,0))</f>
        <v>0</v>
      </c>
      <c r="C58" s="9" t="str">
        <f>IF(H58="","",H58)</f>
        <v>Qatar</v>
      </c>
      <c r="D58" s="6">
        <f>MAX(I58:KU58)</f>
        <v>549</v>
      </c>
      <c r="E58" s="6">
        <f>IF(COUNTIF(I58:XFD58,"&gt;"&amp;0)=0,,HLOOKUP(COUNTIF(I58:XFD58,"&gt;"&amp;0)-1,I$1:XFD58,A58+1,FALSE))</f>
        <v>549</v>
      </c>
      <c r="F58" s="7">
        <f>IF(COUNTIF(I58:XFD58,"&gt;"&amp;0)=0,,HLOOKUP(COUNTIF(I58:XFD58,"&gt;"&amp;0)-MIN($F$1+1,COUNTIF(I58:XFD58,"&gt;"&amp;0)),I$1:XFD58,A58+1,FALSE))</f>
        <v>481</v>
      </c>
      <c r="G58" s="8">
        <f>IF(COUNTIF(I58:XFD58,"&gt;"&amp;0)=0,,(E58/F58)^(1/MIN(COUNTIF(I58:XFD58,"&gt;"&amp;0)-1,$F$1)))</f>
        <v>1.0267990391886814</v>
      </c>
      <c r="H58" s="13" t="s">
        <v>101</v>
      </c>
      <c r="I58" s="9">
        <v>262</v>
      </c>
      <c r="J58" s="9">
        <v>262</v>
      </c>
      <c r="K58" s="9">
        <v>320</v>
      </c>
      <c r="L58" s="9">
        <v>337</v>
      </c>
      <c r="M58" s="9">
        <v>401</v>
      </c>
      <c r="N58" s="9">
        <v>439</v>
      </c>
      <c r="O58" s="9">
        <v>439</v>
      </c>
      <c r="P58" s="9">
        <v>452</v>
      </c>
      <c r="Q58" s="9">
        <v>460</v>
      </c>
      <c r="R58" s="9">
        <v>470</v>
      </c>
      <c r="S58" s="9">
        <v>481</v>
      </c>
      <c r="T58" s="9">
        <v>494</v>
      </c>
      <c r="U58" s="9">
        <v>501</v>
      </c>
      <c r="V58" s="9">
        <v>526</v>
      </c>
      <c r="W58" s="9">
        <v>537</v>
      </c>
      <c r="X58" s="9">
        <v>549</v>
      </c>
    </row>
    <row r="59" spans="1:35" x14ac:dyDescent="0.25">
      <c r="A59" s="9">
        <f t="shared" si="5"/>
        <v>58</v>
      </c>
      <c r="B59" s="9">
        <f t="array" ref="B59">IF(C59="",0,IF(OR(C59=Country_Comparison!$S$10:$S$29),1,0))</f>
        <v>0</v>
      </c>
      <c r="C59" s="9" t="str">
        <f>IF(H59="","",H59)</f>
        <v>Estonia</v>
      </c>
      <c r="D59" s="6">
        <f>MAX(I59:KU59)</f>
        <v>538</v>
      </c>
      <c r="E59" s="6">
        <f>IF(COUNTIF(I59:XFD59,"&gt;"&amp;0)=0,,HLOOKUP(COUNTIF(I59:XFD59,"&gt;"&amp;0)-1,I$1:XFD59,A59+1,FALSE))</f>
        <v>538</v>
      </c>
      <c r="F59" s="7">
        <f>IF(COUNTIF(I59:XFD59,"&gt;"&amp;0)=0,,HLOOKUP(COUNTIF(I59:XFD59,"&gt;"&amp;0)-MIN($F$1+1,COUNTIF(I59:XFD59,"&gt;"&amp;0)),I$1:XFD59,A59+1,FALSE))</f>
        <v>306</v>
      </c>
      <c r="G59" s="8">
        <f>IF(COUNTIF(I59:XFD59,"&gt;"&amp;0)=0,,(E59/F59)^(1/MIN(COUNTIF(I59:XFD59,"&gt;"&amp;0)-1,$F$1)))</f>
        <v>1.1194692528903836</v>
      </c>
      <c r="H59" s="13" t="s">
        <v>88</v>
      </c>
      <c r="I59" s="9">
        <v>115</v>
      </c>
      <c r="J59" s="9">
        <v>171</v>
      </c>
      <c r="K59" s="9">
        <v>205</v>
      </c>
      <c r="L59" s="9">
        <v>225</v>
      </c>
      <c r="M59" s="9">
        <v>258</v>
      </c>
      <c r="N59" s="9">
        <v>267</v>
      </c>
      <c r="O59" s="9">
        <v>283</v>
      </c>
      <c r="P59" s="9">
        <v>306</v>
      </c>
      <c r="Q59" s="9">
        <v>326</v>
      </c>
      <c r="R59" s="9">
        <v>352</v>
      </c>
      <c r="S59" s="9">
        <v>369</v>
      </c>
      <c r="T59" s="9">
        <v>404</v>
      </c>
      <c r="U59" s="9">
        <v>538</v>
      </c>
    </row>
    <row r="60" spans="1:35" x14ac:dyDescent="0.25">
      <c r="A60" s="9">
        <f t="shared" si="5"/>
        <v>59</v>
      </c>
      <c r="B60" s="9">
        <f t="array" ref="B60">IF(C60="",0,IF(OR(C60=Country_Comparison!$S$10:$S$29),1,0))</f>
        <v>0</v>
      </c>
      <c r="C60" s="9" t="str">
        <f>IF(H60="","",H60)</f>
        <v>Argentina</v>
      </c>
      <c r="D60" s="6">
        <f>MAX(I60:KU60)</f>
        <v>502</v>
      </c>
      <c r="E60" s="6">
        <f>IF(COUNTIF(I60:XFD60,"&gt;"&amp;0)=0,,HLOOKUP(COUNTIF(I60:XFD60,"&gt;"&amp;0)-1,I$1:XFD60,A60+1,FALSE))</f>
        <v>502</v>
      </c>
      <c r="F60" s="7">
        <f>IF(COUNTIF(I60:XFD60,"&gt;"&amp;0)=0,,HLOOKUP(COUNTIF(I60:XFD60,"&gt;"&amp;0)-MIN($F$1+1,COUNTIF(I60:XFD60,"&gt;"&amp;0)),I$1:XFD60,A60+1,FALSE))</f>
        <v>158</v>
      </c>
      <c r="G60" s="8">
        <f>IF(COUNTIF(I60:XFD60,"&gt;"&amp;0)=0,,(E60/F60)^(1/MIN(COUNTIF(I60:XFD60,"&gt;"&amp;0)-1,$F$1)))</f>
        <v>1.2601125184493227</v>
      </c>
      <c r="H60" s="13" t="s">
        <v>123</v>
      </c>
      <c r="I60" s="9">
        <v>128</v>
      </c>
      <c r="J60" s="9">
        <v>158</v>
      </c>
      <c r="K60" s="9">
        <v>266</v>
      </c>
      <c r="L60" s="9">
        <v>301</v>
      </c>
      <c r="M60" s="9">
        <v>387</v>
      </c>
      <c r="N60" s="9">
        <v>387</v>
      </c>
      <c r="O60" s="9">
        <v>502</v>
      </c>
    </row>
    <row r="61" spans="1:35" x14ac:dyDescent="0.25">
      <c r="A61" s="9">
        <f t="shared" si="5"/>
        <v>60</v>
      </c>
      <c r="B61" s="9">
        <f t="array" ref="B61">IF(C61="",0,IF(OR(C61=Country_Comparison!$S$10:$S$29),1,0))</f>
        <v>0</v>
      </c>
      <c r="C61" s="9" t="str">
        <f>IF(H61="","",H61)</f>
        <v>Egypt</v>
      </c>
      <c r="D61" s="6">
        <f>MAX(I61:KU61)</f>
        <v>495</v>
      </c>
      <c r="E61" s="6">
        <f>IF(COUNTIF(I61:XFD61,"&gt;"&amp;0)=0,,HLOOKUP(COUNTIF(I61:XFD61,"&gt;"&amp;0)-1,I$1:XFD61,A61+1,FALSE))</f>
        <v>495</v>
      </c>
      <c r="F61" s="7">
        <f>IF(COUNTIF(I61:XFD61,"&gt;"&amp;0)=0,,HLOOKUP(COUNTIF(I61:XFD61,"&gt;"&amp;0)-MIN($F$1+1,COUNTIF(I61:XFD61,"&gt;"&amp;0)),I$1:XFD61,A61+1,FALSE))</f>
        <v>294</v>
      </c>
      <c r="G61" s="8">
        <f>IF(COUNTIF(I61:XFD61,"&gt;"&amp;0)=0,,(E61/F61)^(1/MIN(COUNTIF(I61:XFD61,"&gt;"&amp;0)-1,$F$1)))</f>
        <v>1.1098175129334857</v>
      </c>
      <c r="H61" s="13" t="s">
        <v>65</v>
      </c>
      <c r="I61" s="9">
        <v>109</v>
      </c>
      <c r="J61" s="9">
        <v>110</v>
      </c>
      <c r="K61" s="9">
        <v>150</v>
      </c>
      <c r="L61" s="9">
        <v>196</v>
      </c>
      <c r="M61" s="9">
        <v>196</v>
      </c>
      <c r="N61" s="9">
        <v>256</v>
      </c>
      <c r="O61" s="9">
        <v>285</v>
      </c>
      <c r="P61" s="9">
        <v>294</v>
      </c>
      <c r="Q61" s="9">
        <v>327</v>
      </c>
      <c r="R61" s="9">
        <v>366</v>
      </c>
      <c r="S61" s="9">
        <v>402</v>
      </c>
      <c r="T61" s="9">
        <v>456</v>
      </c>
      <c r="U61" s="9">
        <v>495</v>
      </c>
    </row>
    <row r="62" spans="1:35" x14ac:dyDescent="0.25">
      <c r="A62" s="9">
        <f t="shared" si="5"/>
        <v>61</v>
      </c>
      <c r="B62" s="9">
        <f t="array" ref="B62">IF(C62="",0,IF(OR(C62=Country_Comparison!$S$10:$S$29),1,0))</f>
        <v>0</v>
      </c>
      <c r="C62" s="9" t="str">
        <f>IF(H62="","",H62)</f>
        <v>Croatia</v>
      </c>
      <c r="D62" s="6">
        <f>MAX(I62:KU62)</f>
        <v>495</v>
      </c>
      <c r="E62" s="6">
        <f>IF(COUNTIF(I62:XFD62,"&gt;"&amp;0)=0,,HLOOKUP(COUNTIF(I62:XFD62,"&gt;"&amp;0)-1,I$1:XFD62,A62+1,FALSE))</f>
        <v>495</v>
      </c>
      <c r="F62" s="7">
        <f>IF(COUNTIF(I62:XFD62,"&gt;"&amp;0)=0,,HLOOKUP(COUNTIF(I62:XFD62,"&gt;"&amp;0)-MIN($F$1+1,COUNTIF(I62:XFD62,"&gt;"&amp;0)),I$1:XFD62,A62+1,FALSE))</f>
        <v>206</v>
      </c>
      <c r="G62" s="8">
        <f>IF(COUNTIF(I62:XFD62,"&gt;"&amp;0)=0,,(E62/F62)^(1/MIN(COUNTIF(I62:XFD62,"&gt;"&amp;0)-1,$F$1)))</f>
        <v>1.1916469224364719</v>
      </c>
      <c r="H62" s="13" t="s">
        <v>76</v>
      </c>
      <c r="I62" s="9">
        <v>105</v>
      </c>
      <c r="J62" s="9">
        <v>128</v>
      </c>
      <c r="K62" s="9">
        <v>206</v>
      </c>
      <c r="L62" s="9">
        <v>254</v>
      </c>
      <c r="M62" s="9">
        <v>315</v>
      </c>
      <c r="N62" s="9">
        <v>382</v>
      </c>
      <c r="O62" s="9">
        <v>442</v>
      </c>
      <c r="P62" s="9">
        <v>495</v>
      </c>
    </row>
    <row r="63" spans="1:35" x14ac:dyDescent="0.25">
      <c r="A63" s="9">
        <f t="shared" si="5"/>
        <v>62</v>
      </c>
      <c r="B63" s="9">
        <f t="array" ref="B63">IF(C63="",0,IF(OR(C63=Country_Comparison!$S$10:$S$29),1,0))</f>
        <v>0</v>
      </c>
      <c r="C63" s="9" t="str">
        <f>IF(H63="","",H63)</f>
        <v>Colombia</v>
      </c>
      <c r="D63" s="6">
        <f>MAX(I63:KU63)</f>
        <v>491</v>
      </c>
      <c r="E63" s="6">
        <f>IF(COUNTIF(I63:XFD63,"&gt;"&amp;0)=0,,HLOOKUP(COUNTIF(I63:XFD63,"&gt;"&amp;0)-1,I$1:XFD63,A63+1,FALSE))</f>
        <v>491</v>
      </c>
      <c r="F63" s="7">
        <f>IF(COUNTIF(I63:XFD63,"&gt;"&amp;0)=0,,HLOOKUP(COUNTIF(I63:XFD63,"&gt;"&amp;0)-MIN($F$1+1,COUNTIF(I63:XFD63,"&gt;"&amp;0)),I$1:XFD63,A63+1,FALSE))</f>
        <v>196</v>
      </c>
      <c r="G63" s="8">
        <f>IF(COUNTIF(I63:XFD63,"&gt;"&amp;0)=0,,(E63/F63)^(1/MIN(COUNTIF(I63:XFD63,"&gt;"&amp;0)-1,$F$1)))</f>
        <v>1.2016142891337378</v>
      </c>
      <c r="H63" s="13" t="s">
        <v>158</v>
      </c>
      <c r="I63" s="9">
        <v>102</v>
      </c>
      <c r="J63" s="9">
        <v>128</v>
      </c>
      <c r="K63" s="9">
        <v>196</v>
      </c>
      <c r="L63" s="9">
        <v>231</v>
      </c>
      <c r="M63" s="9">
        <v>277</v>
      </c>
      <c r="N63" s="9">
        <v>378</v>
      </c>
      <c r="O63" s="9">
        <v>470</v>
      </c>
      <c r="P63" s="9">
        <v>491</v>
      </c>
    </row>
    <row r="64" spans="1:35" x14ac:dyDescent="0.25">
      <c r="A64" s="9">
        <f t="shared" si="5"/>
        <v>63</v>
      </c>
      <c r="B64" s="9">
        <f t="array" ref="B64">IF(C64="",0,IF(OR(C64=Country_Comparison!$S$10:$S$29),1,0))</f>
        <v>0</v>
      </c>
      <c r="C64" s="9" t="str">
        <f>IF(H64="","",H64)</f>
        <v>Dominican Republic</v>
      </c>
      <c r="D64" s="6">
        <f>MAX(I64:KU64)</f>
        <v>488</v>
      </c>
      <c r="E64" s="6">
        <f>IF(COUNTIF(I64:XFD64,"&gt;"&amp;0)=0,,HLOOKUP(COUNTIF(I64:XFD64,"&gt;"&amp;0)-1,I$1:XFD64,A64+1,FALSE))</f>
        <v>488</v>
      </c>
      <c r="F64" s="7">
        <f>IF(COUNTIF(I64:XFD64,"&gt;"&amp;0)=0,,HLOOKUP(COUNTIF(I64:XFD64,"&gt;"&amp;0)-MIN($F$1+1,COUNTIF(I64:XFD64,"&gt;"&amp;0)),I$1:XFD64,A64+1,FALSE))</f>
        <v>112</v>
      </c>
      <c r="G64" s="8">
        <f>IF(COUNTIF(I64:XFD64,"&gt;"&amp;0)=0,,(E64/F64)^(1/MIN(COUNTIF(I64:XFD64,"&gt;"&amp;0)-1,$F$1)))</f>
        <v>1.3422714715960977</v>
      </c>
      <c r="H64" s="13" t="s">
        <v>106</v>
      </c>
      <c r="I64" s="9">
        <v>112</v>
      </c>
      <c r="J64" s="9">
        <v>202</v>
      </c>
      <c r="K64" s="9">
        <v>245</v>
      </c>
      <c r="L64" s="9">
        <v>312</v>
      </c>
      <c r="M64" s="9">
        <v>392</v>
      </c>
      <c r="N64" s="9">
        <v>488</v>
      </c>
    </row>
    <row r="65" spans="1:25" x14ac:dyDescent="0.25">
      <c r="A65" s="9">
        <f t="shared" si="5"/>
        <v>64</v>
      </c>
      <c r="B65" s="9">
        <f t="array" ref="B65">IF(C65="",0,IF(OR(C65=Country_Comparison!$S$10:$S$29),1,0))</f>
        <v>0</v>
      </c>
      <c r="C65" s="9" t="str">
        <f>IF(H65="","",H65)</f>
        <v>Mexico</v>
      </c>
      <c r="D65" s="6">
        <f>MAX(I65:KU65)</f>
        <v>475</v>
      </c>
      <c r="E65" s="6">
        <f>IF(COUNTIF(I65:XFD65,"&gt;"&amp;0)=0,,HLOOKUP(COUNTIF(I65:XFD65,"&gt;"&amp;0)-1,I$1:XFD65,A65+1,FALSE))</f>
        <v>475</v>
      </c>
      <c r="F65" s="7">
        <f>IF(COUNTIF(I65:XFD65,"&gt;"&amp;0)=0,,HLOOKUP(COUNTIF(I65:XFD65,"&gt;"&amp;0)-MIN($F$1+1,COUNTIF(I65:XFD65,"&gt;"&amp;0)),I$1:XFD65,A65+1,FALSE))</f>
        <v>203</v>
      </c>
      <c r="G65" s="8">
        <f>IF(COUNTIF(I65:XFD65,"&gt;"&amp;0)=0,,(E65/F65)^(1/MIN(COUNTIF(I65:XFD65,"&gt;"&amp;0)-1,$F$1)))</f>
        <v>1.1853306497595109</v>
      </c>
      <c r="H65" s="13" t="s">
        <v>94</v>
      </c>
      <c r="I65" s="9">
        <v>118</v>
      </c>
      <c r="J65" s="9">
        <v>164</v>
      </c>
      <c r="K65" s="9">
        <v>203</v>
      </c>
      <c r="L65" s="9">
        <v>251</v>
      </c>
      <c r="M65" s="9">
        <v>316</v>
      </c>
      <c r="N65" s="9">
        <v>367</v>
      </c>
      <c r="O65" s="9">
        <v>405</v>
      </c>
      <c r="P65" s="9">
        <v>475</v>
      </c>
    </row>
    <row r="66" spans="1:25" x14ac:dyDescent="0.25">
      <c r="A66" s="9">
        <f t="shared" si="5"/>
        <v>65</v>
      </c>
      <c r="B66" s="9">
        <f t="array" ref="B66">IF(C66="",0,IF(OR(C66=Country_Comparison!$S$10:$S$29),1,0))</f>
        <v>0</v>
      </c>
      <c r="C66" s="9" t="str">
        <f>IF(H66="","",H66)</f>
        <v>Bahrain</v>
      </c>
      <c r="D66" s="6">
        <f>MAX(I66:KU66)</f>
        <v>458</v>
      </c>
      <c r="E66" s="6">
        <f>IF(COUNTIF(I66:XFD66,"&gt;"&amp;0)=0,,HLOOKUP(COUNTIF(I66:XFD66,"&gt;"&amp;0)-1,I$1:XFD66,A66+1,FALSE))</f>
        <v>458</v>
      </c>
      <c r="F66" s="7">
        <f>IF(COUNTIF(I66:XFD66,"&gt;"&amp;0)=0,,HLOOKUP(COUNTIF(I66:XFD66,"&gt;"&amp;0)-MIN($F$1+1,COUNTIF(I66:XFD66,"&gt;"&amp;0)),I$1:XFD66,A66+1,FALSE))</f>
        <v>305</v>
      </c>
      <c r="G66" s="8">
        <f>IF(COUNTIF(I66:XFD66,"&gt;"&amp;0)=0,,(E66/F66)^(1/MIN(COUNTIF(I66:XFD66,"&gt;"&amp;0)-1,$F$1)))</f>
        <v>1.0847087106503359</v>
      </c>
      <c r="H66" s="13" t="s">
        <v>73</v>
      </c>
      <c r="I66" s="9">
        <v>110</v>
      </c>
      <c r="J66" s="9">
        <v>195</v>
      </c>
      <c r="K66" s="9">
        <v>195</v>
      </c>
      <c r="L66" s="9">
        <v>195</v>
      </c>
      <c r="M66" s="9">
        <v>210</v>
      </c>
      <c r="N66" s="9">
        <v>214</v>
      </c>
      <c r="O66" s="9">
        <v>214</v>
      </c>
      <c r="P66" s="9">
        <v>228</v>
      </c>
      <c r="Q66" s="9">
        <v>256</v>
      </c>
      <c r="R66" s="9">
        <v>278</v>
      </c>
      <c r="S66" s="9">
        <v>285</v>
      </c>
      <c r="T66" s="9">
        <v>305</v>
      </c>
      <c r="U66" s="9">
        <v>334</v>
      </c>
      <c r="V66" s="9">
        <v>377</v>
      </c>
      <c r="W66" s="9">
        <v>392</v>
      </c>
      <c r="X66" s="9">
        <v>419</v>
      </c>
      <c r="Y66" s="9">
        <v>458</v>
      </c>
    </row>
    <row r="67" spans="1:25" x14ac:dyDescent="0.25">
      <c r="A67" s="9">
        <f t="shared" si="5"/>
        <v>66</v>
      </c>
      <c r="B67" s="9">
        <f t="array" ref="B67">IF(C67="",0,IF(OR(C67=Country_Comparison!$S$10:$S$29),1,0))</f>
        <v>0</v>
      </c>
      <c r="C67" s="9" t="str">
        <f>IF(H67="","",H67)</f>
        <v>Serbia</v>
      </c>
      <c r="D67" s="6">
        <f>MAX(I67:KU67)</f>
        <v>384</v>
      </c>
      <c r="E67" s="6">
        <f>IF(COUNTIF(I67:XFD67,"&gt;"&amp;0)=0,,HLOOKUP(COUNTIF(I67:XFD67,"&gt;"&amp;0)-1,I$1:XFD67,A67+1,FALSE))</f>
        <v>384</v>
      </c>
      <c r="F67" s="7">
        <f>IF(COUNTIF(I67:XFD67,"&gt;"&amp;0)=0,,HLOOKUP(COUNTIF(I67:XFD67,"&gt;"&amp;0)-MIN($F$1+1,COUNTIF(I67:XFD67,"&gt;"&amp;0)),I$1:XFD67,A67+1,FALSE))</f>
        <v>171</v>
      </c>
      <c r="G67" s="8">
        <f>IF(COUNTIF(I67:XFD67,"&gt;"&amp;0)=0,,(E67/F67)^(1/MIN(COUNTIF(I67:XFD67,"&gt;"&amp;0)-1,$F$1)))</f>
        <v>1.175620154252857</v>
      </c>
      <c r="H67" s="13" t="s">
        <v>161</v>
      </c>
      <c r="I67" s="9">
        <v>103</v>
      </c>
      <c r="J67" s="9">
        <v>135</v>
      </c>
      <c r="K67" s="9">
        <v>171</v>
      </c>
      <c r="L67" s="9">
        <v>222</v>
      </c>
      <c r="M67" s="9">
        <v>249</v>
      </c>
      <c r="N67" s="9">
        <v>303</v>
      </c>
      <c r="O67" s="9">
        <v>384</v>
      </c>
      <c r="P67" s="9">
        <v>384</v>
      </c>
    </row>
    <row r="68" spans="1:25" x14ac:dyDescent="0.25">
      <c r="A68" s="9">
        <f t="shared" si="5"/>
        <v>67</v>
      </c>
      <c r="B68" s="9">
        <f t="array" ref="B68">IF(C68="",0,IF(OR(C68=Country_Comparison!$S$10:$S$29),1,0))</f>
        <v>0</v>
      </c>
      <c r="C68" s="9" t="str">
        <f>IF(H68="","",H68)</f>
        <v>Iraq</v>
      </c>
      <c r="D68" s="6">
        <f>MAX(I68:KU68)</f>
        <v>382</v>
      </c>
      <c r="E68" s="6">
        <f>IF(COUNTIF(I68:XFD68,"&gt;"&amp;0)=0,,HLOOKUP(COUNTIF(I68:XFD68,"&gt;"&amp;0)-1,I$1:XFD68,A68+1,FALSE))</f>
        <v>382</v>
      </c>
      <c r="F68" s="7">
        <f>IF(COUNTIF(I68:XFD68,"&gt;"&amp;0)=0,,HLOOKUP(COUNTIF(I68:XFD68,"&gt;"&amp;0)-MIN($F$1+1,COUNTIF(I68:XFD68,"&gt;"&amp;0)),I$1:XFD68,A68+1,FALSE))</f>
        <v>214</v>
      </c>
      <c r="G68" s="8">
        <f>IF(COUNTIF(I68:XFD68,"&gt;"&amp;0)=0,,(E68/F68)^(1/MIN(COUNTIF(I68:XFD68,"&gt;"&amp;0)-1,$F$1)))</f>
        <v>1.1228711352390077</v>
      </c>
      <c r="H68" s="13" t="s">
        <v>70</v>
      </c>
      <c r="I68" s="9">
        <v>101</v>
      </c>
      <c r="J68" s="9">
        <v>110</v>
      </c>
      <c r="K68" s="9">
        <v>116</v>
      </c>
      <c r="L68" s="9">
        <v>124</v>
      </c>
      <c r="M68" s="9">
        <v>154</v>
      </c>
      <c r="N68" s="9">
        <v>164</v>
      </c>
      <c r="O68" s="9">
        <v>192</v>
      </c>
      <c r="P68" s="9">
        <v>208</v>
      </c>
      <c r="Q68" s="9">
        <v>214</v>
      </c>
      <c r="R68" s="9">
        <v>233</v>
      </c>
      <c r="S68" s="9">
        <v>266</v>
      </c>
      <c r="T68" s="9">
        <v>316</v>
      </c>
      <c r="U68" s="9">
        <v>346</v>
      </c>
      <c r="V68" s="9">
        <v>382</v>
      </c>
    </row>
    <row r="69" spans="1:25" x14ac:dyDescent="0.25">
      <c r="A69" s="9">
        <f t="shared" si="5"/>
        <v>68</v>
      </c>
      <c r="B69" s="9">
        <f t="array" ref="B69">IF(C69="",0,IF(OR(C69=Country_Comparison!$S$10:$S$29),1,0))</f>
        <v>0</v>
      </c>
      <c r="C69" s="9" t="str">
        <f>IF(H69="","",H69)</f>
        <v>Lebanon</v>
      </c>
      <c r="D69" s="6">
        <f>MAX(I69:KU69)</f>
        <v>368</v>
      </c>
      <c r="E69" s="6">
        <f>IF(COUNTIF(I69:XFD69,"&gt;"&amp;0)=0,,HLOOKUP(COUNTIF(I69:XFD69,"&gt;"&amp;0)-1,I$1:XFD69,A69+1,FALSE))</f>
        <v>368</v>
      </c>
      <c r="F69" s="7">
        <f>IF(COUNTIF(I69:XFD69,"&gt;"&amp;0)=0,,HLOOKUP(COUNTIF(I69:XFD69,"&gt;"&amp;0)-MIN($F$1+1,COUNTIF(I69:XFD69,"&gt;"&amp;0)),I$1:XFD69,A69+1,FALSE))</f>
        <v>187</v>
      </c>
      <c r="G69" s="8">
        <f>IF(COUNTIF(I69:XFD69,"&gt;"&amp;0)=0,,(E69/F69)^(1/MIN(COUNTIF(I69:XFD69,"&gt;"&amp;0)-1,$F$1)))</f>
        <v>1.1449888102635597</v>
      </c>
      <c r="H69" s="13" t="s">
        <v>67</v>
      </c>
      <c r="I69" s="9">
        <v>110</v>
      </c>
      <c r="J69" s="9">
        <v>110</v>
      </c>
      <c r="K69" s="9">
        <v>120</v>
      </c>
      <c r="L69" s="9">
        <v>133</v>
      </c>
      <c r="M69" s="9">
        <v>157</v>
      </c>
      <c r="N69" s="9">
        <v>163</v>
      </c>
      <c r="O69" s="9">
        <v>187</v>
      </c>
      <c r="P69" s="9">
        <v>248</v>
      </c>
      <c r="Q69" s="9">
        <v>267</v>
      </c>
      <c r="R69" s="9">
        <v>318</v>
      </c>
      <c r="S69" s="9">
        <v>333</v>
      </c>
      <c r="T69" s="9">
        <v>368</v>
      </c>
    </row>
    <row r="70" spans="1:25" x14ac:dyDescent="0.25">
      <c r="A70" s="9">
        <f t="shared" si="5"/>
        <v>69</v>
      </c>
      <c r="B70" s="9">
        <f t="array" ref="B70">IF(C70="",0,IF(OR(C70=Country_Comparison!$S$10:$S$29),1,0))</f>
        <v>0</v>
      </c>
      <c r="C70" s="9" t="str">
        <f>IF(H70="","",H70)</f>
        <v>Algeria</v>
      </c>
      <c r="D70" s="6">
        <f>MAX(I70:KU70)</f>
        <v>367</v>
      </c>
      <c r="E70" s="6">
        <f>IF(COUNTIF(I70:XFD70,"&gt;"&amp;0)=0,,HLOOKUP(COUNTIF(I70:XFD70,"&gt;"&amp;0)-1,I$1:XFD70,A70+1,FALSE))</f>
        <v>367</v>
      </c>
      <c r="F70" s="7">
        <f>IF(COUNTIF(I70:XFD70,"&gt;"&amp;0)=0,,HLOOKUP(COUNTIF(I70:XFD70,"&gt;"&amp;0)-MIN($F$1+1,COUNTIF(I70:XFD70,"&gt;"&amp;0)),I$1:XFD70,A70+1,FALSE))</f>
        <v>139</v>
      </c>
      <c r="G70" s="8">
        <f>IF(COUNTIF(I70:XFD70,"&gt;"&amp;0)=0,,(E70/F70)^(1/MIN(COUNTIF(I70:XFD70,"&gt;"&amp;0)-1,$F$1)))</f>
        <v>1.2143119049427968</v>
      </c>
      <c r="H70" s="13" t="s">
        <v>75</v>
      </c>
      <c r="I70" s="9">
        <v>139</v>
      </c>
      <c r="J70" s="9">
        <v>201</v>
      </c>
      <c r="K70" s="9">
        <v>230</v>
      </c>
      <c r="L70" s="9">
        <v>264</v>
      </c>
      <c r="M70" s="9">
        <v>302</v>
      </c>
      <c r="N70" s="9">
        <v>367</v>
      </c>
    </row>
    <row r="71" spans="1:25" x14ac:dyDescent="0.25">
      <c r="A71" s="9">
        <f t="shared" si="5"/>
        <v>70</v>
      </c>
      <c r="B71" s="9">
        <f t="array" ref="B71">IF(C71="",0,IF(OR(C71=Country_Comparison!$S$10:$S$29),1,0))</f>
        <v>0</v>
      </c>
      <c r="C71" s="9" t="str">
        <f>IF(H71="","",H71)</f>
        <v>United Arab Emirates</v>
      </c>
      <c r="D71" s="6">
        <f>MAX(I71:KU71)</f>
        <v>333</v>
      </c>
      <c r="E71" s="6">
        <f>IF(COUNTIF(I71:XFD71,"&gt;"&amp;0)=0,,HLOOKUP(COUNTIF(I71:XFD71,"&gt;"&amp;0)-1,I$1:XFD71,A71+1,FALSE))</f>
        <v>333</v>
      </c>
      <c r="F71" s="7">
        <f>IF(COUNTIF(I71:XFD71,"&gt;"&amp;0)=0,,HLOOKUP(COUNTIF(I71:XFD71,"&gt;"&amp;0)-MIN($F$1+1,COUNTIF(I71:XFD71,"&gt;"&amp;0)),I$1:XFD71,A71+1,FALSE))</f>
        <v>153</v>
      </c>
      <c r="G71" s="8">
        <f>IF(COUNTIF(I71:XFD71,"&gt;"&amp;0)=0,,(E71/F71)^(1/MIN(COUNTIF(I71:XFD71,"&gt;"&amp;0)-1,$F$1)))</f>
        <v>1.168289734165707</v>
      </c>
      <c r="H71" s="13" t="s">
        <v>55</v>
      </c>
      <c r="I71" s="9">
        <v>113</v>
      </c>
      <c r="J71" s="9">
        <v>140</v>
      </c>
      <c r="K71" s="9">
        <v>140</v>
      </c>
      <c r="L71" s="9">
        <v>153</v>
      </c>
      <c r="M71" s="9">
        <v>153</v>
      </c>
      <c r="N71" s="9">
        <v>198</v>
      </c>
      <c r="O71" s="9">
        <v>248</v>
      </c>
      <c r="P71" s="9">
        <v>333</v>
      </c>
      <c r="Q71" s="9">
        <v>333</v>
      </c>
    </row>
    <row r="72" spans="1:25" x14ac:dyDescent="0.25">
      <c r="A72" s="9">
        <f t="shared" si="5"/>
        <v>71</v>
      </c>
      <c r="B72" s="9">
        <f t="array" ref="B72">IF(C72="",0,IF(OR(C72=Country_Comparison!$S$10:$S$29),1,0))</f>
        <v>0</v>
      </c>
      <c r="C72" s="9" t="str">
        <f>IF(H72="","",H72)</f>
        <v>Lithuania</v>
      </c>
      <c r="D72" s="6">
        <f>MAX(I72:KU72)</f>
        <v>299</v>
      </c>
      <c r="E72" s="6">
        <f>IF(COUNTIF(I72:XFD72,"&gt;"&amp;0)=0,,HLOOKUP(COUNTIF(I72:XFD72,"&gt;"&amp;0)-1,I$1:XFD72,A72+1,FALSE))</f>
        <v>299</v>
      </c>
      <c r="F72" s="7">
        <f>IF(COUNTIF(I72:XFD72,"&gt;"&amp;0)=0,,HLOOKUP(COUNTIF(I72:XFD72,"&gt;"&amp;0)-MIN($F$1+1,COUNTIF(I72:XFD72,"&gt;"&amp;0)),I$1:XFD72,A72+1,FALSE))</f>
        <v>143</v>
      </c>
      <c r="G72" s="8">
        <f>IF(COUNTIF(I72:XFD72,"&gt;"&amp;0)=0,,(E72/F72)^(1/MIN(COUNTIF(I72:XFD72,"&gt;"&amp;0)-1,$F$1)))</f>
        <v>1.2024964078792262</v>
      </c>
      <c r="H72" s="13" t="s">
        <v>93</v>
      </c>
      <c r="I72" s="9">
        <v>143</v>
      </c>
      <c r="J72" s="9">
        <v>179</v>
      </c>
      <c r="K72" s="9">
        <v>209</v>
      </c>
      <c r="L72" s="9">
        <v>274</v>
      </c>
      <c r="M72" s="9">
        <v>299</v>
      </c>
    </row>
    <row r="73" spans="1:25" x14ac:dyDescent="0.25">
      <c r="A73" s="9">
        <f t="shared" si="5"/>
        <v>72</v>
      </c>
      <c r="B73" s="9">
        <f t="array" ref="B73">IF(C73="",0,IF(OR(C73=Country_Comparison!$S$10:$S$29),1,0))</f>
        <v>0</v>
      </c>
      <c r="C73" s="9" t="str">
        <f>IF(H73="","",H73)</f>
        <v>Armenia</v>
      </c>
      <c r="D73" s="6">
        <f>MAX(I73:KU73)</f>
        <v>290</v>
      </c>
      <c r="E73" s="6">
        <f>IF(COUNTIF(I73:XFD73,"&gt;"&amp;0)=0,,HLOOKUP(COUNTIF(I73:XFD73,"&gt;"&amp;0)-1,I$1:XFD73,A73+1,FALSE))</f>
        <v>290</v>
      </c>
      <c r="F73" s="7">
        <f>IF(COUNTIF(I73:XFD73,"&gt;"&amp;0)=0,,HLOOKUP(COUNTIF(I73:XFD73,"&gt;"&amp;0)-MIN($F$1+1,COUNTIF(I73:XFD73,"&gt;"&amp;0)),I$1:XFD73,A73+1,FALSE))</f>
        <v>160</v>
      </c>
      <c r="G73" s="8">
        <f>IF(COUNTIF(I73:XFD73,"&gt;"&amp;0)=0,,(E73/F73)^(1/MIN(COUNTIF(I73:XFD73,"&gt;"&amp;0)-1,$F$1)))</f>
        <v>1.1263039392161627</v>
      </c>
      <c r="H73" s="13" t="s">
        <v>105</v>
      </c>
      <c r="I73" s="9">
        <v>115</v>
      </c>
      <c r="J73" s="9">
        <v>136</v>
      </c>
      <c r="K73" s="9">
        <v>160</v>
      </c>
      <c r="L73" s="9">
        <v>194</v>
      </c>
      <c r="M73" s="9">
        <v>235</v>
      </c>
      <c r="N73" s="9">
        <v>249</v>
      </c>
      <c r="O73" s="9">
        <v>265</v>
      </c>
      <c r="P73" s="9">
        <v>290</v>
      </c>
    </row>
    <row r="74" spans="1:25" x14ac:dyDescent="0.25">
      <c r="A74" s="9">
        <f t="shared" si="5"/>
        <v>73</v>
      </c>
      <c r="B74" s="9">
        <f t="array" ref="B74">IF(C74="",0,IF(OR(C74=Country_Comparison!$S$10:$S$29),1,0))</f>
        <v>0</v>
      </c>
      <c r="C74" s="9" t="str">
        <f>IF(H74="","",H74)</f>
        <v>New Zealand</v>
      </c>
      <c r="D74" s="6">
        <f>MAX(I74:KU74)</f>
        <v>283</v>
      </c>
      <c r="E74" s="6">
        <f>IF(COUNTIF(I74:XFD74,"&gt;"&amp;0)=0,,HLOOKUP(COUNTIF(I74:XFD74,"&gt;"&amp;0)-1,I$1:XFD74,A74+1,FALSE))</f>
        <v>283</v>
      </c>
      <c r="F74" s="7">
        <f>IF(COUNTIF(I74:XFD74,"&gt;"&amp;0)=0,,HLOOKUP(COUNTIF(I74:XFD74,"&gt;"&amp;0)-MIN($F$1+1,COUNTIF(I74:XFD74,"&gt;"&amp;0)),I$1:XFD74,A74+1,FALSE))</f>
        <v>102</v>
      </c>
      <c r="G74" s="8">
        <f>IF(COUNTIF(I74:XFD74,"&gt;"&amp;0)=0,,(E74/F74)^(1/MIN(COUNTIF(I74:XFD74,"&gt;"&amp;0)-1,$F$1)))</f>
        <v>1.2906145768545414</v>
      </c>
      <c r="H74" s="13" t="s">
        <v>95</v>
      </c>
      <c r="I74" s="9">
        <v>102</v>
      </c>
      <c r="J74" s="9">
        <v>102</v>
      </c>
      <c r="K74" s="9">
        <v>155</v>
      </c>
      <c r="L74" s="9">
        <v>205</v>
      </c>
      <c r="M74" s="9">
        <v>283</v>
      </c>
    </row>
    <row r="75" spans="1:25" x14ac:dyDescent="0.25">
      <c r="A75" s="9">
        <f t="shared" si="5"/>
        <v>74</v>
      </c>
      <c r="B75" s="9">
        <f t="array" ref="B75">IF(C75="",0,IF(OR(C75=Country_Comparison!$S$10:$S$29),1,0))</f>
        <v>0</v>
      </c>
      <c r="C75" s="9" t="str">
        <f>IF(H75="","",H75)</f>
        <v>Morocco</v>
      </c>
      <c r="D75" s="6">
        <f>MAX(I75:KU75)</f>
        <v>275</v>
      </c>
      <c r="E75" s="6">
        <f>IF(COUNTIF(I75:XFD75,"&gt;"&amp;0)=0,,HLOOKUP(COUNTIF(I75:XFD75,"&gt;"&amp;0)-1,I$1:XFD75,A75+1,FALSE))</f>
        <v>275</v>
      </c>
      <c r="F75" s="7">
        <f>IF(COUNTIF(I75:XFD75,"&gt;"&amp;0)=0,,HLOOKUP(COUNTIF(I75:XFD75,"&gt;"&amp;0)-MIN($F$1+1,COUNTIF(I75:XFD75,"&gt;"&amp;0)),I$1:XFD75,A75+1,FALSE))</f>
        <v>115</v>
      </c>
      <c r="G75" s="8">
        <f>IF(COUNTIF(I75:XFD75,"&gt;"&amp;0)=0,,(E75/F75)^(1/MIN(COUNTIF(I75:XFD75,"&gt;"&amp;0)-1,$F$1)))</f>
        <v>1.2435370047038072</v>
      </c>
      <c r="H75" s="13" t="s">
        <v>112</v>
      </c>
      <c r="I75" s="9">
        <v>115</v>
      </c>
      <c r="J75" s="9">
        <v>143</v>
      </c>
      <c r="K75" s="9">
        <v>170</v>
      </c>
      <c r="L75" s="9">
        <v>225</v>
      </c>
      <c r="M75" s="9">
        <v>275</v>
      </c>
    </row>
    <row r="76" spans="1:25" x14ac:dyDescent="0.25">
      <c r="A76" s="9">
        <f t="shared" si="5"/>
        <v>75</v>
      </c>
      <c r="B76" s="9">
        <f t="array" ref="B76">IF(C76="",0,IF(OR(C76=Country_Comparison!$S$10:$S$29),1,0))</f>
        <v>0</v>
      </c>
      <c r="C76" s="9" t="str">
        <f>IF(H76="","",H76)</f>
        <v>Bulgaria</v>
      </c>
      <c r="D76" s="6">
        <f>MAX(I76:KU76)</f>
        <v>264</v>
      </c>
      <c r="E76" s="6">
        <f>IF(COUNTIF(I76:XFD76,"&gt;"&amp;0)=0,,HLOOKUP(COUNTIF(I76:XFD76,"&gt;"&amp;0)-1,I$1:XFD76,A76+1,FALSE))</f>
        <v>264</v>
      </c>
      <c r="F76" s="7">
        <f>IF(COUNTIF(I76:XFD76,"&gt;"&amp;0)=0,,HLOOKUP(COUNTIF(I76:XFD76,"&gt;"&amp;0)-MIN($F$1+1,COUNTIF(I76:XFD76,"&gt;"&amp;0)),I$1:XFD76,A76+1,FALSE))</f>
        <v>163</v>
      </c>
      <c r="G76" s="8">
        <f>IF(COUNTIF(I76:XFD76,"&gt;"&amp;0)=0,,(E76/F76)^(1/MIN(COUNTIF(I76:XFD76,"&gt;"&amp;0)-1,$F$1)))</f>
        <v>1.1012432627929825</v>
      </c>
      <c r="H76" s="13" t="s">
        <v>199</v>
      </c>
      <c r="I76" s="9">
        <v>127</v>
      </c>
      <c r="J76" s="9">
        <v>163</v>
      </c>
      <c r="K76" s="9">
        <v>187</v>
      </c>
      <c r="L76" s="9">
        <v>201</v>
      </c>
      <c r="M76" s="9">
        <v>218</v>
      </c>
      <c r="N76" s="9">
        <v>242</v>
      </c>
      <c r="O76" s="9">
        <v>264</v>
      </c>
    </row>
    <row r="77" spans="1:25" x14ac:dyDescent="0.25">
      <c r="A77" s="9">
        <f t="shared" si="5"/>
        <v>76</v>
      </c>
      <c r="B77" s="9">
        <f t="array" ref="B77">IF(C77="",0,IF(OR(C77=Country_Comparison!$S$10:$S$29),1,0))</f>
        <v>0</v>
      </c>
      <c r="C77" s="9" t="str">
        <f>IF(H77="","",H77)</f>
        <v>Hungary</v>
      </c>
      <c r="D77" s="6">
        <f>MAX(I77:KU77)</f>
        <v>261</v>
      </c>
      <c r="E77" s="6">
        <f>IF(COUNTIF(I77:XFD77,"&gt;"&amp;0)=0,,HLOOKUP(COUNTIF(I77:XFD77,"&gt;"&amp;0)-1,I$1:XFD77,A77+1,FALSE))</f>
        <v>261</v>
      </c>
      <c r="F77" s="7">
        <f>IF(COUNTIF(I77:XFD77,"&gt;"&amp;0)=0,,HLOOKUP(COUNTIF(I77:XFD77,"&gt;"&amp;0)-MIN($F$1+1,COUNTIF(I77:XFD77,"&gt;"&amp;0)),I$1:XFD77,A77+1,FALSE))</f>
        <v>103</v>
      </c>
      <c r="G77" s="8">
        <f>IF(COUNTIF(I77:XFD77,"&gt;"&amp;0)=0,,(E77/F77)^(1/MIN(COUNTIF(I77:XFD77,"&gt;"&amp;0)-1,$F$1)))</f>
        <v>1.2043720175281247</v>
      </c>
      <c r="H77" s="13" t="s">
        <v>132</v>
      </c>
      <c r="I77" s="9">
        <v>103</v>
      </c>
      <c r="J77" s="9">
        <v>131</v>
      </c>
      <c r="K77" s="9">
        <v>167</v>
      </c>
      <c r="L77" s="9">
        <v>187</v>
      </c>
      <c r="M77" s="9">
        <v>226</v>
      </c>
      <c r="N77" s="9">
        <v>261</v>
      </c>
    </row>
    <row r="78" spans="1:25" x14ac:dyDescent="0.25">
      <c r="A78" s="9">
        <f t="shared" si="5"/>
        <v>77</v>
      </c>
      <c r="B78" s="9">
        <f t="array" ref="B78">IF(C78="",0,IF(OR(C78=Country_Comparison!$S$10:$S$29),1,0))</f>
        <v>0</v>
      </c>
      <c r="C78" s="9" t="str">
        <f>IF(H78="","",H78)</f>
        <v>Taiwan*</v>
      </c>
      <c r="D78" s="6">
        <f>MAX(I78:KU78)</f>
        <v>252</v>
      </c>
      <c r="E78" s="6">
        <f>IF(COUNTIF(I78:XFD78,"&gt;"&amp;0)=0,,HLOOKUP(COUNTIF(I78:XFD78,"&gt;"&amp;0)-1,I$1:XFD78,A78+1,FALSE))</f>
        <v>252</v>
      </c>
      <c r="F78" s="7">
        <f>IF(COUNTIF(I78:XFD78,"&gt;"&amp;0)=0,,HLOOKUP(COUNTIF(I78:XFD78,"&gt;"&amp;0)-MIN($F$1+1,COUNTIF(I78:XFD78,"&gt;"&amp;0)),I$1:XFD78,A78+1,FALSE))</f>
        <v>153</v>
      </c>
      <c r="G78" s="8">
        <f>IF(COUNTIF(I78:XFD78,"&gt;"&amp;0)=0,,(E78/F78)^(1/MIN(COUNTIF(I78:XFD78,"&gt;"&amp;0)-1,$F$1)))</f>
        <v>1.104947953796503</v>
      </c>
      <c r="H78" s="13" t="s">
        <v>342</v>
      </c>
      <c r="I78" s="9">
        <v>100</v>
      </c>
      <c r="J78" s="9">
        <v>108</v>
      </c>
      <c r="K78" s="9">
        <v>135</v>
      </c>
      <c r="L78" s="9">
        <v>153</v>
      </c>
      <c r="M78" s="9">
        <v>169</v>
      </c>
      <c r="N78" s="9">
        <v>195</v>
      </c>
      <c r="O78" s="9">
        <v>215</v>
      </c>
      <c r="P78" s="9">
        <v>235</v>
      </c>
      <c r="Q78" s="9">
        <v>252</v>
      </c>
    </row>
    <row r="79" spans="1:25" x14ac:dyDescent="0.25">
      <c r="A79" s="9">
        <f t="shared" si="5"/>
        <v>78</v>
      </c>
      <c r="B79" s="9">
        <f t="array" ref="B79">IF(C79="",0,IF(OR(C79=Country_Comparison!$S$10:$S$29),1,0))</f>
        <v>0</v>
      </c>
      <c r="C79" s="9" t="str">
        <f>IF(H79="","",H79)</f>
        <v>Latvia</v>
      </c>
      <c r="D79" s="6">
        <f>MAX(I79:KU79)</f>
        <v>244</v>
      </c>
      <c r="E79" s="6">
        <f>IF(COUNTIF(I79:XFD79,"&gt;"&amp;0)=0,,HLOOKUP(COUNTIF(I79:XFD79,"&gt;"&amp;0)-1,I$1:XFD79,A79+1,FALSE))</f>
        <v>244</v>
      </c>
      <c r="F79" s="7">
        <f>IF(COUNTIF(I79:XFD79,"&gt;"&amp;0)=0,,HLOOKUP(COUNTIF(I79:XFD79,"&gt;"&amp;0)-MIN($F$1+1,COUNTIF(I79:XFD79,"&gt;"&amp;0)),I$1:XFD79,A79+1,FALSE))</f>
        <v>124</v>
      </c>
      <c r="G79" s="8">
        <f>IF(COUNTIF(I79:XFD79,"&gt;"&amp;0)=0,,(E79/F79)^(1/MIN(COUNTIF(I79:XFD79,"&gt;"&amp;0)-1,$F$1)))</f>
        <v>1.1449687361233205</v>
      </c>
      <c r="H79" s="13" t="s">
        <v>111</v>
      </c>
      <c r="I79" s="9">
        <v>111</v>
      </c>
      <c r="J79" s="9">
        <v>124</v>
      </c>
      <c r="K79" s="9">
        <v>139</v>
      </c>
      <c r="L79" s="9">
        <v>180</v>
      </c>
      <c r="M79" s="9">
        <v>197</v>
      </c>
      <c r="N79" s="9">
        <v>221</v>
      </c>
      <c r="O79" s="9">
        <v>244</v>
      </c>
    </row>
    <row r="80" spans="1:25" x14ac:dyDescent="0.25">
      <c r="A80" s="9">
        <f t="shared" si="5"/>
        <v>79</v>
      </c>
      <c r="B80" s="9">
        <f t="array" ref="B80">IF(C80="",0,IF(OR(C80=Country_Comparison!$S$10:$S$29),1,0))</f>
        <v>0</v>
      </c>
      <c r="C80" s="9" t="str">
        <f>IF(H80="","",H80)</f>
        <v>Costa Rica</v>
      </c>
      <c r="D80" s="6">
        <f>MAX(I80:KU80)</f>
        <v>231</v>
      </c>
      <c r="E80" s="6">
        <f>IF(COUNTIF(I80:XFD80,"&gt;"&amp;0)=0,,HLOOKUP(COUNTIF(I80:XFD80,"&gt;"&amp;0)-1,I$1:XFD80,A80+1,FALSE))</f>
        <v>231</v>
      </c>
      <c r="F80" s="7">
        <f>IF(COUNTIF(I80:XFD80,"&gt;"&amp;0)=0,,HLOOKUP(COUNTIF(I80:XFD80,"&gt;"&amp;0)-MIN($F$1+1,COUNTIF(I80:XFD80,"&gt;"&amp;0)),I$1:XFD80,A80+1,FALSE))</f>
        <v>117</v>
      </c>
      <c r="G80" s="8">
        <f>IF(COUNTIF(I80:XFD80,"&gt;"&amp;0)=0,,(E80/F80)^(1/MIN(COUNTIF(I80:XFD80,"&gt;"&amp;0)-1,$F$1)))</f>
        <v>1.1457377528431891</v>
      </c>
      <c r="H80" s="13" t="s">
        <v>159</v>
      </c>
      <c r="I80" s="9">
        <v>117</v>
      </c>
      <c r="J80" s="9">
        <v>134</v>
      </c>
      <c r="K80" s="9">
        <v>158</v>
      </c>
      <c r="L80" s="9">
        <v>177</v>
      </c>
      <c r="M80" s="9">
        <v>201</v>
      </c>
      <c r="N80" s="9">
        <v>231</v>
      </c>
    </row>
    <row r="81" spans="1:21" x14ac:dyDescent="0.25">
      <c r="A81" s="9">
        <f t="shared" si="5"/>
        <v>80</v>
      </c>
      <c r="B81" s="9">
        <f t="array" ref="B81">IF(C81="",0,IF(OR(C81=Country_Comparison!$S$10:$S$29),1,0))</f>
        <v>0</v>
      </c>
      <c r="C81" s="9" t="str">
        <f>IF(H81="","",H81)</f>
        <v>Slovakia</v>
      </c>
      <c r="D81" s="6">
        <f>MAX(I81:KU81)</f>
        <v>226</v>
      </c>
      <c r="E81" s="6">
        <f>IF(COUNTIF(I81:XFD81,"&gt;"&amp;0)=0,,HLOOKUP(COUNTIF(I81:XFD81,"&gt;"&amp;0)-1,I$1:XFD81,A81+1,FALSE))</f>
        <v>226</v>
      </c>
      <c r="F81" s="7">
        <f>IF(COUNTIF(I81:XFD81,"&gt;"&amp;0)=0,,HLOOKUP(COUNTIF(I81:XFD81,"&gt;"&amp;0)-MIN($F$1+1,COUNTIF(I81:XFD81,"&gt;"&amp;0)),I$1:XFD81,A81+1,FALSE))</f>
        <v>178</v>
      </c>
      <c r="G81" s="8">
        <f>IF(COUNTIF(I81:XFD81,"&gt;"&amp;0)=0,,(E81/F81)^(1/MIN(COUNTIF(I81:XFD81,"&gt;"&amp;0)-1,$F$1)))</f>
        <v>1.0489086994140338</v>
      </c>
      <c r="H81" s="13" t="s">
        <v>162</v>
      </c>
      <c r="I81" s="9">
        <v>105</v>
      </c>
      <c r="J81" s="9">
        <v>123</v>
      </c>
      <c r="K81" s="9">
        <v>137</v>
      </c>
      <c r="L81" s="9">
        <v>178</v>
      </c>
      <c r="M81" s="9">
        <v>185</v>
      </c>
      <c r="N81" s="9">
        <v>186</v>
      </c>
      <c r="O81" s="9">
        <v>204</v>
      </c>
      <c r="P81" s="9">
        <v>216</v>
      </c>
      <c r="Q81" s="9">
        <v>226</v>
      </c>
    </row>
    <row r="82" spans="1:21" x14ac:dyDescent="0.25">
      <c r="A82" s="9">
        <f t="shared" si="5"/>
        <v>81</v>
      </c>
      <c r="B82" s="9">
        <f t="array" ref="B82">IF(C82="",0,IF(OR(C82=Country_Comparison!$S$10:$S$29),1,0))</f>
        <v>0</v>
      </c>
      <c r="C82" s="9" t="str">
        <f>IF(H82="","",H82)</f>
        <v>Andorra</v>
      </c>
      <c r="D82" s="6">
        <f>MAX(I82:KU82)</f>
        <v>224</v>
      </c>
      <c r="E82" s="6">
        <f>IF(COUNTIF(I82:XFD82,"&gt;"&amp;0)=0,,HLOOKUP(COUNTIF(I82:XFD82,"&gt;"&amp;0)-1,I$1:XFD82,A82+1,FALSE))</f>
        <v>224</v>
      </c>
      <c r="F82" s="7">
        <f>IF(COUNTIF(I82:XFD82,"&gt;"&amp;0)=0,,HLOOKUP(COUNTIF(I82:XFD82,"&gt;"&amp;0)-MIN($F$1+1,COUNTIF(I82:XFD82,"&gt;"&amp;0)),I$1:XFD82,A82+1,FALSE))</f>
        <v>113</v>
      </c>
      <c r="G82" s="8">
        <f>IF(COUNTIF(I82:XFD82,"&gt;"&amp;0)=0,,(E82/F82)^(1/MIN(COUNTIF(I82:XFD82,"&gt;"&amp;0)-1,$F$1)))</f>
        <v>1.1865673493030024</v>
      </c>
      <c r="H82" s="13" t="s">
        <v>109</v>
      </c>
      <c r="I82" s="9">
        <v>113</v>
      </c>
      <c r="J82" s="9">
        <v>133</v>
      </c>
      <c r="K82" s="9">
        <v>164</v>
      </c>
      <c r="L82" s="9">
        <v>188</v>
      </c>
      <c r="M82" s="9">
        <v>224</v>
      </c>
    </row>
    <row r="83" spans="1:21" x14ac:dyDescent="0.25">
      <c r="A83" s="9">
        <f t="shared" si="5"/>
        <v>82</v>
      </c>
      <c r="B83" s="9">
        <f t="array" ref="B83">IF(C83="",0,IF(OR(C83=Country_Comparison!$S$10:$S$29),1,0))</f>
        <v>0</v>
      </c>
      <c r="C83" s="9" t="str">
        <f>IF(H83="","",H83)</f>
        <v>Jordan</v>
      </c>
      <c r="D83" s="6">
        <f>MAX(I83:KU83)</f>
        <v>212</v>
      </c>
      <c r="E83" s="6">
        <f>IF(COUNTIF(I83:XFD83,"&gt;"&amp;0)=0,,HLOOKUP(COUNTIF(I83:XFD83,"&gt;"&amp;0)-1,I$1:XFD83,A83+1,FALSE))</f>
        <v>212</v>
      </c>
      <c r="F83" s="7">
        <f>IF(COUNTIF(I83:XFD83,"&gt;"&amp;0)=0,,HLOOKUP(COUNTIF(I83:XFD83,"&gt;"&amp;0)-MIN($F$1+1,COUNTIF(I83:XFD83,"&gt;"&amp;0)),I$1:XFD83,A83+1,FALSE))</f>
        <v>112</v>
      </c>
      <c r="G83" s="8">
        <f>IF(COUNTIF(I83:XFD83,"&gt;"&amp;0)=0,,(E83/F83)^(1/MIN(COUNTIF(I83:XFD83,"&gt;"&amp;0)-1,$F$1)))</f>
        <v>1.1729498918860888</v>
      </c>
      <c r="H83" s="13" t="s">
        <v>125</v>
      </c>
      <c r="I83" s="9">
        <v>112</v>
      </c>
      <c r="J83" s="9">
        <v>127</v>
      </c>
      <c r="K83" s="9">
        <v>154</v>
      </c>
      <c r="L83" s="9">
        <v>172</v>
      </c>
      <c r="M83" s="9">
        <v>212</v>
      </c>
    </row>
    <row r="84" spans="1:21" x14ac:dyDescent="0.25">
      <c r="A84" s="9">
        <f t="shared" si="5"/>
        <v>83</v>
      </c>
      <c r="B84" s="9">
        <f t="array" ref="B84">IF(C84="",0,IF(OR(C84=Country_Comparison!$S$10:$S$29),1,0))</f>
        <v>0</v>
      </c>
      <c r="C84" s="9" t="str">
        <f>IF(H84="","",H84)</f>
        <v>Kuwait</v>
      </c>
      <c r="D84" s="6">
        <f>MAX(I84:KU84)</f>
        <v>208</v>
      </c>
      <c r="E84" s="6">
        <f>IF(COUNTIF(I84:XFD84,"&gt;"&amp;0)=0,,HLOOKUP(COUNTIF(I84:XFD84,"&gt;"&amp;0)-1,I$1:XFD84,A84+1,FALSE))</f>
        <v>208</v>
      </c>
      <c r="F84" s="7">
        <f>IF(COUNTIF(I84:XFD84,"&gt;"&amp;0)=0,,HLOOKUP(COUNTIF(I84:XFD84,"&gt;"&amp;0)-MIN($F$1+1,COUNTIF(I84:XFD84,"&gt;"&amp;0)),I$1:XFD84,A84+1,FALSE))</f>
        <v>176</v>
      </c>
      <c r="G84" s="8">
        <f>IF(COUNTIF(I84:XFD84,"&gt;"&amp;0)=0,,(E84/F84)^(1/MIN(COUNTIF(I84:XFD84,"&gt;"&amp;0)-1,$F$1)))</f>
        <v>1.0339752265319502</v>
      </c>
      <c r="H84" s="13" t="s">
        <v>74</v>
      </c>
      <c r="I84" s="9">
        <v>104</v>
      </c>
      <c r="J84" s="9">
        <v>112</v>
      </c>
      <c r="K84" s="9">
        <v>123</v>
      </c>
      <c r="L84" s="9">
        <v>130</v>
      </c>
      <c r="M84" s="9">
        <v>142</v>
      </c>
      <c r="N84" s="9">
        <v>148</v>
      </c>
      <c r="O84" s="9">
        <v>159</v>
      </c>
      <c r="P84" s="9">
        <v>176</v>
      </c>
      <c r="Q84" s="9">
        <v>188</v>
      </c>
      <c r="R84" s="9">
        <v>189</v>
      </c>
      <c r="S84" s="9">
        <v>191</v>
      </c>
      <c r="T84" s="9">
        <v>195</v>
      </c>
      <c r="U84" s="9">
        <v>208</v>
      </c>
    </row>
    <row r="85" spans="1:21" x14ac:dyDescent="0.25">
      <c r="A85" s="9">
        <f t="shared" si="5"/>
        <v>84</v>
      </c>
      <c r="B85" s="9">
        <f t="array" ref="B85">IF(C85="",0,IF(OR(C85=Country_Comparison!$S$10:$S$29),1,0))</f>
        <v>0</v>
      </c>
      <c r="C85" s="9" t="str">
        <f>IF(H85="","",H85)</f>
        <v>San Marino</v>
      </c>
      <c r="D85" s="6">
        <f>MAX(I85:KU85)</f>
        <v>208</v>
      </c>
      <c r="E85" s="6">
        <f>IF(COUNTIF(I85:XFD85,"&gt;"&amp;0)=0,,HLOOKUP(COUNTIF(I85:XFD85,"&gt;"&amp;0)-1,I$1:XFD85,A85+1,FALSE))</f>
        <v>208</v>
      </c>
      <c r="F85" s="7">
        <f>IF(COUNTIF(I85:XFD85,"&gt;"&amp;0)=0,,HLOOKUP(COUNTIF(I85:XFD85,"&gt;"&amp;0)-MIN($F$1+1,COUNTIF(I85:XFD85,"&gt;"&amp;0)),I$1:XFD85,A85+1,FALSE))</f>
        <v>144</v>
      </c>
      <c r="G85" s="8">
        <f>IF(COUNTIF(I85:XFD85,"&gt;"&amp;0)=0,,(E85/F85)^(1/MIN(COUNTIF(I85:XFD85,"&gt;"&amp;0)-1,$F$1)))</f>
        <v>1.0763169225148108</v>
      </c>
      <c r="H85" s="13" t="s">
        <v>90</v>
      </c>
      <c r="I85" s="9">
        <v>101</v>
      </c>
      <c r="J85" s="9">
        <v>109</v>
      </c>
      <c r="K85" s="9">
        <v>109</v>
      </c>
      <c r="L85" s="9">
        <v>119</v>
      </c>
      <c r="M85" s="9">
        <v>119</v>
      </c>
      <c r="N85" s="9">
        <v>144</v>
      </c>
      <c r="O85" s="9">
        <v>144</v>
      </c>
      <c r="P85" s="9">
        <v>175</v>
      </c>
      <c r="Q85" s="9">
        <v>187</v>
      </c>
      <c r="R85" s="9">
        <v>187</v>
      </c>
      <c r="S85" s="9">
        <v>208</v>
      </c>
      <c r="T85" s="9">
        <v>208</v>
      </c>
    </row>
    <row r="86" spans="1:21" x14ac:dyDescent="0.25">
      <c r="A86" s="9">
        <f t="shared" si="5"/>
        <v>85</v>
      </c>
      <c r="B86" s="9">
        <f t="array" ref="B86">IF(C86="",0,IF(OR(C86=Country_Comparison!$S$10:$S$29),1,0))</f>
        <v>0</v>
      </c>
      <c r="C86" s="9" t="str">
        <f>IF(H86="","",H86)</f>
        <v>North Macedonia</v>
      </c>
      <c r="D86" s="6">
        <f>MAX(I86:KU86)</f>
        <v>201</v>
      </c>
      <c r="E86" s="6">
        <f>IF(COUNTIF(I86:XFD86,"&gt;"&amp;0)=0,,HLOOKUP(COUNTIF(I86:XFD86,"&gt;"&amp;0)-1,I$1:XFD86,A86+1,FALSE))</f>
        <v>201</v>
      </c>
      <c r="F86" s="7">
        <f>IF(COUNTIF(I86:XFD86,"&gt;"&amp;0)=0,,HLOOKUP(COUNTIF(I86:XFD86,"&gt;"&amp;0)-MIN($F$1+1,COUNTIF(I86:XFD86,"&gt;"&amp;0)),I$1:XFD86,A86+1,FALSE))</f>
        <v>115</v>
      </c>
      <c r="G86" s="8">
        <f>IF(COUNTIF(I86:XFD86,"&gt;"&amp;0)=0,,(E86/F86)^(1/MIN(COUNTIF(I86:XFD86,"&gt;"&amp;0)-1,$F$1)))</f>
        <v>1.1498059568037253</v>
      </c>
      <c r="H86" s="13" t="s">
        <v>84</v>
      </c>
      <c r="I86" s="9">
        <v>115</v>
      </c>
      <c r="J86" s="9">
        <v>136</v>
      </c>
      <c r="K86" s="9">
        <v>148</v>
      </c>
      <c r="L86" s="9">
        <v>177</v>
      </c>
      <c r="M86" s="9">
        <v>201</v>
      </c>
    </row>
    <row r="87" spans="1:21" x14ac:dyDescent="0.25">
      <c r="A87" s="9">
        <f t="shared" si="5"/>
        <v>86</v>
      </c>
      <c r="B87" s="9">
        <f t="array" ref="B87">IF(C87="",0,IF(OR(C87=Country_Comparison!$S$10:$S$29),1,0))</f>
        <v>0</v>
      </c>
      <c r="C87" s="9" t="str">
        <f>IF(H87="","",H87)</f>
        <v>Tunisia</v>
      </c>
      <c r="D87" s="6">
        <f>MAX(I87:KU87)</f>
        <v>197</v>
      </c>
      <c r="E87" s="6">
        <f>IF(COUNTIF(I87:XFD87,"&gt;"&amp;0)=0,,HLOOKUP(COUNTIF(I87:XFD87,"&gt;"&amp;0)-1,I$1:XFD87,A87+1,FALSE))</f>
        <v>197</v>
      </c>
      <c r="F87" s="7">
        <f>IF(COUNTIF(I87:XFD87,"&gt;"&amp;0)=0,,HLOOKUP(COUNTIF(I87:XFD87,"&gt;"&amp;0)-MIN($F$1+1,COUNTIF(I87:XFD87,"&gt;"&amp;0)),I$1:XFD87,A87+1,FALSE))</f>
        <v>114</v>
      </c>
      <c r="G87" s="8">
        <f>IF(COUNTIF(I87:XFD87,"&gt;"&amp;0)=0,,(E87/F87)^(1/MIN(COUNTIF(I87:XFD87,"&gt;"&amp;0)-1,$F$1)))</f>
        <v>1.3145608298738392</v>
      </c>
      <c r="H87" s="13" t="s">
        <v>138</v>
      </c>
      <c r="I87" s="9">
        <v>114</v>
      </c>
      <c r="J87" s="9">
        <v>173</v>
      </c>
      <c r="K87" s="9">
        <v>197</v>
      </c>
    </row>
    <row r="88" spans="1:21" x14ac:dyDescent="0.25">
      <c r="A88" s="9">
        <f t="shared" si="5"/>
        <v>87</v>
      </c>
      <c r="B88" s="9">
        <f t="array" ref="B88">IF(C88="",0,IF(OR(C88=Country_Comparison!$S$10:$S$29),1,0))</f>
        <v>0</v>
      </c>
      <c r="C88" s="9" t="str">
        <f>IF(H88="","",H88)</f>
        <v>Ukraine</v>
      </c>
      <c r="D88" s="6">
        <f>MAX(I88:KU88)</f>
        <v>196</v>
      </c>
      <c r="E88" s="6">
        <f>IF(COUNTIF(I88:XFD88,"&gt;"&amp;0)=0,,HLOOKUP(COUNTIF(I88:XFD88,"&gt;"&amp;0)-1,I$1:XFD88,A88+1,FALSE))</f>
        <v>196</v>
      </c>
      <c r="F88" s="7">
        <f>IF(COUNTIF(I88:XFD88,"&gt;"&amp;0)=0,,HLOOKUP(COUNTIF(I88:XFD88,"&gt;"&amp;0)-MIN($F$1+1,COUNTIF(I88:XFD88,"&gt;"&amp;0)),I$1:XFD88,A88+1,FALSE))</f>
        <v>145</v>
      </c>
      <c r="G88" s="8">
        <f>IF(COUNTIF(I88:XFD88,"&gt;"&amp;0)=0,,(E88/F88)^(1/MIN(COUNTIF(I88:XFD88,"&gt;"&amp;0)-1,$F$1)))</f>
        <v>1.3517241379310345</v>
      </c>
      <c r="H88" s="13" t="s">
        <v>129</v>
      </c>
      <c r="I88" s="9">
        <v>145</v>
      </c>
      <c r="J88" s="9">
        <v>196</v>
      </c>
    </row>
    <row r="89" spans="1:21" x14ac:dyDescent="0.25">
      <c r="A89" s="9">
        <f t="shared" si="5"/>
        <v>88</v>
      </c>
      <c r="B89" s="9">
        <f t="array" ref="B89">IF(C89="",0,IF(OR(C89=Country_Comparison!$S$10:$S$29),1,0))</f>
        <v>0</v>
      </c>
      <c r="C89" s="9" t="str">
        <f>IF(H89="","",H89)</f>
        <v>Bosnia and Herzegovina</v>
      </c>
      <c r="D89" s="6">
        <f>MAX(I89:KU89)</f>
        <v>191</v>
      </c>
      <c r="E89" s="6">
        <f>IF(COUNTIF(I89:XFD89,"&gt;"&amp;0)=0,,HLOOKUP(COUNTIF(I89:XFD89,"&gt;"&amp;0)-1,I$1:XFD89,A89+1,FALSE))</f>
        <v>191</v>
      </c>
      <c r="F89" s="7">
        <f>IF(COUNTIF(I89:XFD89,"&gt;"&amp;0)=0,,HLOOKUP(COUNTIF(I89:XFD89,"&gt;"&amp;0)-MIN($F$1+1,COUNTIF(I89:XFD89,"&gt;"&amp;0)),I$1:XFD89,A89+1,FALSE))</f>
        <v>126</v>
      </c>
      <c r="G89" s="8">
        <f>IF(COUNTIF(I89:XFD89,"&gt;"&amp;0)=0,,(E89/F89)^(1/MIN(COUNTIF(I89:XFD89,"&gt;"&amp;0)-1,$F$1)))</f>
        <v>1.1095981028689061</v>
      </c>
      <c r="H89" s="13" t="s">
        <v>140</v>
      </c>
      <c r="I89" s="9">
        <v>126</v>
      </c>
      <c r="J89" s="9">
        <v>136</v>
      </c>
      <c r="K89" s="9">
        <v>166</v>
      </c>
      <c r="L89" s="9">
        <v>176</v>
      </c>
      <c r="M89" s="9">
        <v>191</v>
      </c>
    </row>
    <row r="90" spans="1:21" x14ac:dyDescent="0.25">
      <c r="A90" s="9">
        <f t="shared" si="5"/>
        <v>89</v>
      </c>
      <c r="B90" s="9">
        <f t="array" ref="B90">IF(C90="",0,IF(OR(C90=Country_Comparison!$S$10:$S$29),1,0))</f>
        <v>0</v>
      </c>
      <c r="C90" s="9" t="str">
        <f>IF(H90="","",H90)</f>
        <v>Moldova</v>
      </c>
      <c r="D90" s="6">
        <f>MAX(I90:KU90)</f>
        <v>177</v>
      </c>
      <c r="E90" s="6">
        <f>IF(COUNTIF(I90:XFD90,"&gt;"&amp;0)=0,,HLOOKUP(COUNTIF(I90:XFD90,"&gt;"&amp;0)-1,I$1:XFD90,A90+1,FALSE))</f>
        <v>177</v>
      </c>
      <c r="F90" s="7">
        <f>IF(COUNTIF(I90:XFD90,"&gt;"&amp;0)=0,,HLOOKUP(COUNTIF(I90:XFD90,"&gt;"&amp;0)-MIN($F$1+1,COUNTIF(I90:XFD90,"&gt;"&amp;0)),I$1:XFD90,A90+1,FALSE))</f>
        <v>109</v>
      </c>
      <c r="G90" s="8">
        <f>IF(COUNTIF(I90:XFD90,"&gt;"&amp;0)=0,,(E90/F90)^(1/MIN(COUNTIF(I90:XFD90,"&gt;"&amp;0)-1,$F$1)))</f>
        <v>1.1753907162398474</v>
      </c>
      <c r="H90" s="13" t="s">
        <v>345</v>
      </c>
      <c r="I90" s="9">
        <v>109</v>
      </c>
      <c r="J90" s="9">
        <v>125</v>
      </c>
      <c r="K90" s="9">
        <v>149</v>
      </c>
      <c r="L90" s="9">
        <v>177</v>
      </c>
    </row>
    <row r="91" spans="1:21" x14ac:dyDescent="0.25">
      <c r="A91" s="9">
        <f t="shared" si="5"/>
        <v>90</v>
      </c>
      <c r="B91" s="9">
        <f t="array" ref="B91">IF(C91="",0,IF(OR(C91=Country_Comparison!$S$10:$S$29),1,0))</f>
        <v>0</v>
      </c>
      <c r="C91" s="9" t="str">
        <f>IF(H91="","",H91)</f>
        <v>Albania</v>
      </c>
      <c r="D91" s="6">
        <f>MAX(I91:KU91)</f>
        <v>174</v>
      </c>
      <c r="E91" s="6">
        <f>IF(COUNTIF(I91:XFD91,"&gt;"&amp;0)=0,,HLOOKUP(COUNTIF(I91:XFD91,"&gt;"&amp;0)-1,I$1:XFD91,A91+1,FALSE))</f>
        <v>174</v>
      </c>
      <c r="F91" s="7">
        <f>IF(COUNTIF(I91:XFD91,"&gt;"&amp;0)=0,,HLOOKUP(COUNTIF(I91:XFD91,"&gt;"&amp;0)-MIN($F$1+1,COUNTIF(I91:XFD91,"&gt;"&amp;0)),I$1:XFD91,A91+1,FALSE))</f>
        <v>104</v>
      </c>
      <c r="G91" s="8">
        <f>IF(COUNTIF(I91:XFD91,"&gt;"&amp;0)=0,,(E91/F91)^(1/MIN(COUNTIF(I91:XFD91,"&gt;"&amp;0)-1,$F$1)))</f>
        <v>1.1871491967547219</v>
      </c>
      <c r="H91" s="13" t="s">
        <v>230</v>
      </c>
      <c r="I91" s="9">
        <v>104</v>
      </c>
      <c r="J91" s="9">
        <v>123</v>
      </c>
      <c r="K91" s="9">
        <v>146</v>
      </c>
      <c r="L91" s="9">
        <v>174</v>
      </c>
    </row>
    <row r="92" spans="1:21" x14ac:dyDescent="0.25">
      <c r="A92" s="9">
        <f t="shared" si="5"/>
        <v>91</v>
      </c>
      <c r="B92" s="9">
        <f t="array" ref="B92">IF(C92="",0,IF(OR(C92=Country_Comparison!$S$10:$S$29),1,0))</f>
        <v>0</v>
      </c>
      <c r="C92" s="9" t="str">
        <f>IF(H92="","",H92)</f>
        <v>Vietnam</v>
      </c>
      <c r="D92" s="6">
        <f>MAX(I92:KU92)</f>
        <v>153</v>
      </c>
      <c r="E92" s="6">
        <f>IF(COUNTIF(I92:XFD92,"&gt;"&amp;0)=0,,HLOOKUP(COUNTIF(I92:XFD92,"&gt;"&amp;0)-1,I$1:XFD92,A92+1,FALSE))</f>
        <v>153</v>
      </c>
      <c r="F92" s="7">
        <f>IF(COUNTIF(I92:XFD92,"&gt;"&amp;0)=0,,HLOOKUP(COUNTIF(I92:XFD92,"&gt;"&amp;0)-MIN($F$1+1,COUNTIF(I92:XFD92,"&gt;"&amp;0)),I$1:XFD92,A92+1,FALSE))</f>
        <v>113</v>
      </c>
      <c r="G92" s="8">
        <f>IF(COUNTIF(I92:XFD92,"&gt;"&amp;0)=0,,(E92/F92)^(1/MIN(COUNTIF(I92:XFD92,"&gt;"&amp;0)-1,$F$1)))</f>
        <v>1.0787063786640469</v>
      </c>
      <c r="H92" s="13" t="s">
        <v>343</v>
      </c>
      <c r="I92" s="9">
        <v>113</v>
      </c>
      <c r="J92" s="9">
        <v>123</v>
      </c>
      <c r="K92" s="9">
        <v>134</v>
      </c>
      <c r="L92" s="9">
        <v>141</v>
      </c>
      <c r="M92" s="9">
        <v>153</v>
      </c>
    </row>
    <row r="93" spans="1:21" x14ac:dyDescent="0.25">
      <c r="A93" s="9">
        <f t="shared" si="5"/>
        <v>92</v>
      </c>
      <c r="B93" s="9">
        <f t="array" ref="B93">IF(C93="",0,IF(OR(C93=Country_Comparison!$S$10:$S$29),1,0))</f>
        <v>0</v>
      </c>
      <c r="C93" s="9" t="str">
        <f>IF(H93="","",H93)</f>
        <v>Burkina Faso</v>
      </c>
      <c r="D93" s="6">
        <f>MAX(I93:KU93)</f>
        <v>152</v>
      </c>
      <c r="E93" s="6">
        <f>IF(COUNTIF(I93:XFD93,"&gt;"&amp;0)=0,,HLOOKUP(COUNTIF(I93:XFD93,"&gt;"&amp;0)-1,I$1:XFD93,A93+1,FALSE))</f>
        <v>152</v>
      </c>
      <c r="F93" s="7">
        <f>IF(COUNTIF(I93:XFD93,"&gt;"&amp;0)=0,,HLOOKUP(COUNTIF(I93:XFD93,"&gt;"&amp;0)-MIN($F$1+1,COUNTIF(I93:XFD93,"&gt;"&amp;0)),I$1:XFD93,A93+1,FALSE))</f>
        <v>114</v>
      </c>
      <c r="G93" s="8">
        <f>IF(COUNTIF(I93:XFD93,"&gt;"&amp;0)=0,,(E93/F93)^(1/MIN(COUNTIF(I93:XFD93,"&gt;"&amp;0)-1,$F$1)))</f>
        <v>1.1547005383792515</v>
      </c>
      <c r="H93" s="13" t="s">
        <v>279</v>
      </c>
      <c r="I93" s="9">
        <v>114</v>
      </c>
      <c r="J93" s="9">
        <v>146</v>
      </c>
      <c r="K93" s="9">
        <v>152</v>
      </c>
    </row>
    <row r="94" spans="1:21" x14ac:dyDescent="0.25">
      <c r="A94" s="9">
        <f t="shared" si="5"/>
        <v>93</v>
      </c>
      <c r="B94" s="9">
        <f t="array" ref="B94">IF(C94="",0,IF(OR(C94=Country_Comparison!$S$10:$S$29),1,0))</f>
        <v>0</v>
      </c>
      <c r="C94" s="9" t="str">
        <f>IF(H94="","",H94)</f>
        <v>Cyprus</v>
      </c>
      <c r="D94" s="6">
        <f>MAX(I94:KU94)</f>
        <v>146</v>
      </c>
      <c r="E94" s="6">
        <f>IF(COUNTIF(I94:XFD94,"&gt;"&amp;0)=0,,HLOOKUP(COUNTIF(I94:XFD94,"&gt;"&amp;0)-1,I$1:XFD94,A94+1,FALSE))</f>
        <v>146</v>
      </c>
      <c r="F94" s="7">
        <f>IF(COUNTIF(I94:XFD94,"&gt;"&amp;0)=0,,HLOOKUP(COUNTIF(I94:XFD94,"&gt;"&amp;0)-MIN($F$1+1,COUNTIF(I94:XFD94,"&gt;"&amp;0)),I$1:XFD94,A94+1,FALSE))</f>
        <v>116</v>
      </c>
      <c r="G94" s="8">
        <f>IF(COUNTIF(I94:XFD94,"&gt;"&amp;0)=0,,(E94/F94)^(1/MIN(COUNTIF(I94:XFD94,"&gt;"&amp;0)-1,$F$1)))</f>
        <v>1.0796880356547367</v>
      </c>
      <c r="H94" s="13" t="s">
        <v>231</v>
      </c>
      <c r="I94" s="9">
        <v>116</v>
      </c>
      <c r="J94" s="9">
        <v>124</v>
      </c>
      <c r="K94" s="9">
        <v>132</v>
      </c>
      <c r="L94" s="9">
        <v>146</v>
      </c>
    </row>
    <row r="95" spans="1:21" x14ac:dyDescent="0.25">
      <c r="A95" s="9">
        <f t="shared" si="5"/>
        <v>94</v>
      </c>
      <c r="B95" s="9">
        <f t="array" ref="B95">IF(C95="",0,IF(OR(C95=Country_Comparison!$S$10:$S$29),1,0))</f>
        <v>0</v>
      </c>
      <c r="C95" s="9" t="str">
        <f>IF(H95="","",H95)</f>
        <v>Malta</v>
      </c>
      <c r="D95" s="6">
        <f>MAX(I95:KU95)</f>
        <v>134</v>
      </c>
      <c r="E95" s="6">
        <f>IF(COUNTIF(I95:XFD95,"&gt;"&amp;0)=0,,HLOOKUP(COUNTIF(I95:XFD95,"&gt;"&amp;0)-1,I$1:XFD95,A95+1,FALSE))</f>
        <v>134</v>
      </c>
      <c r="F95" s="7">
        <f>IF(COUNTIF(I95:XFD95,"&gt;"&amp;0)=0,,HLOOKUP(COUNTIF(I95:XFD95,"&gt;"&amp;0)-MIN($F$1+1,COUNTIF(I95:XFD95,"&gt;"&amp;0)),I$1:XFD95,A95+1,FALSE))</f>
        <v>107</v>
      </c>
      <c r="G95" s="8">
        <f>IF(COUNTIF(I95:XFD95,"&gt;"&amp;0)=0,,(E95/F95)^(1/MIN(COUNTIF(I95:XFD95,"&gt;"&amp;0)-1,$F$1)))</f>
        <v>1.0778880907341004</v>
      </c>
      <c r="H95" s="13" t="s">
        <v>177</v>
      </c>
      <c r="I95" s="9">
        <v>107</v>
      </c>
      <c r="J95" s="9">
        <v>110</v>
      </c>
      <c r="K95" s="9">
        <v>129</v>
      </c>
      <c r="L95" s="9">
        <v>134</v>
      </c>
    </row>
    <row r="96" spans="1:21" x14ac:dyDescent="0.25">
      <c r="A96" s="9">
        <f t="shared" si="5"/>
        <v>95</v>
      </c>
      <c r="B96" s="9">
        <f t="array" ref="B96">IF(C96="",0,IF(OR(C96=Country_Comparison!$S$10:$S$29),1,0))</f>
        <v>0</v>
      </c>
      <c r="C96" s="9" t="str">
        <f>IF(H96="","",H96)</f>
        <v>Azerbaijan</v>
      </c>
      <c r="D96" s="6">
        <f>MAX(I96:KU96)</f>
        <v>122</v>
      </c>
      <c r="E96" s="6">
        <f>IF(COUNTIF(I96:XFD96,"&gt;"&amp;0)=0,,HLOOKUP(COUNTIF(I96:XFD96,"&gt;"&amp;0)-1,I$1:XFD96,A96+1,FALSE))</f>
        <v>122</v>
      </c>
      <c r="F96" s="7">
        <f>IF(COUNTIF(I96:XFD96,"&gt;"&amp;0)=0,,HLOOKUP(COUNTIF(I96:XFD96,"&gt;"&amp;0)-MIN($F$1+1,COUNTIF(I96:XFD96,"&gt;"&amp;0)),I$1:XFD96,A96+1,FALSE))</f>
        <v>122</v>
      </c>
      <c r="G96" s="8" t="e">
        <f>IF(COUNTIF(I96:XFD96,"&gt;"&amp;0)=0,,(E96/F96)^(1/MIN(COUNTIF(I96:XFD96,"&gt;"&amp;0)-1,$F$1)))</f>
        <v>#DIV/0!</v>
      </c>
      <c r="H96" s="13" t="s">
        <v>104</v>
      </c>
      <c r="I96" s="9">
        <v>122</v>
      </c>
    </row>
    <row r="97" spans="1:11" x14ac:dyDescent="0.25">
      <c r="A97" s="9">
        <f t="shared" si="5"/>
        <v>96</v>
      </c>
      <c r="B97" s="9">
        <f t="array" ref="B97">IF(C97="",0,IF(OR(C97=Country_Comparison!$S$10:$S$29),1,0))</f>
        <v>0</v>
      </c>
      <c r="C97" s="9" t="str">
        <f>IF(H97="","",H97)</f>
        <v>Brunei</v>
      </c>
      <c r="D97" s="6">
        <f>MAX(I97:KU97)</f>
        <v>114</v>
      </c>
      <c r="E97" s="6">
        <f>IF(COUNTIF(I97:XFD97,"&gt;"&amp;0)=0,,HLOOKUP(COUNTIF(I97:XFD97,"&gt;"&amp;0)-1,I$1:XFD97,A97+1,FALSE))</f>
        <v>114</v>
      </c>
      <c r="F97" s="7">
        <f>IF(COUNTIF(I97:XFD97,"&gt;"&amp;0)=0,,HLOOKUP(COUNTIF(I97:XFD97,"&gt;"&amp;0)-MIN($F$1+1,COUNTIF(I97:XFD97,"&gt;"&amp;0)),I$1:XFD97,A97+1,FALSE))</f>
        <v>104</v>
      </c>
      <c r="G97" s="8">
        <f>IF(COUNTIF(I97:XFD97,"&gt;"&amp;0)=0,,(E97/F97)^(1/MIN(COUNTIF(I97:XFD97,"&gt;"&amp;0)-1,$F$1)))</f>
        <v>1.0469736606781692</v>
      </c>
      <c r="H97" s="13" t="s">
        <v>233</v>
      </c>
      <c r="I97" s="9">
        <v>104</v>
      </c>
      <c r="J97" s="9">
        <v>109</v>
      </c>
      <c r="K97" s="9">
        <v>114</v>
      </c>
    </row>
    <row r="98" spans="1:11" x14ac:dyDescent="0.25">
      <c r="A98" s="9">
        <f t="shared" si="5"/>
        <v>97</v>
      </c>
      <c r="B98" s="9">
        <f t="array" ref="B98">IF(C98="",0,IF(OR(C98=Country_Comparison!$S$10:$S$29),1,0))</f>
        <v>0</v>
      </c>
      <c r="C98" s="9" t="str">
        <f>IF(H98="","",H98)</f>
        <v>Kazakhstan</v>
      </c>
      <c r="D98" s="6">
        <f>MAX(I98:KU98)</f>
        <v>111</v>
      </c>
      <c r="E98" s="6">
        <f>IF(COUNTIF(I98:XFD98,"&gt;"&amp;0)=0,,HLOOKUP(COUNTIF(I98:XFD98,"&gt;"&amp;0)-1,I$1:XFD98,A98+1,FALSE))</f>
        <v>111</v>
      </c>
      <c r="F98" s="7">
        <f>IF(COUNTIF(I98:XFD98,"&gt;"&amp;0)=0,,HLOOKUP(COUNTIF(I98:XFD98,"&gt;"&amp;0)-MIN($F$1+1,COUNTIF(I98:XFD98,"&gt;"&amp;0)),I$1:XFD98,A98+1,FALSE))</f>
        <v>111</v>
      </c>
      <c r="G98" s="8" t="e">
        <f>IF(COUNTIF(I98:XFD98,"&gt;"&amp;0)=0,,(E98/F98)^(1/MIN(COUNTIF(I98:XFD98,"&gt;"&amp;0)-1,$F$1)))</f>
        <v>#DIV/0!</v>
      </c>
      <c r="H98" s="13" t="s">
        <v>413</v>
      </c>
      <c r="I98" s="9">
        <v>111</v>
      </c>
    </row>
    <row r="99" spans="1:11" x14ac:dyDescent="0.25">
      <c r="A99" s="9">
        <f t="shared" si="5"/>
        <v>98</v>
      </c>
      <c r="B99" s="9">
        <f t="array" ref="B99">IF(C99="",0,IF(OR(C99=Country_Comparison!$S$10:$S$29),1,0))</f>
        <v>0</v>
      </c>
      <c r="C99" s="9" t="str">
        <f>IF(H99="","",H99)</f>
        <v>Oman</v>
      </c>
      <c r="D99" s="6">
        <f>MAX(I99:KU99)</f>
        <v>109</v>
      </c>
      <c r="E99" s="6">
        <f>IF(COUNTIF(I99:XFD99,"&gt;"&amp;0)=0,,HLOOKUP(COUNTIF(I99:XFD99,"&gt;"&amp;0)-1,I$1:XFD99,A99+1,FALSE))</f>
        <v>109</v>
      </c>
      <c r="F99" s="7">
        <f>IF(COUNTIF(I99:XFD99,"&gt;"&amp;0)=0,,HLOOKUP(COUNTIF(I99:XFD99,"&gt;"&amp;0)-MIN($F$1+1,COUNTIF(I99:XFD99,"&gt;"&amp;0)),I$1:XFD99,A99+1,FALSE))</f>
        <v>109</v>
      </c>
      <c r="G99" s="8" t="e">
        <f>IF(COUNTIF(I99:XFD99,"&gt;"&amp;0)=0,,(E99/F99)^(1/MIN(COUNTIF(I99:XFD99,"&gt;"&amp;0)-1,$F$1)))</f>
        <v>#DIV/0!</v>
      </c>
      <c r="H99" s="13" t="s">
        <v>71</v>
      </c>
      <c r="I99" s="9">
        <v>109</v>
      </c>
    </row>
    <row r="100" spans="1:11" x14ac:dyDescent="0.25">
      <c r="A100" s="9">
        <f t="shared" si="5"/>
        <v>99</v>
      </c>
      <c r="B100" s="9">
        <f t="array" ref="B100">IF(C100="",0,IF(OR(C100=Country_Comparison!$S$10:$S$29),1,0))</f>
        <v>0</v>
      </c>
      <c r="C100" s="9" t="str">
        <f>IF(H100="","",H100)</f>
        <v>Sri Lanka</v>
      </c>
      <c r="D100" s="6">
        <f>MAX(I100:KU100)</f>
        <v>106</v>
      </c>
      <c r="E100" s="6">
        <f>IF(COUNTIF(I100:XFD100,"&gt;"&amp;0)=0,,HLOOKUP(COUNTIF(I100:XFD100,"&gt;"&amp;0)-1,I$1:XFD100,A100+1,FALSE))</f>
        <v>106</v>
      </c>
      <c r="F100" s="7">
        <f>IF(COUNTIF(I100:XFD100,"&gt;"&amp;0)=0,,HLOOKUP(COUNTIF(I100:XFD100,"&gt;"&amp;0)-MIN($F$1+1,COUNTIF(I100:XFD100,"&gt;"&amp;0)),I$1:XFD100,A100+1,FALSE))</f>
        <v>102</v>
      </c>
      <c r="G100" s="8">
        <f>IF(COUNTIF(I100:XFD100,"&gt;"&amp;0)=0,,(E100/F100)^(1/MIN(COUNTIF(I100:XFD100,"&gt;"&amp;0)-1,$F$1)))</f>
        <v>1.0194192887494871</v>
      </c>
      <c r="H100" s="13" t="s">
        <v>52</v>
      </c>
      <c r="I100" s="9">
        <v>102</v>
      </c>
      <c r="J100" s="9">
        <v>102</v>
      </c>
      <c r="K100" s="9">
        <v>106</v>
      </c>
    </row>
    <row r="101" spans="1:11" x14ac:dyDescent="0.25">
      <c r="A101" s="9">
        <f t="shared" si="5"/>
        <v>100</v>
      </c>
      <c r="B101" s="9">
        <f t="array" ref="B101">IF(C101="",0,IF(OR(C101=Country_Comparison!$S$10:$S$29),1,0))</f>
        <v>0</v>
      </c>
      <c r="C101" s="9" t="str">
        <f>IF(H101="","",H101)</f>
        <v>Senegal</v>
      </c>
      <c r="D101" s="6">
        <f>MAX(I101:KU101)</f>
        <v>105</v>
      </c>
      <c r="E101" s="6">
        <f>IF(COUNTIF(I101:XFD101,"&gt;"&amp;0)=0,,HLOOKUP(COUNTIF(I101:XFD101,"&gt;"&amp;0)-1,I$1:XFD101,A101+1,FALSE))</f>
        <v>105</v>
      </c>
      <c r="F101" s="7">
        <f>IF(COUNTIF(I101:XFD101,"&gt;"&amp;0)=0,,HLOOKUP(COUNTIF(I101:XFD101,"&gt;"&amp;0)-MIN($F$1+1,COUNTIF(I101:XFD101,"&gt;"&amp;0)),I$1:XFD101,A101+1,FALSE))</f>
        <v>105</v>
      </c>
      <c r="G101" s="8" t="e">
        <f>IF(COUNTIF(I101:XFD101,"&gt;"&amp;0)=0,,(E101/F101)^(1/MIN(COUNTIF(I101:XFD101,"&gt;"&amp;0)-1,$F$1)))</f>
        <v>#DIV/0!</v>
      </c>
      <c r="H101" s="13" t="s">
        <v>114</v>
      </c>
      <c r="I101" s="9">
        <v>105</v>
      </c>
    </row>
    <row r="102" spans="1:11" x14ac:dyDescent="0.25">
      <c r="A102" s="9">
        <f t="shared" si="5"/>
        <v>101</v>
      </c>
      <c r="B102" s="9">
        <f t="array" ref="B102">IF(C102="",0,IF(OR(C102=Country_Comparison!$S$10:$S$29),1,0))</f>
        <v>0</v>
      </c>
      <c r="C102" s="9" t="str">
        <f>IF(H102="","",H102)</f>
        <v/>
      </c>
      <c r="D102" s="6">
        <f>MAX(I102:KU102)</f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>IF(COUNTIF(I102:XFD102,"&gt;"&amp;0)=0,,(E102/F102)^(1/MIN(COUNTIF(I102:XFD102,"&gt;"&amp;0)-1,$F$1)))</f>
        <v>0</v>
      </c>
    </row>
    <row r="103" spans="1:11" x14ac:dyDescent="0.25">
      <c r="A103" s="9">
        <f t="shared" si="5"/>
        <v>102</v>
      </c>
      <c r="B103" s="9">
        <f t="array" ref="B103">IF(C103="",0,IF(OR(C103=Country_Comparison!$S$10:$S$29),1,0))</f>
        <v>0</v>
      </c>
      <c r="C103" s="9" t="str">
        <f>IF(H103="","",H103)</f>
        <v/>
      </c>
      <c r="D103" s="6">
        <f>MAX(I103:KU103)</f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>IF(COUNTIF(I103:XFD103,"&gt;"&amp;0)=0,,(E103/F103)^(1/MIN(COUNTIF(I103:XFD103,"&gt;"&amp;0)-1,$F$1)))</f>
        <v>0</v>
      </c>
    </row>
    <row r="104" spans="1:11" x14ac:dyDescent="0.25">
      <c r="A104" s="9">
        <f t="shared" si="5"/>
        <v>103</v>
      </c>
      <c r="B104" s="9">
        <f t="array" ref="B104">IF(C104="",0,IF(OR(C104=Country_Comparison!$S$10:$S$29),1,0))</f>
        <v>0</v>
      </c>
      <c r="C104" s="9" t="str">
        <f>IF(H104="","",H104)</f>
        <v/>
      </c>
      <c r="D104" s="6">
        <f>MAX(I104:KU104)</f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>IF(COUNTIF(I104:XFD104,"&gt;"&amp;0)=0,,(E104/F104)^(1/MIN(COUNTIF(I104:XFD104,"&gt;"&amp;0)-1,$F$1)))</f>
        <v>0</v>
      </c>
    </row>
    <row r="105" spans="1:11" x14ac:dyDescent="0.25">
      <c r="A105" s="9">
        <f t="shared" si="5"/>
        <v>104</v>
      </c>
      <c r="B105" s="9">
        <f t="array" ref="B105">IF(C105="",0,IF(OR(C105=Country_Comparison!$S$10:$S$29),1,0))</f>
        <v>0</v>
      </c>
      <c r="C105" s="9" t="str">
        <f>IF(H105="","",H105)</f>
        <v/>
      </c>
      <c r="D105" s="6">
        <f>MAX(I105:KU105)</f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>IF(COUNTIF(I105:XFD105,"&gt;"&amp;0)=0,,(E105/F105)^(1/MIN(COUNTIF(I105:XFD105,"&gt;"&amp;0)-1,$F$1)))</f>
        <v>0</v>
      </c>
    </row>
    <row r="106" spans="1:11" x14ac:dyDescent="0.25">
      <c r="A106" s="9">
        <f t="shared" si="5"/>
        <v>105</v>
      </c>
      <c r="B106" s="9">
        <f t="array" ref="B106">IF(C106="",0,IF(OR(C106=Country_Comparison!$S$10:$S$29),1,0))</f>
        <v>0</v>
      </c>
      <c r="C106" s="9" t="str">
        <f>IF(H106="","",H106)</f>
        <v/>
      </c>
      <c r="D106" s="6">
        <f>MAX(I106:KU106)</f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>IF(COUNTIF(I106:XFD106,"&gt;"&amp;0)=0,,(E106/F106)^(1/MIN(COUNTIF(I106:XFD106,"&gt;"&amp;0)-1,$F$1)))</f>
        <v>0</v>
      </c>
    </row>
    <row r="107" spans="1:11" x14ac:dyDescent="0.25">
      <c r="A107" s="9">
        <f t="shared" si="5"/>
        <v>106</v>
      </c>
      <c r="B107" s="9">
        <f t="array" ref="B107">IF(C107="",0,IF(OR(C107=Country_Comparison!$S$10:$S$29),1,0))</f>
        <v>0</v>
      </c>
      <c r="C107" s="9" t="str">
        <f>IF(H107="","",H107)</f>
        <v/>
      </c>
      <c r="D107" s="6">
        <f>MAX(I107:KU107)</f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>IF(COUNTIF(I107:XFD107,"&gt;"&amp;0)=0,,(E107/F107)^(1/MIN(COUNTIF(I107:XFD107,"&gt;"&amp;0)-1,$F$1)))</f>
        <v>0</v>
      </c>
    </row>
    <row r="108" spans="1:11" x14ac:dyDescent="0.25">
      <c r="A108" s="9">
        <f t="shared" si="5"/>
        <v>107</v>
      </c>
      <c r="B108" s="9">
        <f t="array" ref="B108">IF(C108="",0,IF(OR(C108=Country_Comparison!$S$10:$S$29),1,0))</f>
        <v>0</v>
      </c>
      <c r="C108" s="9" t="str">
        <f>IF(H108="","",H108)</f>
        <v/>
      </c>
      <c r="D108" s="6">
        <f>MAX(I108:KU108)</f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>IF(COUNTIF(I108:XFD108,"&gt;"&amp;0)=0,,(E108/F108)^(1/MIN(COUNTIF(I108:XFD108,"&gt;"&amp;0)-1,$F$1)))</f>
        <v>0</v>
      </c>
    </row>
    <row r="109" spans="1:11" x14ac:dyDescent="0.25">
      <c r="A109" s="9">
        <f t="shared" si="5"/>
        <v>108</v>
      </c>
      <c r="B109" s="9">
        <f t="array" ref="B109">IF(C109="",0,IF(OR(C109=Country_Comparison!$S$10:$S$29),1,0))</f>
        <v>0</v>
      </c>
      <c r="C109" s="9" t="str">
        <f>IF(H109="","",H109)</f>
        <v/>
      </c>
      <c r="D109" s="6">
        <f>MAX(I109:KU109)</f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>IF(COUNTIF(I109:XFD109,"&gt;"&amp;0)=0,,(E109/F109)^(1/MIN(COUNTIF(I109:XFD109,"&gt;"&amp;0)-1,$F$1)))</f>
        <v>0</v>
      </c>
    </row>
    <row r="110" spans="1:11" x14ac:dyDescent="0.25">
      <c r="A110" s="9">
        <f t="shared" si="5"/>
        <v>109</v>
      </c>
      <c r="B110" s="9">
        <f t="array" ref="B110">IF(C110="",0,IF(OR(C110=Country_Comparison!$S$10:$S$29),1,0))</f>
        <v>0</v>
      </c>
      <c r="C110" s="9" t="str">
        <f>IF(H110="","",H110)</f>
        <v/>
      </c>
      <c r="D110" s="6">
        <f>MAX(I110:KU110)</f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>IF(COUNTIF(I110:XFD110,"&gt;"&amp;0)=0,,(E110/F110)^(1/MIN(COUNTIF(I110:XFD110,"&gt;"&amp;0)-1,$F$1)))</f>
        <v>0</v>
      </c>
    </row>
    <row r="111" spans="1:11" x14ac:dyDescent="0.25">
      <c r="A111" s="9">
        <f t="shared" si="5"/>
        <v>110</v>
      </c>
      <c r="B111" s="9">
        <f t="array" ref="B111">IF(C111="",0,IF(OR(C111=Country_Comparison!$S$10:$S$29),1,0))</f>
        <v>0</v>
      </c>
      <c r="C111" s="9" t="str">
        <f>IF(H111="","",H111)</f>
        <v/>
      </c>
      <c r="D111" s="6">
        <f>MAX(I111:KU111)</f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>IF(COUNTIF(I111:XFD111,"&gt;"&amp;0)=0,,(E111/F111)^(1/MIN(COUNTIF(I111:XFD111,"&gt;"&amp;0)-1,$F$1)))</f>
        <v>0</v>
      </c>
    </row>
    <row r="112" spans="1:11" x14ac:dyDescent="0.25">
      <c r="A112" s="9">
        <f t="shared" si="5"/>
        <v>111</v>
      </c>
      <c r="B112" s="9">
        <f t="array" ref="B112">IF(C112="",0,IF(OR(C112=Country_Comparison!$S$10:$S$29),1,0))</f>
        <v>0</v>
      </c>
      <c r="C112" s="9" t="str">
        <f>IF(H112="","",H112)</f>
        <v/>
      </c>
      <c r="D112" s="6">
        <f>MAX(I112:KU112)</f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>IF(COUNTIF(I112:XFD112,"&gt;"&amp;0)=0,,(E112/F112)^(1/MIN(COUNTIF(I112:XFD112,"&gt;"&amp;0)-1,$F$1)))</f>
        <v>0</v>
      </c>
    </row>
    <row r="113" spans="1:7" x14ac:dyDescent="0.25">
      <c r="A113" s="9">
        <f t="shared" si="5"/>
        <v>112</v>
      </c>
      <c r="B113" s="9">
        <f t="array" ref="B113">IF(C113="",0,IF(OR(C113=Country_Comparison!$S$10:$S$29),1,0))</f>
        <v>0</v>
      </c>
      <c r="C113" s="9" t="str">
        <f>IF(H113="","",H113)</f>
        <v/>
      </c>
      <c r="D113" s="6">
        <f>MAX(I113:KU113)</f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>IF(COUNTIF(I113:XFD113,"&gt;"&amp;0)=0,,(E113/F113)^(1/MIN(COUNTIF(I113:XFD113,"&gt;"&amp;0)-1,$F$1)))</f>
        <v>0</v>
      </c>
    </row>
    <row r="114" spans="1:7" x14ac:dyDescent="0.25">
      <c r="A114" s="9">
        <f t="shared" si="5"/>
        <v>113</v>
      </c>
      <c r="B114" s="9">
        <f t="array" ref="B114">IF(C114="",0,IF(OR(C114=Country_Comparison!$S$10:$S$29),1,0))</f>
        <v>0</v>
      </c>
      <c r="C114" s="9" t="str">
        <f>IF(H114="","",H114)</f>
        <v/>
      </c>
      <c r="D114" s="6">
        <f>MAX(I114:KU114)</f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>IF(COUNTIF(I114:XFD114,"&gt;"&amp;0)=0,,(E114/F114)^(1/MIN(COUNTIF(I114:XFD114,"&gt;"&amp;0)-1,$F$1)))</f>
        <v>0</v>
      </c>
    </row>
    <row r="115" spans="1:7" x14ac:dyDescent="0.25">
      <c r="A115" s="9">
        <f t="shared" si="5"/>
        <v>114</v>
      </c>
      <c r="B115" s="9">
        <f t="array" ref="B115">IF(C115="",0,IF(OR(C115=Country_Comparison!$S$10:$S$29),1,0))</f>
        <v>0</v>
      </c>
      <c r="C115" s="9" t="str">
        <f>IF(H115="","",H115)</f>
        <v/>
      </c>
      <c r="D115" s="6">
        <f>MAX(I115:KU115)</f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>IF(COUNTIF(I115:XFD115,"&gt;"&amp;0)=0,,(E115/F115)^(1/MIN(COUNTIF(I115:XFD115,"&gt;"&amp;0)-1,$F$1)))</f>
        <v>0</v>
      </c>
    </row>
    <row r="116" spans="1:7" x14ac:dyDescent="0.25">
      <c r="A116" s="9">
        <f t="shared" si="5"/>
        <v>115</v>
      </c>
      <c r="B116" s="9">
        <f t="array" ref="B116">IF(C116="",0,IF(OR(C116=Country_Comparison!$S$10:$S$29),1,0))</f>
        <v>0</v>
      </c>
      <c r="C116" s="9" t="str">
        <f>IF(H116="","",H116)</f>
        <v/>
      </c>
      <c r="D116" s="6">
        <f>MAX(I116:KU116)</f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>IF(COUNTIF(I116:XFD116,"&gt;"&amp;0)=0,,(E116/F116)^(1/MIN(COUNTIF(I116:XFD116,"&gt;"&amp;0)-1,$F$1)))</f>
        <v>0</v>
      </c>
    </row>
    <row r="117" spans="1:7" x14ac:dyDescent="0.25">
      <c r="A117" s="9">
        <f t="shared" si="5"/>
        <v>116</v>
      </c>
      <c r="B117" s="9">
        <f t="array" ref="B117">IF(C117="",0,IF(OR(C117=Country_Comparison!$S$10:$S$29),1,0))</f>
        <v>0</v>
      </c>
      <c r="C117" s="9" t="str">
        <f>IF(H117="","",H117)</f>
        <v/>
      </c>
      <c r="D117" s="6">
        <f>MAX(I117:KU117)</f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>IF(COUNTIF(I117:XFD117,"&gt;"&amp;0)=0,,(E117/F117)^(1/MIN(COUNTIF(I117:XFD117,"&gt;"&amp;0)-1,$F$1)))</f>
        <v>0</v>
      </c>
    </row>
    <row r="118" spans="1:7" x14ac:dyDescent="0.25">
      <c r="A118" s="9">
        <f t="shared" si="5"/>
        <v>117</v>
      </c>
      <c r="B118" s="9">
        <f t="array" ref="B118">IF(C118="",0,IF(OR(C118=Country_Comparison!$S$10:$S$29),1,0))</f>
        <v>0</v>
      </c>
      <c r="C118" s="9" t="str">
        <f>IF(H118="","",H118)</f>
        <v/>
      </c>
      <c r="D118" s="6">
        <f>MAX(I118:KU118)</f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>IF(COUNTIF(I118:XFD118,"&gt;"&amp;0)=0,,(E118/F118)^(1/MIN(COUNTIF(I118:XFD118,"&gt;"&amp;0)-1,$F$1)))</f>
        <v>0</v>
      </c>
    </row>
    <row r="119" spans="1:7" x14ac:dyDescent="0.25">
      <c r="A119" s="9">
        <f t="shared" si="5"/>
        <v>118</v>
      </c>
      <c r="B119" s="9">
        <f t="array" ref="B119">IF(C119="",0,IF(OR(C119=Country_Comparison!$S$10:$S$29),1,0))</f>
        <v>0</v>
      </c>
      <c r="C119" s="9" t="str">
        <f>IF(H119="","",H119)</f>
        <v/>
      </c>
      <c r="D119" s="6">
        <f>MAX(I119:KU119)</f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>IF(COUNTIF(I119:XFD119,"&gt;"&amp;0)=0,,(E119/F119)^(1/MIN(COUNTIF(I119:XFD119,"&gt;"&amp;0)-1,$F$1)))</f>
        <v>0</v>
      </c>
    </row>
    <row r="120" spans="1:7" x14ac:dyDescent="0.25">
      <c r="A120" s="9">
        <f t="shared" si="5"/>
        <v>119</v>
      </c>
      <c r="B120" s="9">
        <f t="array" ref="B120">IF(C120="",0,IF(OR(C120=Country_Comparison!$S$10:$S$29),1,0))</f>
        <v>0</v>
      </c>
      <c r="C120" s="9" t="str">
        <f>IF(H120="","",H120)</f>
        <v/>
      </c>
      <c r="D120" s="6">
        <f>MAX(I120:KU120)</f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>IF(COUNTIF(I120:XFD120,"&gt;"&amp;0)=0,,(E120/F120)^(1/MIN(COUNTIF(I120:XFD120,"&gt;"&amp;0)-1,$F$1)))</f>
        <v>0</v>
      </c>
    </row>
    <row r="121" spans="1:7" x14ac:dyDescent="0.25">
      <c r="A121" s="9">
        <f t="shared" si="5"/>
        <v>120</v>
      </c>
      <c r="B121" s="9">
        <f t="array" ref="B121">IF(C121="",0,IF(OR(C121=Country_Comparison!$S$10:$S$29),1,0))</f>
        <v>0</v>
      </c>
      <c r="C121" s="9" t="str">
        <f>IF(H121="","",H121)</f>
        <v/>
      </c>
      <c r="D121" s="6">
        <f>MAX(I121:KU121)</f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>IF(COUNTIF(I121:XFD121,"&gt;"&amp;0)=0,,(E121/F121)^(1/MIN(COUNTIF(I121:XFD121,"&gt;"&amp;0)-1,$F$1)))</f>
        <v>0</v>
      </c>
    </row>
    <row r="122" spans="1:7" x14ac:dyDescent="0.25">
      <c r="A122" s="9">
        <f t="shared" si="5"/>
        <v>121</v>
      </c>
      <c r="B122" s="9">
        <f t="array" ref="B122">IF(C122="",0,IF(OR(C122=Country_Comparison!$S$10:$S$29),1,0))</f>
        <v>0</v>
      </c>
      <c r="C122" s="9" t="str">
        <f>IF(H122="","",H122)</f>
        <v/>
      </c>
      <c r="D122" s="6">
        <f>MAX(I122:KU122)</f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>IF(COUNTIF(I122:XFD122,"&gt;"&amp;0)=0,,(E122/F122)^(1/MIN(COUNTIF(I122:XFD122,"&gt;"&amp;0)-1,$F$1)))</f>
        <v>0</v>
      </c>
    </row>
    <row r="123" spans="1:7" x14ac:dyDescent="0.25">
      <c r="A123" s="9">
        <f t="shared" si="5"/>
        <v>122</v>
      </c>
      <c r="B123" s="9">
        <f t="array" ref="B123">IF(C123="",0,IF(OR(C123=Country_Comparison!$S$10:$S$29),1,0))</f>
        <v>0</v>
      </c>
      <c r="C123" s="9" t="str">
        <f>IF(H123="","",H123)</f>
        <v/>
      </c>
      <c r="D123" s="6">
        <f>MAX(I123:KU123)</f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>IF(COUNTIF(I123:XFD123,"&gt;"&amp;0)=0,,(E123/F123)^(1/MIN(COUNTIF(I123:XFD123,"&gt;"&amp;0)-1,$F$1)))</f>
        <v>0</v>
      </c>
    </row>
    <row r="124" spans="1:7" x14ac:dyDescent="0.25">
      <c r="A124" s="9">
        <f t="shared" si="5"/>
        <v>123</v>
      </c>
      <c r="B124" s="9">
        <f t="array" ref="B124">IF(C124="",0,IF(OR(C124=Country_Comparison!$S$10:$S$29),1,0))</f>
        <v>0</v>
      </c>
      <c r="C124" s="9" t="str">
        <f>IF(H124="","",H124)</f>
        <v/>
      </c>
      <c r="D124" s="6">
        <f>MAX(I124:KU124)</f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>IF(COUNTIF(I124:XFD124,"&gt;"&amp;0)=0,,(E124/F124)^(1/MIN(COUNTIF(I124:XFD124,"&gt;"&amp;0)-1,$F$1)))</f>
        <v>0</v>
      </c>
    </row>
    <row r="125" spans="1:7" x14ac:dyDescent="0.25">
      <c r="A125" s="9">
        <f t="shared" si="5"/>
        <v>124</v>
      </c>
      <c r="B125" s="9">
        <f t="array" ref="B125">IF(C125="",0,IF(OR(C125=Country_Comparison!$S$10:$S$29),1,0))</f>
        <v>0</v>
      </c>
      <c r="C125" s="9" t="str">
        <f>IF(H125="","",H125)</f>
        <v/>
      </c>
      <c r="D125" s="6">
        <f>MAX(I125:KU125)</f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>IF(COUNTIF(I125:XFD125,"&gt;"&amp;0)=0,,(E125/F125)^(1/MIN(COUNTIF(I125:XFD125,"&gt;"&amp;0)-1,$F$1)))</f>
        <v>0</v>
      </c>
    </row>
    <row r="126" spans="1:7" x14ac:dyDescent="0.25">
      <c r="A126" s="9">
        <f t="shared" si="5"/>
        <v>125</v>
      </c>
      <c r="B126" s="9">
        <f t="array" ref="B126">IF(C126="",0,IF(OR(C126=Country_Comparison!$S$10:$S$29),1,0))</f>
        <v>0</v>
      </c>
      <c r="C126" s="9" t="str">
        <f>IF(H126="","",H126)</f>
        <v/>
      </c>
      <c r="D126" s="6">
        <f>MAX(I126:KU126)</f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>IF(COUNTIF(I126:XFD126,"&gt;"&amp;0)=0,,(E126/F126)^(1/MIN(COUNTIF(I126:XFD126,"&gt;"&amp;0)-1,$F$1)))</f>
        <v>0</v>
      </c>
    </row>
    <row r="127" spans="1:7" x14ac:dyDescent="0.25">
      <c r="A127" s="9">
        <f t="shared" si="5"/>
        <v>126</v>
      </c>
      <c r="B127" s="9">
        <f t="array" ref="B127">IF(C127="",0,IF(OR(C127=Country_Comparison!$S$10:$S$29),1,0))</f>
        <v>0</v>
      </c>
      <c r="C127" s="9" t="str">
        <f>IF(H127="","",H127)</f>
        <v/>
      </c>
      <c r="D127" s="6">
        <f>MAX(I127:KU127)</f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>IF(COUNTIF(I127:XFD127,"&gt;"&amp;0)=0,,(E127/F127)^(1/MIN(COUNTIF(I127:XFD127,"&gt;"&amp;0)-1,$F$1)))</f>
        <v>0</v>
      </c>
    </row>
    <row r="128" spans="1:7" x14ac:dyDescent="0.25">
      <c r="A128" s="9">
        <f t="shared" si="5"/>
        <v>127</v>
      </c>
      <c r="B128" s="9">
        <f t="array" ref="B128">IF(C128="",0,IF(OR(C128=Country_Comparison!$S$10:$S$29),1,0))</f>
        <v>0</v>
      </c>
      <c r="C128" s="9" t="str">
        <f>IF(H128="","",H128)</f>
        <v/>
      </c>
      <c r="D128" s="6">
        <f>MAX(I128:KU128)</f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>IF(COUNTIF(I128:XFD128,"&gt;"&amp;0)=0,,(E128/F128)^(1/MIN(COUNTIF(I128:XFD128,"&gt;"&amp;0)-1,$F$1)))</f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IF(C129="",0,IF(OR(C129=Country_Comparison!$S$10:$S$29),1,0))</f>
        <v>0</v>
      </c>
      <c r="C129" s="9" t="str">
        <f>IF(H129="","",H129)</f>
        <v/>
      </c>
      <c r="D129" s="6">
        <f>MAX(I129:KU129)</f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>IF(COUNTIF(I129:XFD129,"&gt;"&amp;0)=0,,(E129/F129)^(1/MIN(COUNTIF(I129:XFD129,"&gt;"&amp;0)-1,$F$1)))</f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IF(C130="",0,IF(OR(C130=Country_Comparison!$S$10:$S$29),1,0))</f>
        <v>0</v>
      </c>
      <c r="C130" s="9" t="str">
        <f>IF(H130="","",H130)</f>
        <v/>
      </c>
      <c r="D130" s="6">
        <f>MAX(I130:KU130)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>IF(COUNTIF(I130:XFD130,"&gt;"&amp;0)=0,,(E130/F130)^(1/MIN(COUNTIF(I130:XFD130,"&gt;"&amp;0)-1,$F$1)))</f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IF(C131="",0,IF(OR(C131=Country_Comparison!$S$10:$S$29),1,0))</f>
        <v>0</v>
      </c>
      <c r="C131" s="9" t="str">
        <f>IF(H131="","",H131)</f>
        <v/>
      </c>
      <c r="D131" s="6">
        <f>MAX(I131:KU131)</f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>IF(COUNTIF(I131:XFD131,"&gt;"&amp;0)=0,,(E131/F131)^(1/MIN(COUNTIF(I131:XFD131,"&gt;"&amp;0)-1,$F$1)))</f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IF(C132="",0,IF(OR(C132=Country_Comparison!$S$10:$S$29),1,0))</f>
        <v>0</v>
      </c>
      <c r="C132" s="9" t="str">
        <f>IF(H132="","",H132)</f>
        <v/>
      </c>
      <c r="D132" s="6">
        <f>MAX(I132:KU132)</f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>IF(COUNTIF(I132:XFD132,"&gt;"&amp;0)=0,,(E132/F132)^(1/MIN(COUNTIF(I132:XFD132,"&gt;"&amp;0)-1,$F$1)))</f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IF(C133="",0,IF(OR(C133=Country_Comparison!$S$10:$S$29),1,0))</f>
        <v>0</v>
      </c>
      <c r="C133" s="9" t="str">
        <f>IF(H133="","",H133)</f>
        <v/>
      </c>
      <c r="D133" s="6">
        <f>MAX(I133:KU133)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>IF(COUNTIF(I133:XFD133,"&gt;"&amp;0)=0,,(E133/F133)^(1/MIN(COUNTIF(I133:XFD133,"&gt;"&amp;0)-1,$F$1)))</f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IF(C134="",0,IF(OR(C134=Country_Comparison!$S$10:$S$29),1,0))</f>
        <v>0</v>
      </c>
      <c r="C134" s="9" t="str">
        <f>IF(H134="","",H134)</f>
        <v/>
      </c>
      <c r="D134" s="6">
        <f>MAX(I134:KU134)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IF(C135="",0,IF(OR(C135=Country_Comparison!$S$10:$S$29),1,0))</f>
        <v>0</v>
      </c>
      <c r="C135" s="9" t="str">
        <f>IF(H135="","",H135)</f>
        <v/>
      </c>
      <c r="D135" s="6">
        <f>MAX(I135:KU135)</f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>IF(COUNTIF(I135:XFD135,"&gt;"&amp;0)=0,,(E135/F135)^(1/MIN(COUNTIF(I135:XFD135,"&gt;"&amp;0)-1,$F$1)))</f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IF(C136="",0,IF(OR(C136=Country_Comparison!$S$10:$S$29),1,0))</f>
        <v>0</v>
      </c>
      <c r="C136" s="9" t="str">
        <f>IF(H136="","",H136)</f>
        <v/>
      </c>
      <c r="D136" s="6">
        <f>MAX(I136:KU136)</f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>IF(COUNTIF(I136:XFD136,"&gt;"&amp;0)=0,,(E136/F136)^(1/MIN(COUNTIF(I136:XFD136,"&gt;"&amp;0)-1,$F$1)))</f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IF(C137="",0,IF(OR(C137=Country_Comparison!$S$10:$S$29),1,0))</f>
        <v>0</v>
      </c>
      <c r="C137" s="9" t="str">
        <f>IF(H137="","",H137)</f>
        <v/>
      </c>
      <c r="D137" s="6">
        <f>MAX(I137:KU137)</f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>IF(COUNTIF(I137:XFD137,"&gt;"&amp;0)=0,,(E137/F137)^(1/MIN(COUNTIF(I137:XFD137,"&gt;"&amp;0)-1,$F$1)))</f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IF(C138="",0,IF(OR(C138=Country_Comparison!$S$10:$S$29),1,0))</f>
        <v>0</v>
      </c>
      <c r="C138" s="9" t="str">
        <f>IF(H138="","",H138)</f>
        <v/>
      </c>
      <c r="D138" s="6">
        <f>MAX(I138:KU138)</f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>IF(COUNTIF(I138:XFD138,"&gt;"&amp;0)=0,,(E138/F138)^(1/MIN(COUNTIF(I138:XFD138,"&gt;"&amp;0)-1,$F$1)))</f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IF(C139="",0,IF(OR(C139=Country_Comparison!$S$10:$S$29),1,0))</f>
        <v>0</v>
      </c>
      <c r="C139" s="9" t="str">
        <f>IF(H139="","",H139)</f>
        <v/>
      </c>
      <c r="D139" s="6">
        <f>MAX(I139:KU139)</f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>IF(COUNTIF(I139:XFD139,"&gt;"&amp;0)=0,,(E139/F139)^(1/MIN(COUNTIF(I139:XFD139,"&gt;"&amp;0)-1,$F$1)))</f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IF(C140="",0,IF(OR(C140=Country_Comparison!$S$10:$S$29),1,0))</f>
        <v>0</v>
      </c>
      <c r="C140" s="9" t="str">
        <f>IF(H140="","",H140)</f>
        <v/>
      </c>
      <c r="D140" s="6">
        <f>MAX(I140:KU140)</f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>IF(COUNTIF(I140:XFD140,"&gt;"&amp;0)=0,,(E140/F140)^(1/MIN(COUNTIF(I140:XFD140,"&gt;"&amp;0)-1,$F$1)))</f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IF(C141="",0,IF(OR(C141=Country_Comparison!$S$10:$S$29),1,0))</f>
        <v>0</v>
      </c>
      <c r="C141" s="9" t="str">
        <f>IF(H141="","",H141)</f>
        <v/>
      </c>
      <c r="D141" s="6">
        <f>MAX(I141:KU141)</f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>IF(COUNTIF(I141:XFD141,"&gt;"&amp;0)=0,,(E141/F141)^(1/MIN(COUNTIF(I141:XFD141,"&gt;"&amp;0)-1,$F$1)))</f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IF(C142="",0,IF(OR(C142=Country_Comparison!$S$10:$S$29),1,0))</f>
        <v>0</v>
      </c>
      <c r="C142" s="9" t="str">
        <f>IF(H142="","",H142)</f>
        <v/>
      </c>
      <c r="D142" s="6">
        <f>MAX(I142:KU142)</f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>IF(COUNTIF(I142:XFD142,"&gt;"&amp;0)=0,,(E142/F142)^(1/MIN(COUNTIF(I142:XFD142,"&gt;"&amp;0)-1,$F$1)))</f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IF(C143="",0,IF(OR(C143=Country_Comparison!$S$10:$S$29),1,0))</f>
        <v>0</v>
      </c>
      <c r="C143" s="9" t="str">
        <f>IF(H143="","",H143)</f>
        <v/>
      </c>
      <c r="D143" s="6">
        <f>MAX(I143:KU143)</f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>IF(COUNTIF(I143:XFD143,"&gt;"&amp;0)=0,,(E143/F143)^(1/MIN(COUNTIF(I143:XFD143,"&gt;"&amp;0)-1,$F$1)))</f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IF(C144="",0,IF(OR(C144=Country_Comparison!$S$10:$S$29),1,0))</f>
        <v>0</v>
      </c>
      <c r="C144" s="9" t="str">
        <f>IF(H144="","",H144)</f>
        <v/>
      </c>
      <c r="D144" s="6">
        <f>MAX(I144:KU144)</f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>IF(COUNTIF(I144:XFD144,"&gt;"&amp;0)=0,,(E144/F144)^(1/MIN(COUNTIF(I144:XFD144,"&gt;"&amp;0)-1,$F$1)))</f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IF(C145="",0,IF(OR(C145=Country_Comparison!$S$10:$S$29),1,0))</f>
        <v>0</v>
      </c>
      <c r="C145" s="9" t="str">
        <f>IF(H145="","",H145)</f>
        <v/>
      </c>
      <c r="D145" s="6">
        <f>MAX(I145:KU145)</f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>IF(COUNTIF(I145:XFD145,"&gt;"&amp;0)=0,,(E145/F145)^(1/MIN(COUNTIF(I145:XFD145,"&gt;"&amp;0)-1,$F$1)))</f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IF(C146="",0,IF(OR(C146=Country_Comparison!$S$10:$S$29),1,0))</f>
        <v>0</v>
      </c>
      <c r="C146" s="9" t="str">
        <f>IF(H146="","",H146)</f>
        <v/>
      </c>
      <c r="D146" s="6">
        <f>MAX(I146:KU146)</f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>IF(COUNTIF(I146:XFD146,"&gt;"&amp;0)=0,,(E146/F146)^(1/MIN(COUNTIF(I146:XFD146,"&gt;"&amp;0)-1,$F$1)))</f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IF(C147="",0,IF(OR(C147=Country_Comparison!$S$10:$S$29),1,0))</f>
        <v>0</v>
      </c>
      <c r="C147" s="9" t="str">
        <f>IF(H147="","",H147)</f>
        <v/>
      </c>
      <c r="D147" s="6">
        <f>MAX(I147:KU147)</f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>IF(COUNTIF(I147:XFD147,"&gt;"&amp;0)=0,,(E147/F147)^(1/MIN(COUNTIF(I147:XFD147,"&gt;"&amp;0)-1,$F$1)))</f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IF(C148="",0,IF(OR(C148=Country_Comparison!$S$10:$S$29),1,0))</f>
        <v>0</v>
      </c>
      <c r="C148" s="9" t="str">
        <f>IF(H148="","",H148)</f>
        <v/>
      </c>
      <c r="D148" s="6">
        <f>MAX(I148:KU148)</f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>IF(COUNTIF(I148:XFD148,"&gt;"&amp;0)=0,,(E148/F148)^(1/MIN(COUNTIF(I148:XFD148,"&gt;"&amp;0)-1,$F$1)))</f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IF(C149="",0,IF(OR(C149=Country_Comparison!$S$10:$S$29),1,0))</f>
        <v>0</v>
      </c>
      <c r="C149" s="9" t="str">
        <f>IF(H149="","",H149)</f>
        <v/>
      </c>
      <c r="D149" s="6">
        <f>MAX(I149:KU149)</f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>IF(COUNTIF(I149:XFD149,"&gt;"&amp;0)=0,,(E149/F149)^(1/MIN(COUNTIF(I149:XFD149,"&gt;"&amp;0)-1,$F$1)))</f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IF(C150="",0,IF(OR(C150=Country_Comparison!$S$10:$S$29),1,0))</f>
        <v>0</v>
      </c>
      <c r="C150" s="9" t="str">
        <f>IF(H150="","",H150)</f>
        <v/>
      </c>
      <c r="D150" s="6">
        <f>MAX(I150:KU150)</f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>IF(COUNTIF(I150:XFD150,"&gt;"&amp;0)=0,,(E150/F150)^(1/MIN(COUNTIF(I150:XFD150,"&gt;"&amp;0)-1,$F$1)))</f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IF(C151="",0,IF(OR(C151=Country_Comparison!$S$10:$S$29),1,0))</f>
        <v>0</v>
      </c>
      <c r="C151" s="9" t="str">
        <f>IF(H151="","",H151)</f>
        <v/>
      </c>
      <c r="D151" s="6">
        <f>MAX(I151:KU151)</f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>IF(COUNTIF(I151:XFD151,"&gt;"&amp;0)=0,,(E151/F151)^(1/MIN(COUNTIF(I151:XFD151,"&gt;"&amp;0)-1,$F$1)))</f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IF(C152="",0,IF(OR(C152=Country_Comparison!$S$10:$S$29),1,0))</f>
        <v>0</v>
      </c>
      <c r="C152" s="9" t="str">
        <f>IF(H152="","",H152)</f>
        <v/>
      </c>
      <c r="D152" s="6">
        <f>MAX(I152:KU152)</f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>IF(COUNTIF(I152:XFD152,"&gt;"&amp;0)=0,,(E152/F152)^(1/MIN(COUNTIF(I152:XFD152,"&gt;"&amp;0)-1,$F$1)))</f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IF(C153="",0,IF(OR(C153=Country_Comparison!$S$10:$S$29),1,0))</f>
        <v>0</v>
      </c>
      <c r="C153" s="9" t="str">
        <f>IF(H153="","",H153)</f>
        <v/>
      </c>
      <c r="D153" s="6">
        <f>MAX(I153:KU153)</f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>IF(COUNTIF(I153:XFD153,"&gt;"&amp;0)=0,,(E153/F153)^(1/MIN(COUNTIF(I153:XFD153,"&gt;"&amp;0)-1,$F$1)))</f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IF(C154="",0,IF(OR(C154=Country_Comparison!$S$10:$S$29),1,0))</f>
        <v>0</v>
      </c>
      <c r="C154" s="9" t="str">
        <f>IF(H154="","",H154)</f>
        <v/>
      </c>
      <c r="D154" s="6">
        <f>MAX(I154:KU154)</f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>IF(COUNTIF(I154:XFD154,"&gt;"&amp;0)=0,,(E154/F154)^(1/MIN(COUNTIF(I154:XFD154,"&gt;"&amp;0)-1,$F$1)))</f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IF(C155="",0,IF(OR(C155=Country_Comparison!$S$10:$S$29),1,0))</f>
        <v>0</v>
      </c>
      <c r="C155" s="9" t="str">
        <f>IF(H155="","",H155)</f>
        <v/>
      </c>
      <c r="D155" s="6">
        <f>MAX(I155:KU155)</f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>IF(COUNTIF(I155:XFD155,"&gt;"&amp;0)=0,,(E155/F155)^(1/MIN(COUNTIF(I155:XFD155,"&gt;"&amp;0)-1,$F$1)))</f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IF(C156="",0,IF(OR(C156=Country_Comparison!$S$10:$S$29),1,0))</f>
        <v>0</v>
      </c>
      <c r="C156" s="9" t="str">
        <f>IF(H156="","",H156)</f>
        <v/>
      </c>
      <c r="D156" s="6">
        <f>MAX(I156:KU156)</f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>IF(COUNTIF(I156:XFD156,"&gt;"&amp;0)=0,,(E156/F156)^(1/MIN(COUNTIF(I156:XFD156,"&gt;"&amp;0)-1,$F$1)))</f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IF(C157="",0,IF(OR(C157=Country_Comparison!$S$10:$S$29),1,0))</f>
        <v>0</v>
      </c>
      <c r="C157" s="9" t="str">
        <f>IF(H157="","",H157)</f>
        <v/>
      </c>
      <c r="D157" s="6">
        <f>MAX(I157:KU157)</f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>IF(COUNTIF(I157:XFD157,"&gt;"&amp;0)=0,,(E157/F157)^(1/MIN(COUNTIF(I157:XFD157,"&gt;"&amp;0)-1,$F$1)))</f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IF(C158="",0,IF(OR(C158=Country_Comparison!$S$10:$S$29),1,0))</f>
        <v>0</v>
      </c>
      <c r="C158" s="9" t="str">
        <f>IF(H158="","",H158)</f>
        <v/>
      </c>
      <c r="D158" s="6">
        <f>MAX(I158:KU158)</f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>IF(COUNTIF(I158:XFD158,"&gt;"&amp;0)=0,,(E158/F158)^(1/MIN(COUNTIF(I158:XFD158,"&gt;"&amp;0)-1,$F$1)))</f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IF(C159="",0,IF(OR(C159=Country_Comparison!$S$10:$S$29),1,0))</f>
        <v>0</v>
      </c>
      <c r="C159" s="9" t="str">
        <f>IF(H159="","",H159)</f>
        <v/>
      </c>
      <c r="D159" s="6">
        <f>MAX(I159:KU159)</f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>IF(COUNTIF(I159:XFD159,"&gt;"&amp;0)=0,,(E159/F159)^(1/MIN(COUNTIF(I159:XFD159,"&gt;"&amp;0)-1,$F$1)))</f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IF(C160="",0,IF(OR(C160=Country_Comparison!$S$10:$S$29),1,0))</f>
        <v>0</v>
      </c>
      <c r="C160" s="9" t="str">
        <f>IF(H160="","",H160)</f>
        <v/>
      </c>
      <c r="D160" s="6">
        <f>MAX(I160:KU160)</f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>IF(COUNTIF(I160:XFD160,"&gt;"&amp;0)=0,,(E160/F160)^(1/MIN(COUNTIF(I160:XFD160,"&gt;"&amp;0)-1,$F$1)))</f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IF(C161="",0,IF(OR(C161=Country_Comparison!$S$10:$S$29),1,0))</f>
        <v>0</v>
      </c>
      <c r="C161" s="9" t="str">
        <f>IF(H161="","",H161)</f>
        <v/>
      </c>
      <c r="D161" s="6">
        <f>MAX(I161:KU161)</f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>IF(COUNTIF(I161:XFD161,"&gt;"&amp;0)=0,,(E161/F161)^(1/MIN(COUNTIF(I161:XFD161,"&gt;"&amp;0)-1,$F$1)))</f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IF(C162="",0,IF(OR(C162=Country_Comparison!$S$10:$S$29),1,0))</f>
        <v>0</v>
      </c>
      <c r="C162" s="9" t="str">
        <f>IF(H162="","",H162)</f>
        <v/>
      </c>
      <c r="D162" s="6">
        <f>MAX(I162:KU162)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>IF(COUNTIF(I162:XFD162,"&gt;"&amp;0)=0,,(E162/F162)^(1/MIN(COUNTIF(I162:XFD162,"&gt;"&amp;0)-1,$F$1)))</f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IF(C163="",0,IF(OR(C163=Country_Comparison!$S$10:$S$29),1,0))</f>
        <v>0</v>
      </c>
      <c r="C163" s="9" t="str">
        <f>IF(H163="","",H163)</f>
        <v/>
      </c>
      <c r="D163" s="6">
        <f>MAX(I163:KU163)</f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>IF(COUNTIF(I163:XFD163,"&gt;"&amp;0)=0,,(E163/F163)^(1/MIN(COUNTIF(I163:XFD163,"&gt;"&amp;0)-1,$F$1)))</f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IF(C164="",0,IF(OR(C164=Country_Comparison!$S$10:$S$29),1,0))</f>
        <v>0</v>
      </c>
      <c r="C164" s="9" t="str">
        <f>IF(H164="","",H164)</f>
        <v/>
      </c>
      <c r="D164" s="6">
        <f>MAX(I164:KU164)</f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>IF(COUNTIF(I164:XFD164,"&gt;"&amp;0)=0,,(E164/F164)^(1/MIN(COUNTIF(I164:XFD164,"&gt;"&amp;0)-1,$F$1)))</f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IF(C165="",0,IF(OR(C165=Country_Comparison!$S$10:$S$29),1,0))</f>
        <v>0</v>
      </c>
      <c r="C165" s="9" t="str">
        <f>IF(H165="","",H165)</f>
        <v/>
      </c>
      <c r="D165" s="6">
        <f>MAX(I165:KU165)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>IF(COUNTIF(I165:XFD165,"&gt;"&amp;0)=0,,(E165/F165)^(1/MIN(COUNTIF(I165:XFD165,"&gt;"&amp;0)-1,$F$1)))</f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IF(C166="",0,IF(OR(C166=Country_Comparison!$S$10:$S$29),1,0))</f>
        <v>0</v>
      </c>
      <c r="C166" s="9" t="str">
        <f>IF(H166="","",H166)</f>
        <v/>
      </c>
      <c r="D166" s="6">
        <f>MAX(I166:KU166)</f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>IF(COUNTIF(I166:XFD166,"&gt;"&amp;0)=0,,(E166/F166)^(1/MIN(COUNTIF(I166:XFD166,"&gt;"&amp;0)-1,$F$1)))</f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IF(C167="",0,IF(OR(C167=Country_Comparison!$S$10:$S$29),1,0))</f>
        <v>0</v>
      </c>
      <c r="C167" s="9" t="str">
        <f>IF(H167="","",H167)</f>
        <v/>
      </c>
      <c r="D167" s="6">
        <f>MAX(I167:KU167)</f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>IF(COUNTIF(I167:XFD167,"&gt;"&amp;0)=0,,(E167/F167)^(1/MIN(COUNTIF(I167:XFD167,"&gt;"&amp;0)-1,$F$1)))</f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IF(C168="",0,IF(OR(C168=Country_Comparison!$S$10:$S$29),1,0))</f>
        <v>0</v>
      </c>
      <c r="C168" s="9" t="str">
        <f>IF(H168="","",H168)</f>
        <v/>
      </c>
      <c r="D168" s="6">
        <f>MAX(I168:KU168)</f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>IF(COUNTIF(I168:XFD168,"&gt;"&amp;0)=0,,(E168/F168)^(1/MIN(COUNTIF(I168:XFD168,"&gt;"&amp;0)-1,$F$1)))</f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IF(C169="",0,IF(OR(C169=Country_Comparison!$S$10:$S$29),1,0))</f>
        <v>0</v>
      </c>
      <c r="C169" s="9" t="str">
        <f>IF(H169="","",H169)</f>
        <v/>
      </c>
      <c r="D169" s="6">
        <f>MAX(I169:KU169)</f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>IF(COUNTIF(I169:XFD169,"&gt;"&amp;0)=0,,(E169/F169)^(1/MIN(COUNTIF(I169:XFD169,"&gt;"&amp;0)-1,$F$1)))</f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IF(C170="",0,IF(OR(C170=Country_Comparison!$S$10:$S$29),1,0))</f>
        <v>0</v>
      </c>
      <c r="C170" s="9" t="str">
        <f>IF(H170="","",H170)</f>
        <v/>
      </c>
      <c r="D170" s="6">
        <f>MAX(I170:KU170)</f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>IF(COUNTIF(I170:XFD170,"&gt;"&amp;0)=0,,(E170/F170)^(1/MIN(COUNTIF(I170:XFD170,"&gt;"&amp;0)-1,$F$1)))</f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IF(C171="",0,IF(OR(C171=Country_Comparison!$S$10:$S$29),1,0))</f>
        <v>0</v>
      </c>
      <c r="C171" s="9" t="str">
        <f>IF(H171="","",H171)</f>
        <v/>
      </c>
      <c r="D171" s="6">
        <f>MAX(I171:KU171)</f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>IF(COUNTIF(I171:XFD171,"&gt;"&amp;0)=0,,(E171/F171)^(1/MIN(COUNTIF(I171:XFD171,"&gt;"&amp;0)-1,$F$1)))</f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IF(C172="",0,IF(OR(C172=Country_Comparison!$S$10:$S$29),1,0))</f>
        <v>0</v>
      </c>
      <c r="C172" s="9" t="str">
        <f>IF(H172="","",H172)</f>
        <v/>
      </c>
      <c r="D172" s="6">
        <f>MAX(I172:KU172)</f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>IF(COUNTIF(I172:XFD172,"&gt;"&amp;0)=0,,(E172/F172)^(1/MIN(COUNTIF(I172:XFD172,"&gt;"&amp;0)-1,$F$1)))</f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IF(C173="",0,IF(OR(C173=Country_Comparison!$S$10:$S$29),1,0))</f>
        <v>0</v>
      </c>
      <c r="C173" s="9" t="str">
        <f>IF(H173="","",H173)</f>
        <v/>
      </c>
      <c r="D173" s="6">
        <f>MAX(I173:KU173)</f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>IF(COUNTIF(I173:XFD173,"&gt;"&amp;0)=0,,(E173/F173)^(1/MIN(COUNTIF(I173:XFD173,"&gt;"&amp;0)-1,$F$1)))</f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IF(C174="",0,IF(OR(C174=Country_Comparison!$S$10:$S$29),1,0))</f>
        <v>0</v>
      </c>
      <c r="C174" s="9" t="str">
        <f>IF(H174="","",H174)</f>
        <v/>
      </c>
      <c r="D174" s="6">
        <f>MAX(I174:KU174)</f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>IF(COUNTIF(I174:XFD174,"&gt;"&amp;0)=0,,(E174/F174)^(1/MIN(COUNTIF(I174:XFD174,"&gt;"&amp;0)-1,$F$1)))</f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IF(C175="",0,IF(OR(C175=Country_Comparison!$S$10:$S$29),1,0))</f>
        <v>0</v>
      </c>
      <c r="C175" s="9" t="str">
        <f>IF(H175="","",H175)</f>
        <v/>
      </c>
      <c r="D175" s="6">
        <f>MAX(I175:KU175)</f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>IF(COUNTIF(I175:XFD175,"&gt;"&amp;0)=0,,(E175/F175)^(1/MIN(COUNTIF(I175:XFD175,"&gt;"&amp;0)-1,$F$1)))</f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IF(C176="",0,IF(OR(C176=Country_Comparison!$S$10:$S$29),1,0))</f>
        <v>0</v>
      </c>
      <c r="C176" s="9" t="str">
        <f>IF(H176="","",H176)</f>
        <v/>
      </c>
      <c r="D176" s="6">
        <f>MAX(I176:KU176)</f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>IF(COUNTIF(I176:XFD176,"&gt;"&amp;0)=0,,(E176/F176)^(1/MIN(COUNTIF(I176:XFD176,"&gt;"&amp;0)-1,$F$1)))</f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IF(C177="",0,IF(OR(C177=Country_Comparison!$S$10:$S$29),1,0))</f>
        <v>0</v>
      </c>
      <c r="C177" s="9" t="str">
        <f>IF(H177="","",H177)</f>
        <v/>
      </c>
      <c r="D177" s="6">
        <f>MAX(I177:KU177)</f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>IF(COUNTIF(I177:XFD177,"&gt;"&amp;0)=0,,(E177/F177)^(1/MIN(COUNTIF(I177:XFD177,"&gt;"&amp;0)-1,$F$1)))</f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IF(C178="",0,IF(OR(C178=Country_Comparison!$S$10:$S$29),1,0))</f>
        <v>0</v>
      </c>
      <c r="C178" s="9" t="str">
        <f>IF(H178="","",H178)</f>
        <v/>
      </c>
      <c r="D178" s="6">
        <f>MAX(I178:KU178)</f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>IF(COUNTIF(I178:XFD178,"&gt;"&amp;0)=0,,(E178/F178)^(1/MIN(COUNTIF(I178:XFD178,"&gt;"&amp;0)-1,$F$1)))</f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IF(C179="",0,IF(OR(C179=Country_Comparison!$S$10:$S$29),1,0))</f>
        <v>0</v>
      </c>
      <c r="C179" s="9" t="str">
        <f>IF(H179="","",H179)</f>
        <v/>
      </c>
      <c r="D179" s="6">
        <f>MAX(I179:KU179)</f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>IF(COUNTIF(I179:XFD179,"&gt;"&amp;0)=0,,(E179/F179)^(1/MIN(COUNTIF(I179:XFD179,"&gt;"&amp;0)-1,$F$1)))</f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IF(C180="",0,IF(OR(C180=Country_Comparison!$S$10:$S$29),1,0))</f>
        <v>0</v>
      </c>
      <c r="C180" s="9" t="str">
        <f>IF(H180="","",H180)</f>
        <v/>
      </c>
      <c r="D180" s="6">
        <f>MAX(I180:KU180)</f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>IF(COUNTIF(I180:XFD180,"&gt;"&amp;0)=0,,(E180/F180)^(1/MIN(COUNTIF(I180:XFD180,"&gt;"&amp;0)-1,$F$1)))</f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IF(C181="",0,IF(OR(C181=Country_Comparison!$S$10:$S$29),1,0))</f>
        <v>0</v>
      </c>
      <c r="C181" s="9" t="str">
        <f>IF(H181="","",H181)</f>
        <v/>
      </c>
      <c r="D181" s="6">
        <f>MAX(I181:KU181)</f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>IF(COUNTIF(I181:XFD181,"&gt;"&amp;0)=0,,(E181/F181)^(1/MIN(COUNTIF(I181:XFD181,"&gt;"&amp;0)-1,$F$1)))</f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IF(C182="",0,IF(OR(C182=Country_Comparison!$S$10:$S$29),1,0))</f>
        <v>0</v>
      </c>
      <c r="C182" s="9" t="str">
        <f>IF(H182="","",H182)</f>
        <v/>
      </c>
      <c r="D182" s="6">
        <f>MAX(I182:KU182)</f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>IF(COUNTIF(I182:XFD182,"&gt;"&amp;0)=0,,(E182/F182)^(1/MIN(COUNTIF(I182:XFD182,"&gt;"&amp;0)-1,$F$1)))</f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IF(C183="",0,IF(OR(C183=Country_Comparison!$S$10:$S$29),1,0))</f>
        <v>0</v>
      </c>
      <c r="C183" s="9" t="str">
        <f>IF(H183="","",H183)</f>
        <v/>
      </c>
      <c r="D183" s="6">
        <f>MAX(I183:KU183)</f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>IF(COUNTIF(I183:XFD183,"&gt;"&amp;0)=0,,(E183/F183)^(1/MIN(COUNTIF(I183:XFD183,"&gt;"&amp;0)-1,$F$1)))</f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IF(C184="",0,IF(OR(C184=Country_Comparison!$S$10:$S$29),1,0))</f>
        <v>0</v>
      </c>
      <c r="C184" s="9" t="str">
        <f>IF(H184="","",H184)</f>
        <v/>
      </c>
      <c r="D184" s="6">
        <f>MAX(I184:KU184)</f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>IF(COUNTIF(I184:XFD184,"&gt;"&amp;0)=0,,(E184/F184)^(1/MIN(COUNTIF(I184:XFD184,"&gt;"&amp;0)-1,$F$1)))</f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IF(C185="",0,IF(OR(C185=Country_Comparison!$S$10:$S$29),1,0))</f>
        <v>0</v>
      </c>
      <c r="C185" s="9" t="str">
        <f>IF(H185="","",H185)</f>
        <v/>
      </c>
      <c r="D185" s="6">
        <f>MAX(I185:KU185)</f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>IF(COUNTIF(I185:XFD185,"&gt;"&amp;0)=0,,(E185/F185)^(1/MIN(COUNTIF(I185:XFD185,"&gt;"&amp;0)-1,$F$1)))</f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IF(C186="",0,IF(OR(C186=Country_Comparison!$S$10:$S$29),1,0))</f>
        <v>0</v>
      </c>
      <c r="C186" s="9" t="str">
        <f>IF(H186="","",H186)</f>
        <v/>
      </c>
      <c r="D186" s="6">
        <f>MAX(I186:KU186)</f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>IF(COUNTIF(I186:XFD186,"&gt;"&amp;0)=0,,(E186/F186)^(1/MIN(COUNTIF(I186:XFD186,"&gt;"&amp;0)-1,$F$1)))</f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IF(C187="",0,IF(OR(C187=Country_Comparison!$S$10:$S$29),1,0))</f>
        <v>0</v>
      </c>
      <c r="C187" s="9" t="str">
        <f>IF(H187="","",H187)</f>
        <v/>
      </c>
      <c r="D187" s="6">
        <f>MAX(I187:KU187)</f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>IF(COUNTIF(I187:XFD187,"&gt;"&amp;0)=0,,(E187/F187)^(1/MIN(COUNTIF(I187:XFD187,"&gt;"&amp;0)-1,$F$1)))</f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IF(C188="",0,IF(OR(C188=Country_Comparison!$S$10:$S$29),1,0))</f>
        <v>0</v>
      </c>
      <c r="C188" s="9" t="str">
        <f>IF(H188="","",H188)</f>
        <v/>
      </c>
      <c r="D188" s="6">
        <f>MAX(I188:KU188)</f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>IF(COUNTIF(I188:XFD188,"&gt;"&amp;0)=0,,(E188/F188)^(1/MIN(COUNTIF(I188:XFD188,"&gt;"&amp;0)-1,$F$1)))</f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IF(C189="",0,IF(OR(C189=Country_Comparison!$S$10:$S$29),1,0))</f>
        <v>0</v>
      </c>
      <c r="C189" s="9" t="str">
        <f>IF(H189="","",H189)</f>
        <v/>
      </c>
      <c r="D189" s="6">
        <f>MAX(I189:KU189)</f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>IF(COUNTIF(I189:XFD189,"&gt;"&amp;0)=0,,(E189/F189)^(1/MIN(COUNTIF(I189:XFD189,"&gt;"&amp;0)-1,$F$1)))</f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IF(C190="",0,IF(OR(C190=Country_Comparison!$S$10:$S$29),1,0))</f>
        <v>0</v>
      </c>
      <c r="C190" s="9" t="str">
        <f>IF(H190="","",H190)</f>
        <v/>
      </c>
      <c r="D190" s="6">
        <f>MAX(I190:KU190)</f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>IF(COUNTIF(I190:XFD190,"&gt;"&amp;0)=0,,(E190/F190)^(1/MIN(COUNTIF(I190:XFD190,"&gt;"&amp;0)-1,$F$1)))</f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IF(C191="",0,IF(OR(C191=Country_Comparison!$S$10:$S$29),1,0))</f>
        <v>0</v>
      </c>
      <c r="C191" s="9" t="str">
        <f>IF(H191="","",H191)</f>
        <v/>
      </c>
      <c r="D191" s="6">
        <f>MAX(I191:KU191)</f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>IF(COUNTIF(I191:XFD191,"&gt;"&amp;0)=0,,(E191/F191)^(1/MIN(COUNTIF(I191:XFD191,"&gt;"&amp;0)-1,$F$1)))</f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IF(C192="",0,IF(OR(C192=Country_Comparison!$S$10:$S$29),1,0))</f>
        <v>0</v>
      </c>
      <c r="C192" s="9" t="str">
        <f>IF(H192="","",H192)</f>
        <v/>
      </c>
      <c r="D192" s="6">
        <f>MAX(I192:KU192)</f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>IF(COUNTIF(I192:XFD192,"&gt;"&amp;0)=0,,(E192/F192)^(1/MIN(COUNTIF(I192:XFD192,"&gt;"&amp;0)-1,$F$1)))</f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IF(C193="",0,IF(OR(C193=Country_Comparison!$S$10:$S$29),1,0))</f>
        <v>0</v>
      </c>
      <c r="C193" s="9" t="str">
        <f>IF(H193="","",H193)</f>
        <v/>
      </c>
      <c r="D193" s="6">
        <f>MAX(I193:KU193)</f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>IF(COUNTIF(I193:XFD193,"&gt;"&amp;0)=0,,(E193/F193)^(1/MIN(COUNTIF(I193:XFD193,"&gt;"&amp;0)-1,$F$1)))</f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IF(C194="",0,IF(OR(C194=Country_Comparison!$S$10:$S$29),1,0))</f>
        <v>0</v>
      </c>
      <c r="C194" s="9" t="str">
        <f>IF(H194="","",H194)</f>
        <v/>
      </c>
      <c r="D194" s="6">
        <f>MAX(I194:KU194)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>IF(COUNTIF(I194:XFD194,"&gt;"&amp;0)=0,,(E194/F194)^(1/MIN(COUNTIF(I194:XFD194,"&gt;"&amp;0)-1,$F$1)))</f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IF(C195="",0,IF(OR(C195=Country_Comparison!$S$10:$S$29),1,0))</f>
        <v>0</v>
      </c>
      <c r="C195" s="9" t="str">
        <f>IF(H195="","",H195)</f>
        <v/>
      </c>
      <c r="D195" s="6">
        <f>MAX(I195:KU195)</f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>IF(COUNTIF(I195:XFD195,"&gt;"&amp;0)=0,,(E195/F195)^(1/MIN(COUNTIF(I195:XFD195,"&gt;"&amp;0)-1,$F$1)))</f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IF(C196="",0,IF(OR(C196=Country_Comparison!$S$10:$S$29),1,0))</f>
        <v>0</v>
      </c>
      <c r="C196" s="9" t="str">
        <f>IF(H196="","",H196)</f>
        <v/>
      </c>
      <c r="D196" s="6">
        <f>MAX(I196:KU196)</f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>IF(COUNTIF(I196:XFD196,"&gt;"&amp;0)=0,,(E196/F196)^(1/MIN(COUNTIF(I196:XFD196,"&gt;"&amp;0)-1,$F$1)))</f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IF(C197="",0,IF(OR(C197=Country_Comparison!$S$10:$S$29),1,0))</f>
        <v>0</v>
      </c>
      <c r="C197" s="9" t="str">
        <f>IF(H197="","",H197)</f>
        <v/>
      </c>
      <c r="D197" s="6">
        <f>MAX(I197:KU197)</f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>IF(COUNTIF(I197:XFD197,"&gt;"&amp;0)=0,,(E197/F197)^(1/MIN(COUNTIF(I197:XFD197,"&gt;"&amp;0)-1,$F$1)))</f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IF(C198="",0,IF(OR(C198=Country_Comparison!$S$10:$S$29),1,0))</f>
        <v>0</v>
      </c>
      <c r="C198" s="9" t="str">
        <f>IF(H198="","",H198)</f>
        <v/>
      </c>
      <c r="D198" s="6">
        <f>MAX(I198:KU198)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IF(C199="",0,IF(OR(C199=Country_Comparison!$S$10:$S$29),1,0))</f>
        <v>0</v>
      </c>
      <c r="C199" s="9" t="str">
        <f>IF(H199="","",H199)</f>
        <v/>
      </c>
      <c r="D199" s="6">
        <f>MAX(I199:KU199)</f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>IF(COUNTIF(I199:XFD199,"&gt;"&amp;0)=0,,(E199/F199)^(1/MIN(COUNTIF(I199:XFD199,"&gt;"&amp;0)-1,$F$1)))</f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IF(C200="",0,IF(OR(C200=Country_Comparison!$S$10:$S$29),1,0))</f>
        <v>0</v>
      </c>
      <c r="C200" s="9" t="str">
        <f>IF(H200="","",H200)</f>
        <v/>
      </c>
      <c r="D200" s="6">
        <f>MAX(I200:KU200)</f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>IF(COUNTIF(I200:XFD200,"&gt;"&amp;0)=0,,(E200/F200)^(1/MIN(COUNTIF(I200:XFD200,"&gt;"&amp;0)-1,$F$1)))</f>
        <v>0</v>
      </c>
    </row>
  </sheetData>
  <autoFilter ref="B1:CU1" xr:uid="{A13DDBA3-FED6-4D82-BBD5-9B71C68B67F1}">
    <sortState xmlns:xlrd2="http://schemas.microsoft.com/office/spreadsheetml/2017/richdata2" ref="B2:CU200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topLeftCell="A25" workbookViewId="0">
      <selection activeCell="A2" sqref="A2:K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>MAX(I2:CL2)</f>
        <v>9564322503.210743</v>
      </c>
      <c r="E2" s="6">
        <f>IF(COUNTIF(I2:XFD2,"&gt;"&amp;0)=0,,HLOOKUP(COUNTIF(I2:XFD2,"&gt;"&amp;0)-1,I$1:XFD2,A2+1,FALSE))</f>
        <v>9564322503.210743</v>
      </c>
      <c r="F2" s="7">
        <f>IF(COUNTIF(I2:XFD2,"&gt;"&amp;0)=0,,HLOOKUP(COUNTIF(I2:XFD2,"&gt;"&amp;0)-MIN($F$1+1,COUNTIF(I2:XFD2,"&gt;"&amp;0)),I$1:XFD2,A2+1,FALSE))</f>
        <v>1259499259.6820731</v>
      </c>
      <c r="G2" s="8">
        <f>IF(COUNTIF(I2:XFD2,"&gt;"&amp;0)=0,,(E2/F2)^(1/MIN(COUNTIF(I2:XFD2,"&gt;"&amp;0)-1,$F$1)))</f>
        <v>1.5</v>
      </c>
      <c r="H2" s="15" t="s">
        <v>430</v>
      </c>
      <c r="I2" s="9">
        <v>10</v>
      </c>
      <c r="J2" s="10">
        <f>I2*1.5</f>
        <v>15</v>
      </c>
      <c r="K2" s="10">
        <f>J2*1.5</f>
        <v>22.5</v>
      </c>
      <c r="L2" s="10">
        <f>K2*1.5</f>
        <v>33.75</v>
      </c>
      <c r="M2" s="10">
        <f>L2*1.5</f>
        <v>50.625</v>
      </c>
      <c r="N2" s="10">
        <f>M2*1.5</f>
        <v>75.9375</v>
      </c>
      <c r="O2" s="10">
        <f>N2*1.5</f>
        <v>113.90625</v>
      </c>
      <c r="P2" s="10">
        <f>O2*1.5</f>
        <v>170.859375</v>
      </c>
      <c r="Q2" s="10">
        <f>P2*1.5</f>
        <v>256.2890625</v>
      </c>
      <c r="R2" s="10">
        <f>Q2*1.5</f>
        <v>384.43359375</v>
      </c>
      <c r="S2" s="10">
        <f>R2*1.5</f>
        <v>576.650390625</v>
      </c>
      <c r="T2" s="10">
        <f>S2*1.5</f>
        <v>864.9755859375</v>
      </c>
      <c r="U2" s="10">
        <f>T2*1.5</f>
        <v>1297.46337890625</v>
      </c>
      <c r="V2" s="10">
        <f>U2*1.5</f>
        <v>1946.195068359375</v>
      </c>
      <c r="W2" s="10">
        <f>V2*1.5</f>
        <v>2919.2926025390625</v>
      </c>
      <c r="X2" s="10">
        <f>W2*1.5</f>
        <v>4378.9389038085938</v>
      </c>
      <c r="Y2" s="10">
        <f>X2*1.5</f>
        <v>6568.4083557128906</v>
      </c>
      <c r="Z2" s="10">
        <f>Y2*1.5</f>
        <v>9852.6125335693359</v>
      </c>
      <c r="AA2" s="10">
        <f>Z2*1.5</f>
        <v>14778.918800354004</v>
      </c>
      <c r="AB2" s="10">
        <f>AA2*1.5</f>
        <v>22168.378200531006</v>
      </c>
      <c r="AC2" s="10">
        <f>AB2*1.5</f>
        <v>33252.567300796509</v>
      </c>
      <c r="AD2" s="10">
        <f>AC2*1.5</f>
        <v>49878.850951194763</v>
      </c>
      <c r="AE2" s="10">
        <f>AD2*1.5</f>
        <v>74818.276426792145</v>
      </c>
      <c r="AF2" s="10">
        <f>AE2*1.5</f>
        <v>112227.41464018822</v>
      </c>
      <c r="AG2" s="10">
        <f>AF2*1.5</f>
        <v>168341.12196028233</v>
      </c>
      <c r="AH2" s="10">
        <f>AG2*1.5</f>
        <v>252511.68294042349</v>
      </c>
      <c r="AI2" s="10">
        <f>AH2*1.5</f>
        <v>378767.52441063523</v>
      </c>
      <c r="AJ2" s="10">
        <f>AI2*1.5</f>
        <v>568151.28661595285</v>
      </c>
      <c r="AK2" s="10">
        <f>AJ2*1.5</f>
        <v>852226.92992392927</v>
      </c>
      <c r="AL2" s="10">
        <f>AK2*1.5</f>
        <v>1278340.3948858939</v>
      </c>
      <c r="AM2" s="10">
        <f>AL2*1.5</f>
        <v>1917510.5923288409</v>
      </c>
      <c r="AN2" s="10">
        <f>AM2*1.5</f>
        <v>2876265.8884932613</v>
      </c>
      <c r="AO2" s="10">
        <f>AN2*1.5</f>
        <v>4314398.8327398915</v>
      </c>
      <c r="AP2" s="10">
        <f>AO2*1.5</f>
        <v>6471598.2491098372</v>
      </c>
      <c r="AQ2" s="10">
        <f>AP2*1.5</f>
        <v>9707397.3736647554</v>
      </c>
      <c r="AR2" s="10">
        <f>AQ2*1.5</f>
        <v>14561096.060497133</v>
      </c>
      <c r="AS2" s="10">
        <f>AR2*1.5</f>
        <v>21841644.090745699</v>
      </c>
      <c r="AT2" s="10">
        <f>AS2*1.5</f>
        <v>32762466.136118546</v>
      </c>
      <c r="AU2" s="10">
        <f>AT2*1.5</f>
        <v>49143699.204177819</v>
      </c>
      <c r="AV2" s="10">
        <f>AU2*1.5</f>
        <v>73715548.806266725</v>
      </c>
      <c r="AW2" s="10">
        <f>AV2*1.5</f>
        <v>110573323.20940009</v>
      </c>
      <c r="AX2" s="10">
        <f>AW2*1.5</f>
        <v>165859984.81410015</v>
      </c>
      <c r="AY2" s="10">
        <f>AX2*1.5</f>
        <v>248789977.22115022</v>
      </c>
      <c r="AZ2" s="10">
        <f>AY2*1.5</f>
        <v>373184965.83172536</v>
      </c>
      <c r="BA2" s="10">
        <f>AZ2*1.5</f>
        <v>559777448.74758804</v>
      </c>
      <c r="BB2" s="10">
        <f>BA2*1.5</f>
        <v>839666173.121382</v>
      </c>
      <c r="BC2" s="10">
        <f>BB2*1.5</f>
        <v>1259499259.6820731</v>
      </c>
      <c r="BD2" s="10">
        <f>BC2*1.5</f>
        <v>1889248889.5231097</v>
      </c>
      <c r="BE2" s="10">
        <f>BD2*1.5</f>
        <v>2833873334.2846646</v>
      </c>
      <c r="BF2" s="10">
        <f>BE2*1.5</f>
        <v>4250810001.4269972</v>
      </c>
      <c r="BG2" s="10">
        <f>BF2*1.5</f>
        <v>6376215002.1404953</v>
      </c>
      <c r="BH2" s="10">
        <f>BG2*1.5</f>
        <v>9564322503.210743</v>
      </c>
    </row>
    <row r="3" spans="1:307" x14ac:dyDescent="0.25">
      <c r="A3" s="9">
        <f>A2+1</f>
        <v>2</v>
      </c>
      <c r="B3" s="9">
        <v>1</v>
      </c>
      <c r="C3" s="9" t="str">
        <f>H3</f>
        <v>40% Daily Increase</v>
      </c>
      <c r="D3" s="6">
        <f>MAX(I3:CL3)</f>
        <v>283484827.35670036</v>
      </c>
      <c r="E3" s="6">
        <f>IF(COUNTIF(I3:XFD3,"&gt;"&amp;0)=0,,HLOOKUP(COUNTIF(I3:XFD3,"&gt;"&amp;0)-1,I$1:XFD3,A3+1,FALSE))</f>
        <v>283484827.35670036</v>
      </c>
      <c r="F3" s="7">
        <f>IF(COUNTIF(I3:XFD3,"&gt;"&amp;0)=0,,HLOOKUP(COUNTIF(I3:XFD3,"&gt;"&amp;0)-MIN($F$1+1,COUNTIF(I3:XFD3,"&gt;"&amp;0)),I$1:XFD3,A3+1,FALSE))</f>
        <v>52709590.378395244</v>
      </c>
      <c r="G3" s="8">
        <f>IF(COUNTIF(I3:XFD3,"&gt;"&amp;0)=0,,(E3/F3)^(1/MIN(COUNTIF(I3:XFD3,"&gt;"&amp;0)-1,$F$1)))</f>
        <v>1.4</v>
      </c>
      <c r="H3" s="15" t="s">
        <v>431</v>
      </c>
      <c r="I3" s="9">
        <v>10</v>
      </c>
      <c r="J3" s="10">
        <f>I3*1.4</f>
        <v>14</v>
      </c>
      <c r="K3" s="10">
        <f>J3*1.4</f>
        <v>19.599999999999998</v>
      </c>
      <c r="L3" s="10">
        <f>K3*1.4</f>
        <v>27.439999999999994</v>
      </c>
      <c r="M3" s="10">
        <f>L3*1.4</f>
        <v>38.41599999999999</v>
      </c>
      <c r="N3" s="10">
        <f>M3*1.4</f>
        <v>53.782399999999981</v>
      </c>
      <c r="O3" s="10">
        <f>N3*1.4</f>
        <v>75.295359999999974</v>
      </c>
      <c r="P3" s="10">
        <f>O3*1.4</f>
        <v>105.41350399999996</v>
      </c>
      <c r="Q3" s="10">
        <f>P3*1.4</f>
        <v>147.57890559999993</v>
      </c>
      <c r="R3" s="10">
        <f>Q3*1.4</f>
        <v>206.6104678399999</v>
      </c>
      <c r="S3" s="10">
        <f>R3*1.4</f>
        <v>289.25465497599981</v>
      </c>
      <c r="T3" s="10">
        <f>S3*1.4</f>
        <v>404.9565169663997</v>
      </c>
      <c r="U3" s="10">
        <f>T3*1.4</f>
        <v>566.93912375295952</v>
      </c>
      <c r="V3" s="10">
        <f>U3*1.4</f>
        <v>793.71477325414332</v>
      </c>
      <c r="W3" s="10">
        <f>V3*1.4</f>
        <v>1111.2006825558005</v>
      </c>
      <c r="X3" s="10">
        <f>W3*1.4</f>
        <v>1555.6809555781206</v>
      </c>
      <c r="Y3" s="10">
        <f>X3*1.4</f>
        <v>2177.9533378093688</v>
      </c>
      <c r="Z3" s="10">
        <f>Y3*1.4</f>
        <v>3049.1346729331162</v>
      </c>
      <c r="AA3" s="10">
        <f>Z3*1.4</f>
        <v>4268.7885421063629</v>
      </c>
      <c r="AB3" s="10">
        <f>AA3*1.4</f>
        <v>5976.3039589489081</v>
      </c>
      <c r="AC3" s="10">
        <f>AB3*1.4</f>
        <v>8366.8255425284715</v>
      </c>
      <c r="AD3" s="10">
        <f>AC3*1.4</f>
        <v>11713.555759539859</v>
      </c>
      <c r="AE3" s="10">
        <f>AD3*1.4</f>
        <v>16398.9780633558</v>
      </c>
      <c r="AF3" s="10">
        <f>AE3*1.4</f>
        <v>22958.56928869812</v>
      </c>
      <c r="AG3" s="10">
        <f>AF3*1.4</f>
        <v>32141.997004177367</v>
      </c>
      <c r="AH3" s="10">
        <f>AG3*1.4</f>
        <v>44998.795805848313</v>
      </c>
      <c r="AI3" s="10">
        <f>AH3*1.4</f>
        <v>62998.314128187631</v>
      </c>
      <c r="AJ3" s="10">
        <f>AI3*1.4</f>
        <v>88197.639779462683</v>
      </c>
      <c r="AK3" s="10">
        <f>AJ3*1.4</f>
        <v>123476.69569124775</v>
      </c>
      <c r="AL3" s="10">
        <f>AK3*1.4</f>
        <v>172867.37396774683</v>
      </c>
      <c r="AM3" s="10">
        <f>AL3*1.4</f>
        <v>242014.32355484553</v>
      </c>
      <c r="AN3" s="10">
        <f>AM3*1.4</f>
        <v>338820.05297678371</v>
      </c>
      <c r="AO3" s="10">
        <f>AN3*1.4</f>
        <v>474348.07416749717</v>
      </c>
      <c r="AP3" s="10">
        <f>AO3*1.4</f>
        <v>664087.30383449595</v>
      </c>
      <c r="AQ3" s="10">
        <f>AP3*1.4</f>
        <v>929722.22536829428</v>
      </c>
      <c r="AR3" s="10">
        <f>AQ3*1.4</f>
        <v>1301611.1155156118</v>
      </c>
      <c r="AS3" s="10">
        <f>AR3*1.4</f>
        <v>1822255.5617218565</v>
      </c>
      <c r="AT3" s="10">
        <f>AS3*1.4</f>
        <v>2551157.786410599</v>
      </c>
      <c r="AU3" s="10">
        <f>AT3*1.4</f>
        <v>3571620.9009748385</v>
      </c>
      <c r="AV3" s="10">
        <f>AU3*1.4</f>
        <v>5000269.2613647738</v>
      </c>
      <c r="AW3" s="10">
        <f>AV3*1.4</f>
        <v>7000376.9659106834</v>
      </c>
      <c r="AX3" s="10">
        <f>AW3*1.4</f>
        <v>9800527.7522749566</v>
      </c>
      <c r="AY3" s="10">
        <f>AX3*1.4</f>
        <v>13720738.853184938</v>
      </c>
      <c r="AZ3" s="10">
        <f>AY3*1.4</f>
        <v>19209034.394458912</v>
      </c>
      <c r="BA3" s="10">
        <f>AZ3*1.4</f>
        <v>26892648.152242474</v>
      </c>
      <c r="BB3" s="10">
        <f>BA3*1.4</f>
        <v>37649707.413139462</v>
      </c>
      <c r="BC3" s="10">
        <f>BB3*1.4</f>
        <v>52709590.378395244</v>
      </c>
      <c r="BD3" s="10">
        <f>BC3*1.4</f>
        <v>73793426.529753342</v>
      </c>
      <c r="BE3" s="10">
        <f>BD3*1.4</f>
        <v>103310797.14165467</v>
      </c>
      <c r="BF3" s="10">
        <f>BE3*1.4</f>
        <v>144635115.99831653</v>
      </c>
      <c r="BG3" s="10">
        <f>BF3*1.4</f>
        <v>202489162.39764312</v>
      </c>
      <c r="BH3" s="10">
        <f>BG3*1.4</f>
        <v>283484827.35670036</v>
      </c>
    </row>
    <row r="4" spans="1:307" x14ac:dyDescent="0.25">
      <c r="A4" s="9">
        <f>A3+1</f>
        <v>3</v>
      </c>
      <c r="B4" s="9">
        <v>1</v>
      </c>
      <c r="C4" s="9" t="str">
        <f>H4</f>
        <v>30% Daily Increase</v>
      </c>
      <c r="D4" s="6">
        <f>MAX(I4:CL4)</f>
        <v>6473079.8987286668</v>
      </c>
      <c r="E4" s="6">
        <f>IF(COUNTIF(I4:XFD4,"&gt;"&amp;0)=0,,HLOOKUP(COUNTIF(I4:XFD4,"&gt;"&amp;0)-1,I$1:XFD4,A4+1,FALSE))</f>
        <v>6473079.8987286668</v>
      </c>
      <c r="F4" s="7">
        <f>IF(COUNTIF(I4:XFD4,"&gt;"&amp;0)=0,,HLOOKUP(COUNTIF(I4:XFD4,"&gt;"&amp;0)-MIN($F$1+1,COUNTIF(I4:XFD4,"&gt;"&amp;0)),I$1:XFD4,A4+1,FALSE))</f>
        <v>1743388.6172722527</v>
      </c>
      <c r="G4" s="8">
        <f>IF(COUNTIF(I4:XFD4,"&gt;"&amp;0)=0,,(E4/F4)^(1/MIN(COUNTIF(I4:XFD4,"&gt;"&amp;0)-1,$F$1)))</f>
        <v>1.3</v>
      </c>
      <c r="H4" s="15" t="s">
        <v>432</v>
      </c>
      <c r="I4" s="9">
        <v>10</v>
      </c>
      <c r="J4" s="10">
        <f>I4*1.3</f>
        <v>13</v>
      </c>
      <c r="K4" s="10">
        <f>J4*1.3</f>
        <v>16.900000000000002</v>
      </c>
      <c r="L4" s="10">
        <f>K4*1.3</f>
        <v>21.970000000000002</v>
      </c>
      <c r="M4" s="10">
        <f>L4*1.3</f>
        <v>28.561000000000003</v>
      </c>
      <c r="N4" s="10">
        <f>M4*1.3</f>
        <v>37.129300000000008</v>
      </c>
      <c r="O4" s="10">
        <f>N4*1.3</f>
        <v>48.268090000000015</v>
      </c>
      <c r="P4" s="10">
        <f>O4*1.3</f>
        <v>62.748517000000021</v>
      </c>
      <c r="Q4" s="10">
        <f>P4*1.3</f>
        <v>81.573072100000033</v>
      </c>
      <c r="R4" s="10">
        <f>Q4*1.3</f>
        <v>106.04499373000004</v>
      </c>
      <c r="S4" s="10">
        <f>R4*1.3</f>
        <v>137.85849184900007</v>
      </c>
      <c r="T4" s="10">
        <f>S4*1.3</f>
        <v>179.21603940370011</v>
      </c>
      <c r="U4" s="10">
        <f>T4*1.3</f>
        <v>232.98085122481015</v>
      </c>
      <c r="V4" s="10">
        <f>U4*1.3</f>
        <v>302.87510659225319</v>
      </c>
      <c r="W4" s="10">
        <f>V4*1.3</f>
        <v>393.73763856992917</v>
      </c>
      <c r="X4" s="10">
        <f>W4*1.3</f>
        <v>511.85893014090794</v>
      </c>
      <c r="Y4" s="10">
        <f>X4*1.3</f>
        <v>665.4166091831803</v>
      </c>
      <c r="Z4" s="10">
        <f>Y4*1.3</f>
        <v>865.04159193813439</v>
      </c>
      <c r="AA4" s="10">
        <f>Z4*1.3</f>
        <v>1124.5540695195748</v>
      </c>
      <c r="AB4" s="10">
        <f>AA4*1.3</f>
        <v>1461.9202903754474</v>
      </c>
      <c r="AC4" s="10">
        <f>AB4*1.3</f>
        <v>1900.4963774880816</v>
      </c>
      <c r="AD4" s="10">
        <f>AC4*1.3</f>
        <v>2470.645290734506</v>
      </c>
      <c r="AE4" s="10">
        <f>AD4*1.3</f>
        <v>3211.8388779548582</v>
      </c>
      <c r="AF4" s="10">
        <f>AE4*1.3</f>
        <v>4175.3905413413158</v>
      </c>
      <c r="AG4" s="10">
        <f>AF4*1.3</f>
        <v>5428.0077037437104</v>
      </c>
      <c r="AH4" s="10">
        <f>AG4*1.3</f>
        <v>7056.410014866824</v>
      </c>
      <c r="AI4" s="10">
        <f>AH4*1.3</f>
        <v>9173.3330193268721</v>
      </c>
      <c r="AJ4" s="10">
        <f>AI4*1.3</f>
        <v>11925.332925124934</v>
      </c>
      <c r="AK4" s="10">
        <f>AJ4*1.3</f>
        <v>15502.932802662415</v>
      </c>
      <c r="AL4" s="10">
        <f>AK4*1.3</f>
        <v>20153.81264346114</v>
      </c>
      <c r="AM4" s="10">
        <f>AL4*1.3</f>
        <v>26199.956436499484</v>
      </c>
      <c r="AN4" s="10">
        <f>AM4*1.3</f>
        <v>34059.943367449334</v>
      </c>
      <c r="AO4" s="10">
        <f>AN4*1.3</f>
        <v>44277.926377684133</v>
      </c>
      <c r="AP4" s="10">
        <f>AO4*1.3</f>
        <v>57561.304290989377</v>
      </c>
      <c r="AQ4" s="10">
        <f>AP4*1.3</f>
        <v>74829.695578286191</v>
      </c>
      <c r="AR4" s="10">
        <f>AQ4*1.3</f>
        <v>97278.604251772049</v>
      </c>
      <c r="AS4" s="10">
        <f>AR4*1.3</f>
        <v>126462.18552730366</v>
      </c>
      <c r="AT4" s="10">
        <f>AS4*1.3</f>
        <v>164400.84118549476</v>
      </c>
      <c r="AU4" s="10">
        <f>AT4*1.3</f>
        <v>213721.0935411432</v>
      </c>
      <c r="AV4" s="10">
        <f>AU4*1.3</f>
        <v>277837.42160348617</v>
      </c>
      <c r="AW4" s="10">
        <f>AV4*1.3</f>
        <v>361188.64808453206</v>
      </c>
      <c r="AX4" s="10">
        <f>AW4*1.3</f>
        <v>469545.24250989169</v>
      </c>
      <c r="AY4" s="10">
        <f>AX4*1.3</f>
        <v>610408.81526285922</v>
      </c>
      <c r="AZ4" s="10">
        <f>AY4*1.3</f>
        <v>793531.45984171703</v>
      </c>
      <c r="BA4" s="10">
        <f>AZ4*1.3</f>
        <v>1031590.8977942322</v>
      </c>
      <c r="BB4" s="10">
        <f>BA4*1.3</f>
        <v>1341068.167132502</v>
      </c>
      <c r="BC4" s="10">
        <f>BB4*1.3</f>
        <v>1743388.6172722527</v>
      </c>
      <c r="BD4" s="10">
        <f>BC4*1.3</f>
        <v>2266405.2024539285</v>
      </c>
      <c r="BE4" s="10">
        <f>BD4*1.3</f>
        <v>2946326.7631901074</v>
      </c>
      <c r="BF4" s="10">
        <f>BE4*1.3</f>
        <v>3830224.7921471396</v>
      </c>
      <c r="BG4" s="10">
        <f>BF4*1.3</f>
        <v>4979292.2297912817</v>
      </c>
      <c r="BH4" s="10">
        <f>BG4*1.3</f>
        <v>6473079.8987286668</v>
      </c>
    </row>
    <row r="5" spans="1:307" x14ac:dyDescent="0.25">
      <c r="A5" s="9">
        <f>A4+1</f>
        <v>4</v>
      </c>
      <c r="B5" s="9">
        <f t="array" ref="B5">IF(C5="",0,IF(OR(C5=Country_Comparison!$S$10:$S$29),1,0))</f>
        <v>1</v>
      </c>
      <c r="C5" s="9" t="str">
        <f>IF(H5="","",H5)</f>
        <v>Italy</v>
      </c>
      <c r="D5" s="6">
        <f>MAX(I5:BD5)</f>
        <v>8215</v>
      </c>
      <c r="E5" s="6">
        <f>IF(COUNTIF(I5:XFD5,"&gt;"&amp;0)=0,,HLOOKUP(COUNTIF(I5:XFD5,"&gt;"&amp;0)-1,I$1:XFD5,A5+1,FALSE))</f>
        <v>8215</v>
      </c>
      <c r="F5" s="7">
        <f>IF(COUNTIF(I5:XFD5,"&gt;"&amp;0)=0,,HLOOKUP(COUNTIF(I5:XFD5,"&gt;"&amp;0)-MIN($F$1+1,COUNTIF(I5:XFD5,"&gt;"&amp;0)),I$1:XFD5,A5+1,FALSE))</f>
        <v>4825</v>
      </c>
      <c r="G5" s="8">
        <f>IF(COUNTIF(I5:XFD5,"&gt;"&amp;0)=0,,(E5/F5)^(1/MIN(COUNTIF(I5:XFD5,"&gt;"&amp;0)-1,$F$1)))</f>
        <v>1.1123002888908313</v>
      </c>
      <c r="H5" s="13" t="s">
        <v>58</v>
      </c>
      <c r="I5" s="9">
        <v>10</v>
      </c>
      <c r="J5" s="9">
        <v>12</v>
      </c>
      <c r="K5" s="9">
        <v>17</v>
      </c>
      <c r="L5" s="9">
        <v>21</v>
      </c>
      <c r="M5" s="9">
        <v>29</v>
      </c>
      <c r="N5" s="9">
        <v>34</v>
      </c>
      <c r="O5" s="9">
        <v>52</v>
      </c>
      <c r="P5" s="9">
        <v>79</v>
      </c>
      <c r="Q5" s="9">
        <v>107</v>
      </c>
      <c r="R5" s="9">
        <v>148</v>
      </c>
      <c r="S5" s="9">
        <v>197</v>
      </c>
      <c r="T5" s="9">
        <v>233</v>
      </c>
      <c r="U5" s="9">
        <v>366</v>
      </c>
      <c r="V5" s="9">
        <v>463</v>
      </c>
      <c r="W5" s="9">
        <v>631</v>
      </c>
      <c r="X5" s="9">
        <v>827</v>
      </c>
      <c r="Y5" s="9">
        <v>1016</v>
      </c>
      <c r="Z5" s="9">
        <v>1266</v>
      </c>
      <c r="AA5" s="9">
        <v>1441</v>
      </c>
      <c r="AB5" s="9">
        <v>1809</v>
      </c>
      <c r="AC5" s="9">
        <v>2158</v>
      </c>
      <c r="AD5" s="9">
        <v>2503</v>
      </c>
      <c r="AE5" s="9">
        <v>2978</v>
      </c>
      <c r="AF5" s="9">
        <v>3405</v>
      </c>
      <c r="AG5" s="9">
        <v>4032</v>
      </c>
      <c r="AH5" s="9">
        <v>4825</v>
      </c>
      <c r="AI5" s="9">
        <v>5476</v>
      </c>
      <c r="AJ5" s="9">
        <v>6077</v>
      </c>
      <c r="AK5" s="9">
        <v>6820</v>
      </c>
      <c r="AL5" s="9">
        <v>7503</v>
      </c>
      <c r="AM5" s="9">
        <v>8215</v>
      </c>
    </row>
    <row r="6" spans="1:307" x14ac:dyDescent="0.25">
      <c r="A6" s="9">
        <f>A5+1</f>
        <v>5</v>
      </c>
      <c r="B6" s="9">
        <f t="array" ref="B6">IF(C6="",0,IF(OR(C6=Country_Comparison!$S$10:$S$29),1,0))</f>
        <v>1</v>
      </c>
      <c r="C6" s="9" t="str">
        <f>IF(H6="","",H6)</f>
        <v>Spain</v>
      </c>
      <c r="D6" s="6">
        <f>MAX(I6:BD6)</f>
        <v>4365</v>
      </c>
      <c r="E6" s="6">
        <f>IF(COUNTIF(I6:XFD6,"&gt;"&amp;0)=0,,HLOOKUP(COUNTIF(I6:XFD6,"&gt;"&amp;0)-1,I$1:XFD6,A6+1,FALSE))</f>
        <v>4365</v>
      </c>
      <c r="F6" s="7">
        <f>IF(COUNTIF(I6:XFD6,"&gt;"&amp;0)=0,,HLOOKUP(COUNTIF(I6:XFD6,"&gt;"&amp;0)-MIN($F$1+1,COUNTIF(I6:XFD6,"&gt;"&amp;0)),I$1:XFD6,A6+1,FALSE))</f>
        <v>1375</v>
      </c>
      <c r="G6" s="8">
        <f>IF(COUNTIF(I6:XFD6,"&gt;"&amp;0)=0,,(E6/F6)^(1/MIN(COUNTIF(I6:XFD6,"&gt;"&amp;0)-1,$F$1)))</f>
        <v>1.2599006789604936</v>
      </c>
      <c r="H6" s="13" t="s">
        <v>60</v>
      </c>
      <c r="I6" s="9">
        <v>10</v>
      </c>
      <c r="J6" s="9">
        <v>17</v>
      </c>
      <c r="K6" s="9">
        <v>28</v>
      </c>
      <c r="L6" s="9">
        <v>35</v>
      </c>
      <c r="M6" s="9">
        <v>54</v>
      </c>
      <c r="N6" s="9">
        <v>86</v>
      </c>
      <c r="O6" s="9">
        <v>133</v>
      </c>
      <c r="P6" s="9">
        <v>195</v>
      </c>
      <c r="Q6" s="9">
        <v>289</v>
      </c>
      <c r="R6" s="9">
        <v>342</v>
      </c>
      <c r="S6" s="9">
        <v>533</v>
      </c>
      <c r="T6" s="9">
        <v>623</v>
      </c>
      <c r="U6" s="9">
        <v>830</v>
      </c>
      <c r="V6" s="9">
        <v>1043</v>
      </c>
      <c r="W6" s="9">
        <v>1375</v>
      </c>
      <c r="X6" s="9">
        <v>1772</v>
      </c>
      <c r="Y6" s="9">
        <v>2311</v>
      </c>
      <c r="Z6" s="9">
        <v>2808</v>
      </c>
      <c r="AA6" s="9">
        <v>3647</v>
      </c>
      <c r="AB6" s="9">
        <v>4365</v>
      </c>
    </row>
    <row r="7" spans="1:307" x14ac:dyDescent="0.25">
      <c r="A7" s="9">
        <f>A6+1</f>
        <v>6</v>
      </c>
      <c r="B7" s="9">
        <f t="array" ref="B7">IF(C7="",0,IF(OR(C7=Country_Comparison!$S$10:$S$29),1,0))</f>
        <v>1</v>
      </c>
      <c r="C7" s="9" t="str">
        <f>IF(H7="","",H7)</f>
        <v>China</v>
      </c>
      <c r="D7" s="6">
        <f>MAX(I7:BD7)</f>
        <v>3123</v>
      </c>
      <c r="E7" s="6">
        <f>IF(COUNTIF(I7:XFD7,"&gt;"&amp;0)=0,,HLOOKUP(COUNTIF(I7:XFD7,"&gt;"&amp;0)-1,I$1:XFD7,A7+1,FALSE))</f>
        <v>3291</v>
      </c>
      <c r="F7" s="7">
        <f>IF(COUNTIF(I7:XFD7,"&gt;"&amp;0)=0,,HLOOKUP(COUNTIF(I7:XFD7,"&gt;"&amp;0)-MIN($F$1+1,COUNTIF(I7:XFD7,"&gt;"&amp;0)),I$1:XFD7,A7+1,FALSE))</f>
        <v>3259</v>
      </c>
      <c r="G7" s="8">
        <f>IF(COUNTIF(I7:XFD7,"&gt;"&amp;0)=0,,(E7/F7)^(1/MIN(COUNTIF(I7:XFD7,"&gt;"&amp;0)-1,$F$1)))</f>
        <v>1.0019561247418256</v>
      </c>
      <c r="H7" s="13" t="s">
        <v>337</v>
      </c>
      <c r="I7" s="9">
        <v>17</v>
      </c>
      <c r="J7" s="9">
        <v>18</v>
      </c>
      <c r="K7" s="9">
        <v>26</v>
      </c>
      <c r="L7" s="9">
        <v>42</v>
      </c>
      <c r="M7" s="9">
        <v>56</v>
      </c>
      <c r="N7" s="9">
        <v>82</v>
      </c>
      <c r="O7" s="9">
        <v>131</v>
      </c>
      <c r="P7" s="9">
        <v>133</v>
      </c>
      <c r="Q7" s="9">
        <v>171</v>
      </c>
      <c r="R7" s="9">
        <v>213</v>
      </c>
      <c r="S7" s="9">
        <v>259</v>
      </c>
      <c r="T7" s="9">
        <v>361</v>
      </c>
      <c r="U7" s="9">
        <v>425</v>
      </c>
      <c r="V7" s="9">
        <v>491</v>
      </c>
      <c r="W7" s="9">
        <v>563</v>
      </c>
      <c r="X7" s="9">
        <v>633</v>
      </c>
      <c r="Y7" s="9">
        <v>718</v>
      </c>
      <c r="Z7" s="9">
        <v>805</v>
      </c>
      <c r="AA7" s="9">
        <v>905</v>
      </c>
      <c r="AB7" s="9">
        <v>1012</v>
      </c>
      <c r="AC7" s="9">
        <v>1112</v>
      </c>
      <c r="AD7" s="9">
        <v>1117</v>
      </c>
      <c r="AE7" s="9">
        <v>1369</v>
      </c>
      <c r="AF7" s="9">
        <v>1521</v>
      </c>
      <c r="AG7" s="9">
        <v>1663</v>
      </c>
      <c r="AH7" s="9">
        <v>1766</v>
      </c>
      <c r="AI7" s="9">
        <v>1864</v>
      </c>
      <c r="AJ7" s="9">
        <v>2003</v>
      </c>
      <c r="AK7" s="9">
        <v>2116</v>
      </c>
      <c r="AL7" s="9">
        <v>2238</v>
      </c>
      <c r="AM7" s="9">
        <v>2238</v>
      </c>
      <c r="AN7" s="9">
        <v>2443</v>
      </c>
      <c r="AO7" s="9">
        <v>2445</v>
      </c>
      <c r="AP7" s="9">
        <v>2595</v>
      </c>
      <c r="AQ7" s="9">
        <v>2665</v>
      </c>
      <c r="AR7" s="9">
        <v>2717</v>
      </c>
      <c r="AS7" s="9">
        <v>2746</v>
      </c>
      <c r="AT7" s="9">
        <v>2790</v>
      </c>
      <c r="AU7" s="9">
        <v>2837</v>
      </c>
      <c r="AV7" s="9">
        <v>2872</v>
      </c>
      <c r="AW7" s="9">
        <v>2914</v>
      </c>
      <c r="AX7" s="9">
        <v>2947</v>
      </c>
      <c r="AY7" s="9">
        <v>2983</v>
      </c>
      <c r="AZ7" s="9">
        <v>3015</v>
      </c>
      <c r="BA7" s="9">
        <v>3044</v>
      </c>
      <c r="BB7" s="9">
        <v>3072</v>
      </c>
      <c r="BC7" s="9">
        <v>3100</v>
      </c>
      <c r="BD7" s="9">
        <v>3123</v>
      </c>
      <c r="BE7" s="9">
        <v>3139</v>
      </c>
      <c r="BF7" s="9">
        <v>3161</v>
      </c>
      <c r="BG7" s="9">
        <v>3172</v>
      </c>
      <c r="BH7" s="9">
        <v>3180</v>
      </c>
      <c r="BI7" s="9">
        <v>3193</v>
      </c>
      <c r="BJ7" s="9">
        <v>3203</v>
      </c>
      <c r="BK7" s="9">
        <v>3217</v>
      </c>
      <c r="BL7" s="9">
        <v>3230</v>
      </c>
      <c r="BM7" s="9">
        <v>3241</v>
      </c>
      <c r="BN7" s="9">
        <v>3249</v>
      </c>
      <c r="BO7" s="9">
        <v>3253</v>
      </c>
      <c r="BP7" s="9">
        <v>3259</v>
      </c>
      <c r="BQ7" s="9">
        <v>3274</v>
      </c>
      <c r="BR7" s="9">
        <v>3274</v>
      </c>
      <c r="BS7" s="9">
        <v>3281</v>
      </c>
      <c r="BT7" s="9">
        <v>3285</v>
      </c>
      <c r="BU7" s="9">
        <v>3291</v>
      </c>
    </row>
    <row r="8" spans="1:307" x14ac:dyDescent="0.25">
      <c r="A8" s="9">
        <f>A7+1</f>
        <v>7</v>
      </c>
      <c r="B8" s="9">
        <f t="array" ref="B8">IF(C8="",0,IF(OR(C8=Country_Comparison!$S$10:$S$29),1,0))</f>
        <v>1</v>
      </c>
      <c r="C8" s="9" t="str">
        <f>IF(H8="","",H8)</f>
        <v>France</v>
      </c>
      <c r="D8" s="6">
        <f>MAX(I8:BD8)</f>
        <v>1698</v>
      </c>
      <c r="E8" s="6">
        <f>IF(COUNTIF(I8:XFD8,"&gt;"&amp;0)=0,,HLOOKUP(COUNTIF(I8:XFD8,"&gt;"&amp;0)-1,I$1:XFD8,A8+1,FALSE))</f>
        <v>1698</v>
      </c>
      <c r="F8" s="7">
        <f>IF(COUNTIF(I8:XFD8,"&gt;"&amp;0)=0,,HLOOKUP(COUNTIF(I8:XFD8,"&gt;"&amp;0)-MIN($F$1+1,COUNTIF(I8:XFD8,"&gt;"&amp;0)),I$1:XFD8,A8+1,FALSE))</f>
        <v>563</v>
      </c>
      <c r="G8" s="8">
        <f>IF(COUNTIF(I8:XFD8,"&gt;"&amp;0)=0,,(E8/F8)^(1/MIN(COUNTIF(I8:XFD8,"&gt;"&amp;0)-1,$F$1)))</f>
        <v>1.2470557185121525</v>
      </c>
      <c r="H8" s="13" t="s">
        <v>41</v>
      </c>
      <c r="I8" s="9">
        <v>9</v>
      </c>
      <c r="J8" s="9">
        <v>11</v>
      </c>
      <c r="K8" s="9">
        <v>19</v>
      </c>
      <c r="L8" s="9">
        <v>19</v>
      </c>
      <c r="M8" s="9">
        <v>33</v>
      </c>
      <c r="N8" s="9">
        <v>48</v>
      </c>
      <c r="O8" s="9">
        <v>61</v>
      </c>
      <c r="P8" s="9">
        <v>79</v>
      </c>
      <c r="Q8" s="9">
        <v>91</v>
      </c>
      <c r="R8" s="9">
        <v>127</v>
      </c>
      <c r="S8" s="9">
        <v>149</v>
      </c>
      <c r="T8" s="9">
        <v>175</v>
      </c>
      <c r="U8" s="9">
        <v>264</v>
      </c>
      <c r="V8" s="9">
        <v>372</v>
      </c>
      <c r="W8" s="9">
        <v>451</v>
      </c>
      <c r="X8" s="9">
        <v>563</v>
      </c>
      <c r="Y8" s="9">
        <v>676</v>
      </c>
      <c r="Z8" s="9">
        <v>862</v>
      </c>
      <c r="AA8" s="9">
        <v>1102</v>
      </c>
      <c r="AB8" s="9">
        <v>1333</v>
      </c>
      <c r="AC8" s="9">
        <v>1698</v>
      </c>
    </row>
    <row r="9" spans="1:307" x14ac:dyDescent="0.25">
      <c r="A9" s="9">
        <f>A8+1</f>
        <v>8</v>
      </c>
      <c r="B9" s="9">
        <f t="array" ref="B9">IF(C9="",0,IF(OR(C9=Country_Comparison!$S$10:$S$29),1,0))</f>
        <v>1</v>
      </c>
      <c r="C9" s="9" t="str">
        <f>IF(H9="","",H9)</f>
        <v>US</v>
      </c>
      <c r="D9" s="6">
        <f>MAX(I9:BD9)</f>
        <v>1209</v>
      </c>
      <c r="E9" s="6">
        <f>IF(COUNTIF(I9:XFD9,"&gt;"&amp;0)=0,,HLOOKUP(COUNTIF(I9:XFD9,"&gt;"&amp;0)-1,I$1:XFD9,A9+1,FALSE))</f>
        <v>1209</v>
      </c>
      <c r="F9" s="7">
        <f>IF(COUNTIF(I9:XFD9,"&gt;"&amp;0)=0,,HLOOKUP(COUNTIF(I9:XFD9,"&gt;"&amp;0)-MIN($F$1+1,COUNTIF(I9:XFD9,"&gt;"&amp;0)),I$1:XFD9,A9+1,FALSE))</f>
        <v>307</v>
      </c>
      <c r="G9" s="8">
        <f>IF(COUNTIF(I9:XFD9,"&gt;"&amp;0)=0,,(E9/F9)^(1/MIN(COUNTIF(I9:XFD9,"&gt;"&amp;0)-1,$F$1)))</f>
        <v>1.3153992353850437</v>
      </c>
      <c r="H9" s="13" t="s">
        <v>38</v>
      </c>
      <c r="I9" s="9">
        <v>11</v>
      </c>
      <c r="J9" s="9">
        <v>12</v>
      </c>
      <c r="K9" s="9">
        <v>14</v>
      </c>
      <c r="L9" s="9">
        <v>17</v>
      </c>
      <c r="M9" s="9">
        <v>21</v>
      </c>
      <c r="N9" s="9">
        <v>22</v>
      </c>
      <c r="O9" s="9">
        <v>28</v>
      </c>
      <c r="P9" s="9">
        <v>36</v>
      </c>
      <c r="Q9" s="9">
        <v>40</v>
      </c>
      <c r="R9" s="9">
        <v>47</v>
      </c>
      <c r="S9" s="9">
        <v>54</v>
      </c>
      <c r="T9" s="9">
        <v>63</v>
      </c>
      <c r="U9" s="9">
        <v>85</v>
      </c>
      <c r="V9" s="9">
        <v>108</v>
      </c>
      <c r="W9" s="9">
        <v>118</v>
      </c>
      <c r="X9" s="9">
        <v>200</v>
      </c>
      <c r="Y9" s="9">
        <v>244</v>
      </c>
      <c r="Z9" s="9">
        <v>307</v>
      </c>
      <c r="AA9" s="9">
        <v>417</v>
      </c>
      <c r="AB9" s="9">
        <v>557</v>
      </c>
      <c r="AC9" s="9">
        <v>706</v>
      </c>
      <c r="AD9" s="9">
        <v>942</v>
      </c>
      <c r="AE9" s="9">
        <v>1209</v>
      </c>
    </row>
    <row r="10" spans="1:307" x14ac:dyDescent="0.25">
      <c r="A10" s="9">
        <f>A9+1</f>
        <v>9</v>
      </c>
      <c r="B10" s="9">
        <f t="array" ref="B10">IF(C10="",0,IF(OR(C10=Country_Comparison!$S$10:$S$29),1,0))</f>
        <v>1</v>
      </c>
      <c r="C10" s="9" t="str">
        <f>IF(H10="","",H10)</f>
        <v>United Kingdom</v>
      </c>
      <c r="D10" s="6">
        <f>MAX(I10:BD10)</f>
        <v>580</v>
      </c>
      <c r="E10" s="6">
        <f>IF(COUNTIF(I10:XFD10,"&gt;"&amp;0)=0,,HLOOKUP(COUNTIF(I10:XFD10,"&gt;"&amp;0)-1,I$1:XFD10,A10+1,FALSE))</f>
        <v>580</v>
      </c>
      <c r="F10" s="7">
        <f>IF(COUNTIF(I10:XFD10,"&gt;"&amp;0)=0,,HLOOKUP(COUNTIF(I10:XFD10,"&gt;"&amp;0)-MIN($F$1+1,COUNTIF(I10:XFD10,"&gt;"&amp;0)),I$1:XFD10,A10+1,FALSE))</f>
        <v>234</v>
      </c>
      <c r="G10" s="8">
        <f>IF(COUNTIF(I10:XFD10,"&gt;"&amp;0)=0,,(E10/F10)^(1/MIN(COUNTIF(I10:XFD10,"&gt;"&amp;0)-1,$F$1)))</f>
        <v>1.1990641741051542</v>
      </c>
      <c r="H10" s="13" t="s">
        <v>349</v>
      </c>
      <c r="I10" s="9">
        <v>8</v>
      </c>
      <c r="J10" s="9">
        <v>10</v>
      </c>
      <c r="K10" s="9">
        <v>11</v>
      </c>
      <c r="L10" s="9">
        <v>21</v>
      </c>
      <c r="M10" s="9">
        <v>35</v>
      </c>
      <c r="N10" s="9">
        <v>56</v>
      </c>
      <c r="O10" s="9">
        <v>71</v>
      </c>
      <c r="P10" s="9">
        <v>104</v>
      </c>
      <c r="Q10" s="9">
        <v>138</v>
      </c>
      <c r="R10" s="9">
        <v>178</v>
      </c>
      <c r="S10" s="9">
        <v>234</v>
      </c>
      <c r="T10" s="9">
        <v>282</v>
      </c>
      <c r="U10" s="9">
        <v>336</v>
      </c>
      <c r="V10" s="9">
        <v>423</v>
      </c>
      <c r="W10" s="9">
        <v>466</v>
      </c>
      <c r="X10" s="9">
        <v>580</v>
      </c>
    </row>
    <row r="11" spans="1:307" x14ac:dyDescent="0.25">
      <c r="A11" s="9">
        <f>A10+1</f>
        <v>10</v>
      </c>
      <c r="B11" s="9">
        <f t="array" ref="B11">IF(C11="",0,IF(OR(C11=Country_Comparison!$S$10:$S$29),1,0))</f>
        <v>1</v>
      </c>
      <c r="C11" s="9" t="str">
        <f>IF(H11="","",H11)</f>
        <v>Germany</v>
      </c>
      <c r="D11" s="6">
        <f>MAX(I11:BD11)</f>
        <v>267</v>
      </c>
      <c r="E11" s="6">
        <f>IF(COUNTIF(I11:XFD11,"&gt;"&amp;0)=0,,HLOOKUP(COUNTIF(I11:XFD11,"&gt;"&amp;0)-1,I$1:XFD11,A11+1,FALSE))</f>
        <v>267</v>
      </c>
      <c r="F11" s="7">
        <f>IF(COUNTIF(I11:XFD11,"&gt;"&amp;0)=0,,HLOOKUP(COUNTIF(I11:XFD11,"&gt;"&amp;0)-MIN($F$1+1,COUNTIF(I11:XFD11,"&gt;"&amp;0)),I$1:XFD11,A11+1,FALSE))</f>
        <v>84</v>
      </c>
      <c r="G11" s="8">
        <f>IF(COUNTIF(I11:XFD11,"&gt;"&amp;0)=0,,(E11/F11)^(1/MIN(COUNTIF(I11:XFD11,"&gt;"&amp;0)-1,$F$1)))</f>
        <v>1.2602200794124603</v>
      </c>
      <c r="H11" s="15" t="s">
        <v>53</v>
      </c>
      <c r="I11" s="9">
        <v>9</v>
      </c>
      <c r="J11" s="9">
        <v>11</v>
      </c>
      <c r="K11" s="9">
        <v>17</v>
      </c>
      <c r="L11" s="9">
        <v>24</v>
      </c>
      <c r="M11" s="9">
        <v>28</v>
      </c>
      <c r="N11" s="9">
        <v>44</v>
      </c>
      <c r="O11" s="9">
        <v>67</v>
      </c>
      <c r="P11" s="9">
        <v>84</v>
      </c>
      <c r="Q11" s="9">
        <v>94</v>
      </c>
      <c r="R11" s="9">
        <v>123</v>
      </c>
      <c r="S11" s="9">
        <v>157</v>
      </c>
      <c r="T11" s="9">
        <v>206</v>
      </c>
      <c r="U11" s="9">
        <v>267</v>
      </c>
    </row>
    <row r="12" spans="1:307" x14ac:dyDescent="0.25">
      <c r="A12" s="9">
        <f>A11+1</f>
        <v>11</v>
      </c>
      <c r="B12" s="9">
        <f t="array" ref="B12">IF(C12="",0,IF(OR(C12=Country_Comparison!$S$10:$S$29),1,0))</f>
        <v>0</v>
      </c>
      <c r="C12" s="9" t="str">
        <f>IF(H12="","",H12)</f>
        <v>Europe</v>
      </c>
      <c r="D12" s="6">
        <f>MAX(I12:BD12)</f>
        <v>16470</v>
      </c>
      <c r="E12" s="6">
        <f>IF(COUNTIF(I12:XFD12,"&gt;"&amp;0)=0,,HLOOKUP(COUNTIF(I12:XFD12,"&gt;"&amp;0)-1,I$1:XFD12,A12+1,FALSE))</f>
        <v>16470</v>
      </c>
      <c r="F12" s="7">
        <f>IF(COUNTIF(I12:XFD12,"&gt;"&amp;0)=0,,HLOOKUP(COUNTIF(I12:XFD12,"&gt;"&amp;0)-MIN($F$1+1,COUNTIF(I12:XFD12,"&gt;"&amp;0)),I$1:XFD12,A12+1,FALSE))</f>
        <v>7499</v>
      </c>
      <c r="G12" s="8">
        <f>IF(COUNTIF(I12:XFD12,"&gt;"&amp;0)=0,,(E12/F12)^(1/MIN(COUNTIF(I12:XFD12,"&gt;"&amp;0)-1,$F$1)))</f>
        <v>1.1704100683511161</v>
      </c>
      <c r="H12" s="13" t="s">
        <v>609</v>
      </c>
      <c r="I12" s="9">
        <v>8</v>
      </c>
      <c r="J12" s="9">
        <v>11</v>
      </c>
      <c r="K12" s="9">
        <v>14</v>
      </c>
      <c r="L12" s="9">
        <v>19</v>
      </c>
      <c r="M12" s="9">
        <v>23</v>
      </c>
      <c r="N12" s="9">
        <v>31</v>
      </c>
      <c r="O12" s="9">
        <v>36</v>
      </c>
      <c r="P12" s="9">
        <v>55</v>
      </c>
      <c r="Q12" s="9">
        <v>85</v>
      </c>
      <c r="R12" s="9">
        <v>114</v>
      </c>
      <c r="S12" s="9">
        <v>160</v>
      </c>
      <c r="T12" s="9">
        <v>216</v>
      </c>
      <c r="U12" s="9">
        <v>259</v>
      </c>
      <c r="V12" s="9">
        <v>411</v>
      </c>
      <c r="W12" s="9">
        <v>522</v>
      </c>
      <c r="X12" s="9">
        <v>716</v>
      </c>
      <c r="Y12" s="9">
        <v>959</v>
      </c>
      <c r="Z12" s="9">
        <v>1198</v>
      </c>
      <c r="AA12" s="9">
        <v>1534</v>
      </c>
      <c r="AB12" s="9">
        <v>1812</v>
      </c>
      <c r="AC12" s="9">
        <v>2344</v>
      </c>
      <c r="AD12" s="9">
        <v>2804</v>
      </c>
      <c r="AE12" s="9">
        <v>3433</v>
      </c>
      <c r="AF12" s="9">
        <v>4160</v>
      </c>
      <c r="AG12" s="9">
        <v>5006</v>
      </c>
      <c r="AH12" s="9">
        <v>6065</v>
      </c>
      <c r="AI12" s="9">
        <v>7499</v>
      </c>
      <c r="AJ12" s="9">
        <v>8839</v>
      </c>
      <c r="AK12" s="9">
        <v>10371</v>
      </c>
      <c r="AL12" s="9">
        <v>12139</v>
      </c>
      <c r="AM12" s="9">
        <v>14236</v>
      </c>
      <c r="AN12" s="9">
        <v>16470</v>
      </c>
    </row>
    <row r="13" spans="1:307" x14ac:dyDescent="0.25">
      <c r="A13" s="9">
        <f>A12+1</f>
        <v>12</v>
      </c>
      <c r="B13" s="9">
        <f t="array" ref="B13">IF(C13="",0,IF(OR(C13=Country_Comparison!$S$10:$S$29),1,0))</f>
        <v>0</v>
      </c>
      <c r="C13" s="9" t="str">
        <f>IF(H13="","",H13)</f>
        <v>World</v>
      </c>
      <c r="D13" s="6">
        <f>MAX(I13:BD13)</f>
        <v>3982</v>
      </c>
      <c r="E13" s="6">
        <f>IF(COUNTIF(I13:XFD13,"&gt;"&amp;0)=0,,HLOOKUP(COUNTIF(I13:XFD13,"&gt;"&amp;0)-1,I$1:XFD13,A13+1,FALSE))</f>
        <v>23944</v>
      </c>
      <c r="F13" s="7">
        <f>IF(COUNTIF(I13:XFD13,"&gt;"&amp;0)=0,,HLOOKUP(COUNTIF(I13:XFD13,"&gt;"&amp;0)-MIN($F$1+1,COUNTIF(I13:XFD13,"&gt;"&amp;0)),I$1:XFD13,A13+1,FALSE))</f>
        <v>12961</v>
      </c>
      <c r="G13" s="8">
        <f>IF(COUNTIF(I13:XFD13,"&gt;"&amp;0)=0,,(E13/F13)^(1/MIN(COUNTIF(I13:XFD13,"&gt;"&amp;0)-1,$F$1)))</f>
        <v>1.1306069183466048</v>
      </c>
      <c r="H13" s="13" t="s">
        <v>606</v>
      </c>
      <c r="I13" s="9">
        <v>17</v>
      </c>
      <c r="J13" s="9">
        <v>18</v>
      </c>
      <c r="K13" s="9">
        <v>26</v>
      </c>
      <c r="L13" s="9">
        <v>42</v>
      </c>
      <c r="M13" s="9">
        <v>56</v>
      </c>
      <c r="N13" s="9">
        <v>82</v>
      </c>
      <c r="O13" s="9">
        <v>131</v>
      </c>
      <c r="P13" s="9">
        <v>133</v>
      </c>
      <c r="Q13" s="9">
        <v>171</v>
      </c>
      <c r="R13" s="9">
        <v>213</v>
      </c>
      <c r="S13" s="9">
        <v>259</v>
      </c>
      <c r="T13" s="9">
        <v>362</v>
      </c>
      <c r="U13" s="9">
        <v>426</v>
      </c>
      <c r="V13" s="9">
        <v>492</v>
      </c>
      <c r="W13" s="9">
        <v>564</v>
      </c>
      <c r="X13" s="9">
        <v>634</v>
      </c>
      <c r="Y13" s="9">
        <v>719</v>
      </c>
      <c r="Z13" s="9">
        <v>806</v>
      </c>
      <c r="AA13" s="9">
        <v>906</v>
      </c>
      <c r="AB13" s="9">
        <v>1013</v>
      </c>
      <c r="AC13" s="9">
        <v>1113</v>
      </c>
      <c r="AD13" s="9">
        <v>1118</v>
      </c>
      <c r="AE13" s="9">
        <v>1371</v>
      </c>
      <c r="AF13" s="9">
        <v>1523</v>
      </c>
      <c r="AG13" s="9">
        <v>1666</v>
      </c>
      <c r="AH13" s="9">
        <v>1770</v>
      </c>
      <c r="AI13" s="9">
        <v>1868</v>
      </c>
      <c r="AJ13" s="9">
        <v>2007</v>
      </c>
      <c r="AK13" s="9">
        <v>2122</v>
      </c>
      <c r="AL13" s="9">
        <v>2245</v>
      </c>
      <c r="AM13" s="9">
        <v>2249</v>
      </c>
      <c r="AN13" s="9">
        <v>2456</v>
      </c>
      <c r="AO13" s="9">
        <v>2466</v>
      </c>
      <c r="AP13" s="9">
        <v>2626</v>
      </c>
      <c r="AQ13" s="9">
        <v>2705</v>
      </c>
      <c r="AR13" s="9">
        <v>2766</v>
      </c>
      <c r="AS13" s="9">
        <v>2810</v>
      </c>
      <c r="AT13" s="9">
        <v>2866</v>
      </c>
      <c r="AU13" s="9">
        <v>2935</v>
      </c>
      <c r="AV13" s="9">
        <v>2990</v>
      </c>
      <c r="AW13" s="9">
        <v>3079</v>
      </c>
      <c r="AX13" s="9">
        <v>3154</v>
      </c>
      <c r="AY13" s="9">
        <v>3248</v>
      </c>
      <c r="AZ13" s="9">
        <v>3342</v>
      </c>
      <c r="BA13" s="9">
        <v>3454</v>
      </c>
      <c r="BB13" s="9">
        <v>3552</v>
      </c>
      <c r="BC13" s="9">
        <v>3796</v>
      </c>
      <c r="BD13" s="9">
        <v>3982</v>
      </c>
      <c r="BE13" s="9">
        <v>4256</v>
      </c>
      <c r="BF13" s="9">
        <v>4608</v>
      </c>
      <c r="BG13" s="9">
        <v>4948</v>
      </c>
      <c r="BH13" s="9">
        <v>5400</v>
      </c>
      <c r="BI13" s="9">
        <v>5812</v>
      </c>
      <c r="BJ13" s="9">
        <v>6483</v>
      </c>
      <c r="BK13" s="9">
        <v>7118</v>
      </c>
      <c r="BL13" s="9">
        <v>7938</v>
      </c>
      <c r="BM13" s="9">
        <v>8872</v>
      </c>
      <c r="BN13" s="9">
        <v>9987</v>
      </c>
      <c r="BO13" s="9">
        <v>11290</v>
      </c>
      <c r="BP13" s="9">
        <v>12961</v>
      </c>
      <c r="BQ13" s="9">
        <v>14638</v>
      </c>
      <c r="BR13" s="9">
        <v>16488</v>
      </c>
      <c r="BS13" s="9">
        <v>18605</v>
      </c>
      <c r="BT13" s="9">
        <v>21157</v>
      </c>
      <c r="BU13" s="9">
        <v>23944</v>
      </c>
    </row>
    <row r="14" spans="1:307" x14ac:dyDescent="0.25">
      <c r="A14" s="9">
        <f>A13+1</f>
        <v>13</v>
      </c>
      <c r="B14" s="9">
        <f t="array" ref="B14">IF(C14="",0,IF(OR(C14=Country_Comparison!$S$10:$S$29),1,0))</f>
        <v>0</v>
      </c>
      <c r="C14" s="9" t="str">
        <f>IF(H14="","",H14)</f>
        <v>Asia</v>
      </c>
      <c r="D14" s="6">
        <f>MAX(I14:BD14)</f>
        <v>3189</v>
      </c>
      <c r="E14" s="6">
        <f>IF(COUNTIF(I14:XFD14,"&gt;"&amp;0)=0,,HLOOKUP(COUNTIF(I14:XFD14,"&gt;"&amp;0)-1,I$1:XFD14,A14+1,FALSE))</f>
        <v>3664</v>
      </c>
      <c r="F14" s="7">
        <f>IF(COUNTIF(I14:XFD14,"&gt;"&amp;0)=0,,HLOOKUP(COUNTIF(I14:XFD14,"&gt;"&amp;0)-MIN($F$1+1,COUNTIF(I14:XFD14,"&gt;"&amp;0)),I$1:XFD14,A14+1,FALSE))</f>
        <v>3473</v>
      </c>
      <c r="G14" s="8">
        <f>IF(COUNTIF(I14:XFD14,"&gt;"&amp;0)=0,,(E14/F14)^(1/MIN(COUNTIF(I14:XFD14,"&gt;"&amp;0)-1,$F$1)))</f>
        <v>1.0107648632600443</v>
      </c>
      <c r="H14" s="13" t="s">
        <v>608</v>
      </c>
      <c r="I14" s="9">
        <v>17</v>
      </c>
      <c r="J14" s="9">
        <v>18</v>
      </c>
      <c r="K14" s="9">
        <v>26</v>
      </c>
      <c r="L14" s="9">
        <v>42</v>
      </c>
      <c r="M14" s="9">
        <v>56</v>
      </c>
      <c r="N14" s="9">
        <v>82</v>
      </c>
      <c r="O14" s="9">
        <v>131</v>
      </c>
      <c r="P14" s="9">
        <v>133</v>
      </c>
      <c r="Q14" s="9">
        <v>171</v>
      </c>
      <c r="R14" s="9">
        <v>213</v>
      </c>
      <c r="S14" s="9">
        <v>259</v>
      </c>
      <c r="T14" s="9">
        <v>362</v>
      </c>
      <c r="U14" s="9">
        <v>426</v>
      </c>
      <c r="V14" s="9">
        <v>492</v>
      </c>
      <c r="W14" s="9">
        <v>564</v>
      </c>
      <c r="X14" s="9">
        <v>634</v>
      </c>
      <c r="Y14" s="9">
        <v>719</v>
      </c>
      <c r="Z14" s="9">
        <v>806</v>
      </c>
      <c r="AA14" s="9">
        <v>906</v>
      </c>
      <c r="AB14" s="9">
        <v>1013</v>
      </c>
      <c r="AC14" s="9">
        <v>1113</v>
      </c>
      <c r="AD14" s="9">
        <v>1118</v>
      </c>
      <c r="AE14" s="9">
        <v>1371</v>
      </c>
      <c r="AF14" s="9">
        <v>1523</v>
      </c>
      <c r="AG14" s="9">
        <v>1665</v>
      </c>
      <c r="AH14" s="9">
        <v>1769</v>
      </c>
      <c r="AI14" s="9">
        <v>1867</v>
      </c>
      <c r="AJ14" s="9">
        <v>2006</v>
      </c>
      <c r="AK14" s="9">
        <v>2119</v>
      </c>
      <c r="AL14" s="9">
        <v>2242</v>
      </c>
      <c r="AM14" s="9">
        <v>2243</v>
      </c>
      <c r="AN14" s="9">
        <v>2448</v>
      </c>
      <c r="AO14" s="9">
        <v>2454</v>
      </c>
      <c r="AP14" s="9">
        <v>2606</v>
      </c>
      <c r="AQ14" s="9">
        <v>2678</v>
      </c>
      <c r="AR14" s="9">
        <v>2733</v>
      </c>
      <c r="AS14" s="9">
        <v>2765</v>
      </c>
      <c r="AT14" s="9">
        <v>2809</v>
      </c>
      <c r="AU14" s="9">
        <v>2860</v>
      </c>
      <c r="AV14" s="9">
        <v>2898</v>
      </c>
      <c r="AW14" s="9">
        <v>2951</v>
      </c>
      <c r="AX14" s="9">
        <v>2984</v>
      </c>
      <c r="AY14" s="9">
        <v>3027</v>
      </c>
      <c r="AZ14" s="9">
        <v>3059</v>
      </c>
      <c r="BA14" s="9">
        <v>3095</v>
      </c>
      <c r="BB14" s="9">
        <v>3125</v>
      </c>
      <c r="BC14" s="9">
        <v>3159</v>
      </c>
      <c r="BD14" s="9">
        <v>3189</v>
      </c>
      <c r="BE14" s="9">
        <v>3206</v>
      </c>
      <c r="BF14" s="9">
        <v>3241</v>
      </c>
      <c r="BG14" s="9">
        <v>3260</v>
      </c>
      <c r="BH14" s="9">
        <v>3279</v>
      </c>
      <c r="BI14" s="9">
        <v>3305</v>
      </c>
      <c r="BJ14" s="9">
        <v>3321</v>
      </c>
      <c r="BK14" s="9">
        <v>3341</v>
      </c>
      <c r="BL14" s="9">
        <v>3365</v>
      </c>
      <c r="BM14" s="9">
        <v>3401</v>
      </c>
      <c r="BN14" s="9">
        <v>3424</v>
      </c>
      <c r="BO14" s="9">
        <v>3450</v>
      </c>
      <c r="BP14" s="9">
        <v>3473</v>
      </c>
      <c r="BQ14" s="9">
        <v>3530</v>
      </c>
      <c r="BR14" s="9">
        <v>3549</v>
      </c>
      <c r="BS14" s="9">
        <v>3581</v>
      </c>
      <c r="BT14" s="9">
        <v>3610</v>
      </c>
      <c r="BU14" s="9">
        <v>3664</v>
      </c>
    </row>
    <row r="15" spans="1:307" x14ac:dyDescent="0.25">
      <c r="A15" s="9">
        <f>A14+1</f>
        <v>14</v>
      </c>
      <c r="B15" s="9">
        <f t="array" ref="B15">IF(C15="",0,IF(OR(C15=Country_Comparison!$S$10:$S$29),1,0))</f>
        <v>0</v>
      </c>
      <c r="C15" s="9" t="str">
        <f>IF(H15="","",H15)</f>
        <v>Middle East</v>
      </c>
      <c r="D15" s="6">
        <f>MAX(I15:BD15)</f>
        <v>2297</v>
      </c>
      <c r="E15" s="6">
        <f>IF(COUNTIF(I15:XFD15,"&gt;"&amp;0)=0,,HLOOKUP(COUNTIF(I15:XFD15,"&gt;"&amp;0)-1,I$1:XFD15,A15+1,FALSE))</f>
        <v>2297</v>
      </c>
      <c r="F15" s="7">
        <f>IF(COUNTIF(I15:XFD15,"&gt;"&amp;0)=0,,HLOOKUP(COUNTIF(I15:XFD15,"&gt;"&amp;0)-MIN($F$1+1,COUNTIF(I15:XFD15,"&gt;"&amp;0)),I$1:XFD15,A15+1,FALSE))</f>
        <v>1581</v>
      </c>
      <c r="G15" s="8">
        <f>IF(COUNTIF(I15:XFD15,"&gt;"&amp;0)=0,,(E15/F15)^(1/MIN(COUNTIF(I15:XFD15,"&gt;"&amp;0)-1,$F$1)))</f>
        <v>1.0775708265106132</v>
      </c>
      <c r="H15" s="13" t="s">
        <v>610</v>
      </c>
      <c r="I15" s="9">
        <v>8</v>
      </c>
      <c r="J15" s="9">
        <v>12</v>
      </c>
      <c r="K15" s="9">
        <v>16</v>
      </c>
      <c r="L15" s="9">
        <v>19</v>
      </c>
      <c r="M15" s="9">
        <v>26</v>
      </c>
      <c r="N15" s="9">
        <v>34</v>
      </c>
      <c r="O15" s="9">
        <v>43</v>
      </c>
      <c r="P15" s="9">
        <v>54</v>
      </c>
      <c r="Q15" s="9">
        <v>66</v>
      </c>
      <c r="R15" s="9">
        <v>77</v>
      </c>
      <c r="S15" s="9">
        <v>94</v>
      </c>
      <c r="T15" s="9">
        <v>109</v>
      </c>
      <c r="U15" s="9">
        <v>127</v>
      </c>
      <c r="V15" s="9">
        <v>149</v>
      </c>
      <c r="W15" s="9">
        <v>200</v>
      </c>
      <c r="X15" s="9">
        <v>243</v>
      </c>
      <c r="Y15" s="9">
        <v>299</v>
      </c>
      <c r="Z15" s="9">
        <v>364</v>
      </c>
      <c r="AA15" s="9">
        <v>440</v>
      </c>
      <c r="AB15" s="9">
        <v>526</v>
      </c>
      <c r="AC15" s="9">
        <v>624</v>
      </c>
      <c r="AD15" s="9">
        <v>737</v>
      </c>
      <c r="AE15" s="9">
        <v>867</v>
      </c>
      <c r="AF15" s="9">
        <v>1003</v>
      </c>
      <c r="AG15" s="9">
        <v>1151</v>
      </c>
      <c r="AH15" s="9">
        <v>1302</v>
      </c>
      <c r="AI15" s="9">
        <v>1457</v>
      </c>
      <c r="AJ15" s="9">
        <v>1581</v>
      </c>
      <c r="AK15" s="9">
        <v>1715</v>
      </c>
      <c r="AL15" s="9">
        <v>1845</v>
      </c>
      <c r="AM15" s="9">
        <v>1975</v>
      </c>
      <c r="AN15" s="9">
        <v>2127</v>
      </c>
      <c r="AO15" s="9">
        <v>2297</v>
      </c>
    </row>
    <row r="16" spans="1:307" x14ac:dyDescent="0.25">
      <c r="A16" s="9">
        <f>A15+1</f>
        <v>15</v>
      </c>
      <c r="B16" s="9">
        <f t="array" ref="B16">IF(C16="",0,IF(OR(C16=Country_Comparison!$S$10:$S$29),1,0))</f>
        <v>0</v>
      </c>
      <c r="C16" s="9" t="str">
        <f>IF(H16="","",H16)</f>
        <v>Iran</v>
      </c>
      <c r="D16" s="6">
        <f>MAX(I16:BD16)</f>
        <v>2234</v>
      </c>
      <c r="E16" s="6">
        <f>IF(COUNTIF(I16:XFD16,"&gt;"&amp;0)=0,,HLOOKUP(COUNTIF(I16:XFD16,"&gt;"&amp;0)-1,I$1:XFD16,A16+1,FALSE))</f>
        <v>2234</v>
      </c>
      <c r="F16" s="7">
        <f>IF(COUNTIF(I16:XFD16,"&gt;"&amp;0)=0,,HLOOKUP(COUNTIF(I16:XFD16,"&gt;"&amp;0)-MIN($F$1+1,COUNTIF(I16:XFD16,"&gt;"&amp;0)),I$1:XFD16,A16+1,FALSE))</f>
        <v>1556</v>
      </c>
      <c r="G16" s="8">
        <f>IF(COUNTIF(I16:XFD16,"&gt;"&amp;0)=0,,(E16/F16)^(1/MIN(COUNTIF(I16:XFD16,"&gt;"&amp;0)-1,$F$1)))</f>
        <v>1.0750154730147803</v>
      </c>
      <c r="H16" s="13" t="s">
        <v>338</v>
      </c>
      <c r="I16" s="9">
        <v>8</v>
      </c>
      <c r="J16" s="9">
        <v>12</v>
      </c>
      <c r="K16" s="9">
        <v>16</v>
      </c>
      <c r="L16" s="9">
        <v>19</v>
      </c>
      <c r="M16" s="9">
        <v>26</v>
      </c>
      <c r="N16" s="9">
        <v>34</v>
      </c>
      <c r="O16" s="9">
        <v>43</v>
      </c>
      <c r="P16" s="9">
        <v>54</v>
      </c>
      <c r="Q16" s="9">
        <v>66</v>
      </c>
      <c r="R16" s="9">
        <v>77</v>
      </c>
      <c r="S16" s="9">
        <v>92</v>
      </c>
      <c r="T16" s="9">
        <v>107</v>
      </c>
      <c r="U16" s="9">
        <v>124</v>
      </c>
      <c r="V16" s="9">
        <v>145</v>
      </c>
      <c r="W16" s="9">
        <v>194</v>
      </c>
      <c r="X16" s="9">
        <v>237</v>
      </c>
      <c r="Y16" s="9">
        <v>291</v>
      </c>
      <c r="Z16" s="9">
        <v>354</v>
      </c>
      <c r="AA16" s="9">
        <v>429</v>
      </c>
      <c r="AB16" s="9">
        <v>514</v>
      </c>
      <c r="AC16" s="9">
        <v>611</v>
      </c>
      <c r="AD16" s="9">
        <v>724</v>
      </c>
      <c r="AE16" s="9">
        <v>853</v>
      </c>
      <c r="AF16" s="9">
        <v>988</v>
      </c>
      <c r="AG16" s="9">
        <v>1135</v>
      </c>
      <c r="AH16" s="9">
        <v>1284</v>
      </c>
      <c r="AI16" s="9">
        <v>1433</v>
      </c>
      <c r="AJ16" s="9">
        <v>1556</v>
      </c>
      <c r="AK16" s="9">
        <v>1685</v>
      </c>
      <c r="AL16" s="9">
        <v>1812</v>
      </c>
      <c r="AM16" s="9">
        <v>1934</v>
      </c>
      <c r="AN16" s="9">
        <v>2077</v>
      </c>
      <c r="AO16" s="9">
        <v>2234</v>
      </c>
    </row>
    <row r="17" spans="1:40" x14ac:dyDescent="0.25">
      <c r="A17" s="9">
        <f>A16+1</f>
        <v>16</v>
      </c>
      <c r="B17" s="9">
        <f t="array" ref="B17">IF(C17="",0,IF(OR(C17=Country_Comparison!$S$10:$S$29),1,0))</f>
        <v>0</v>
      </c>
      <c r="C17" s="9" t="str">
        <f>IF(H17="","",H17)</f>
        <v>North America</v>
      </c>
      <c r="D17" s="6">
        <f>MAX(I17:BD17)</f>
        <v>1266</v>
      </c>
      <c r="E17" s="6">
        <f>IF(COUNTIF(I17:XFD17,"&gt;"&amp;0)=0,,HLOOKUP(COUNTIF(I17:XFD17,"&gt;"&amp;0)-1,I$1:XFD17,A17+1,FALSE))</f>
        <v>1266</v>
      </c>
      <c r="F17" s="7">
        <f>IF(COUNTIF(I17:XFD17,"&gt;"&amp;0)=0,,HLOOKUP(COUNTIF(I17:XFD17,"&gt;"&amp;0)-MIN($F$1+1,COUNTIF(I17:XFD17,"&gt;"&amp;0)),I$1:XFD17,A17+1,FALSE))</f>
        <v>333</v>
      </c>
      <c r="G17" s="8">
        <f>IF(COUNTIF(I17:XFD17,"&gt;"&amp;0)=0,,(E17/F17)^(1/MIN(COUNTIF(I17:XFD17,"&gt;"&amp;0)-1,$F$1)))</f>
        <v>1.3061645555138841</v>
      </c>
      <c r="H17" s="13" t="s">
        <v>611</v>
      </c>
      <c r="I17" s="9">
        <v>11</v>
      </c>
      <c r="J17" s="9">
        <v>12</v>
      </c>
      <c r="K17" s="9">
        <v>14</v>
      </c>
      <c r="L17" s="9">
        <v>17</v>
      </c>
      <c r="M17" s="9">
        <v>21</v>
      </c>
      <c r="N17" s="9">
        <v>23</v>
      </c>
      <c r="O17" s="9">
        <v>29</v>
      </c>
      <c r="P17" s="9">
        <v>38</v>
      </c>
      <c r="Q17" s="9">
        <v>42</v>
      </c>
      <c r="R17" s="9">
        <v>49</v>
      </c>
      <c r="S17" s="9">
        <v>56</v>
      </c>
      <c r="T17" s="9">
        <v>65</v>
      </c>
      <c r="U17" s="9">
        <v>90</v>
      </c>
      <c r="V17" s="9">
        <v>114</v>
      </c>
      <c r="W17" s="9">
        <v>128</v>
      </c>
      <c r="X17" s="9">
        <v>214</v>
      </c>
      <c r="Y17" s="9">
        <v>261</v>
      </c>
      <c r="Z17" s="9">
        <v>333</v>
      </c>
      <c r="AA17" s="9">
        <v>447</v>
      </c>
      <c r="AB17" s="9">
        <v>595</v>
      </c>
      <c r="AC17" s="9">
        <v>746</v>
      </c>
      <c r="AD17" s="9">
        <v>989</v>
      </c>
      <c r="AE17" s="9">
        <v>1266</v>
      </c>
    </row>
    <row r="18" spans="1:40" x14ac:dyDescent="0.25">
      <c r="A18" s="9">
        <f>A17+1</f>
        <v>17</v>
      </c>
      <c r="B18" s="9">
        <f t="array" ref="B18">IF(C18="",0,IF(OR(C18=Country_Comparison!$S$10:$S$29),1,0))</f>
        <v>0</v>
      </c>
      <c r="C18" s="9" t="str">
        <f>IF(H18="","",H18)</f>
        <v>Netherlands</v>
      </c>
      <c r="D18" s="6">
        <f>MAX(I18:BD18)</f>
        <v>435</v>
      </c>
      <c r="E18" s="6">
        <f>IF(COUNTIF(I18:XFD18,"&gt;"&amp;0)=0,,HLOOKUP(COUNTIF(I18:XFD18,"&gt;"&amp;0)-1,I$1:XFD18,A18+1,FALSE))</f>
        <v>435</v>
      </c>
      <c r="F18" s="7">
        <f>IF(COUNTIF(I18:XFD18,"&gt;"&amp;0)=0,,HLOOKUP(COUNTIF(I18:XFD18,"&gt;"&amp;0)-MIN($F$1+1,COUNTIF(I18:XFD18,"&gt;"&amp;0)),I$1:XFD18,A18+1,FALSE))</f>
        <v>137</v>
      </c>
      <c r="G18" s="8">
        <f>IF(COUNTIF(I18:XFD18,"&gt;"&amp;0)=0,,(E18/F18)^(1/MIN(COUNTIF(I18:XFD18,"&gt;"&amp;0)-1,$F$1)))</f>
        <v>1.259951239055322</v>
      </c>
      <c r="H18" s="13" t="s">
        <v>89</v>
      </c>
      <c r="I18" s="9">
        <v>10</v>
      </c>
      <c r="J18" s="9">
        <v>12</v>
      </c>
      <c r="K18" s="9">
        <v>20</v>
      </c>
      <c r="L18" s="9">
        <v>24</v>
      </c>
      <c r="M18" s="9">
        <v>43</v>
      </c>
      <c r="N18" s="9">
        <v>58</v>
      </c>
      <c r="O18" s="9">
        <v>77</v>
      </c>
      <c r="P18" s="9">
        <v>107</v>
      </c>
      <c r="Q18" s="9">
        <v>137</v>
      </c>
      <c r="R18" s="9">
        <v>180</v>
      </c>
      <c r="S18" s="9">
        <v>214</v>
      </c>
      <c r="T18" s="9">
        <v>277</v>
      </c>
      <c r="U18" s="9">
        <v>357</v>
      </c>
      <c r="V18" s="9">
        <v>435</v>
      </c>
    </row>
    <row r="19" spans="1:40" x14ac:dyDescent="0.25">
      <c r="A19" s="9">
        <f>A18+1</f>
        <v>18</v>
      </c>
      <c r="B19" s="9">
        <f t="array" ref="B19">IF(C19="",0,IF(OR(C19=Country_Comparison!$S$10:$S$29),1,0))</f>
        <v>0</v>
      </c>
      <c r="C19" s="9" t="str">
        <f>IF(H19="","",H19)</f>
        <v>Belgium</v>
      </c>
      <c r="D19" s="6">
        <f>MAX(I19:BD19)</f>
        <v>220</v>
      </c>
      <c r="E19" s="6">
        <f>IF(COUNTIF(I19:XFD19,"&gt;"&amp;0)=0,,HLOOKUP(COUNTIF(I19:XFD19,"&gt;"&amp;0)-1,I$1:XFD19,A19+1,FALSE))</f>
        <v>220</v>
      </c>
      <c r="F19" s="7">
        <f>IF(COUNTIF(I19:XFD19,"&gt;"&amp;0)=0,,HLOOKUP(COUNTIF(I19:XFD19,"&gt;"&amp;0)-MIN($F$1+1,COUNTIF(I19:XFD19,"&gt;"&amp;0)),I$1:XFD19,A19+1,FALSE))</f>
        <v>67</v>
      </c>
      <c r="G19" s="8">
        <f>IF(COUNTIF(I19:XFD19,"&gt;"&amp;0)=0,,(E19/F19)^(1/MIN(COUNTIF(I19:XFD19,"&gt;"&amp;0)-1,$F$1)))</f>
        <v>1.268438968015827</v>
      </c>
      <c r="H19" s="13" t="s">
        <v>63</v>
      </c>
      <c r="I19" s="9">
        <v>10</v>
      </c>
      <c r="J19" s="9">
        <v>14</v>
      </c>
      <c r="K19" s="9">
        <v>21</v>
      </c>
      <c r="L19" s="9">
        <v>37</v>
      </c>
      <c r="M19" s="9">
        <v>67</v>
      </c>
      <c r="N19" s="9">
        <v>75</v>
      </c>
      <c r="O19" s="9">
        <v>88</v>
      </c>
      <c r="P19" s="9">
        <v>122</v>
      </c>
      <c r="Q19" s="9">
        <v>178</v>
      </c>
      <c r="R19" s="9">
        <v>220</v>
      </c>
    </row>
    <row r="20" spans="1:40" x14ac:dyDescent="0.25">
      <c r="A20" s="9">
        <f>A19+1</f>
        <v>19</v>
      </c>
      <c r="B20" s="9">
        <f t="array" ref="B20">IF(C20="",0,IF(OR(C20=Country_Comparison!$S$10:$S$29),1,0))</f>
        <v>0</v>
      </c>
      <c r="C20" s="9" t="str">
        <f>IF(H20="","",H20)</f>
        <v>Switzerland</v>
      </c>
      <c r="D20" s="6">
        <f>MAX(I20:BD20)</f>
        <v>191</v>
      </c>
      <c r="E20" s="6">
        <f>IF(COUNTIF(I20:XFD20,"&gt;"&amp;0)=0,,HLOOKUP(COUNTIF(I20:XFD20,"&gt;"&amp;0)-1,I$1:XFD20,A20+1,FALSE))</f>
        <v>191</v>
      </c>
      <c r="F20" s="7">
        <f>IF(COUNTIF(I20:XFD20,"&gt;"&amp;0)=0,,HLOOKUP(COUNTIF(I20:XFD20,"&gt;"&amp;0)-MIN($F$1+1,COUNTIF(I20:XFD20,"&gt;"&amp;0)),I$1:XFD20,A20+1,FALSE))</f>
        <v>75</v>
      </c>
      <c r="G20" s="8">
        <f>IF(COUNTIF(I20:XFD20,"&gt;"&amp;0)=0,,(E20/F20)^(1/MIN(COUNTIF(I20:XFD20,"&gt;"&amp;0)-1,$F$1)))</f>
        <v>1.20557552002444</v>
      </c>
      <c r="H20" s="13" t="s">
        <v>77</v>
      </c>
      <c r="I20" s="9">
        <v>11</v>
      </c>
      <c r="J20" s="9">
        <v>13</v>
      </c>
      <c r="K20" s="9">
        <v>14</v>
      </c>
      <c r="L20" s="9">
        <v>14</v>
      </c>
      <c r="M20" s="9">
        <v>27</v>
      </c>
      <c r="N20" s="9">
        <v>28</v>
      </c>
      <c r="O20" s="9">
        <v>41</v>
      </c>
      <c r="P20" s="9">
        <v>54</v>
      </c>
      <c r="Q20" s="9">
        <v>75</v>
      </c>
      <c r="R20" s="9">
        <v>98</v>
      </c>
      <c r="S20" s="9">
        <v>120</v>
      </c>
      <c r="T20" s="9">
        <v>122</v>
      </c>
      <c r="U20" s="9">
        <v>153</v>
      </c>
      <c r="V20" s="9">
        <v>191</v>
      </c>
    </row>
    <row r="21" spans="1:40" x14ac:dyDescent="0.25">
      <c r="A21" s="9">
        <f>A20+1</f>
        <v>20</v>
      </c>
      <c r="B21" s="9">
        <f t="array" ref="B21">IF(C21="",0,IF(OR(C21=Country_Comparison!$S$10:$S$29),1,0))</f>
        <v>0</v>
      </c>
      <c r="C21" s="9" t="str">
        <f>IF(H21="","",H21)</f>
        <v>South America</v>
      </c>
      <c r="D21" s="6">
        <f>MAX(I21:BD21)</f>
        <v>154</v>
      </c>
      <c r="E21" s="6">
        <f>IF(COUNTIF(I21:XFD21,"&gt;"&amp;0)=0,,HLOOKUP(COUNTIF(I21:XFD21,"&gt;"&amp;0)-1,I$1:XFD21,A21+1,FALSE))</f>
        <v>154</v>
      </c>
      <c r="F21" s="7">
        <f>IF(COUNTIF(I21:XFD21,"&gt;"&amp;0)=0,,HLOOKUP(COUNTIF(I21:XFD21,"&gt;"&amp;0)-MIN($F$1+1,COUNTIF(I21:XFD21,"&gt;"&amp;0)),I$1:XFD21,A21+1,FALSE))</f>
        <v>35</v>
      </c>
      <c r="G21" s="8">
        <f>IF(COUNTIF(I21:XFD21,"&gt;"&amp;0)=0,,(E21/F21)^(1/MIN(COUNTIF(I21:XFD21,"&gt;"&amp;0)-1,$F$1)))</f>
        <v>1.3449016775452187</v>
      </c>
      <c r="H21" s="13" t="s">
        <v>612</v>
      </c>
      <c r="I21" s="9">
        <v>9</v>
      </c>
      <c r="J21" s="9">
        <v>15</v>
      </c>
      <c r="K21" s="9">
        <v>25</v>
      </c>
      <c r="L21" s="9">
        <v>35</v>
      </c>
      <c r="M21" s="9">
        <v>56</v>
      </c>
      <c r="N21" s="9">
        <v>71</v>
      </c>
      <c r="O21" s="9">
        <v>100</v>
      </c>
      <c r="P21" s="9">
        <v>125</v>
      </c>
      <c r="Q21" s="9">
        <v>154</v>
      </c>
    </row>
    <row r="22" spans="1:40" x14ac:dyDescent="0.25">
      <c r="A22" s="9">
        <f>A21+1</f>
        <v>21</v>
      </c>
      <c r="B22" s="9">
        <f t="array" ref="B22">IF(C22="",0,IF(OR(C22=Country_Comparison!$S$10:$S$29),1,0))</f>
        <v>0</v>
      </c>
      <c r="C22" s="9" t="str">
        <f>IF(H22="","",H22)</f>
        <v>Korea, South</v>
      </c>
      <c r="D22" s="6">
        <f>MAX(I22:BD22)</f>
        <v>131</v>
      </c>
      <c r="E22" s="6">
        <f>IF(COUNTIF(I22:XFD22,"&gt;"&amp;0)=0,,HLOOKUP(COUNTIF(I22:XFD22,"&gt;"&amp;0)-1,I$1:XFD22,A22+1,FALSE))</f>
        <v>131</v>
      </c>
      <c r="F22" s="7">
        <f>IF(COUNTIF(I22:XFD22,"&gt;"&amp;0)=0,,HLOOKUP(COUNTIF(I22:XFD22,"&gt;"&amp;0)-MIN($F$1+1,COUNTIF(I22:XFD22,"&gt;"&amp;0)),I$1:XFD22,A22+1,FALSE))</f>
        <v>102</v>
      </c>
      <c r="G22" s="8">
        <f>IF(COUNTIF(I22:XFD22,"&gt;"&amp;0)=0,,(E22/F22)^(1/MIN(COUNTIF(I22:XFD22,"&gt;"&amp;0)-1,$F$1)))</f>
        <v>1.0513183015931133</v>
      </c>
      <c r="H22" s="15" t="s">
        <v>339</v>
      </c>
      <c r="I22" s="9">
        <v>8</v>
      </c>
      <c r="J22" s="9">
        <v>10</v>
      </c>
      <c r="K22" s="9">
        <v>12</v>
      </c>
      <c r="L22" s="9">
        <v>13</v>
      </c>
      <c r="M22" s="9">
        <v>13</v>
      </c>
      <c r="N22" s="9">
        <v>16</v>
      </c>
      <c r="O22" s="9">
        <v>17</v>
      </c>
      <c r="P22" s="9">
        <v>28</v>
      </c>
      <c r="Q22" s="9">
        <v>28</v>
      </c>
      <c r="R22" s="9">
        <v>35</v>
      </c>
      <c r="S22" s="9">
        <v>35</v>
      </c>
      <c r="T22" s="9">
        <v>42</v>
      </c>
      <c r="U22" s="9">
        <v>44</v>
      </c>
      <c r="V22" s="9">
        <v>50</v>
      </c>
      <c r="W22" s="9">
        <v>53</v>
      </c>
      <c r="X22" s="9">
        <v>54</v>
      </c>
      <c r="Y22" s="9">
        <v>60</v>
      </c>
      <c r="Z22" s="9">
        <v>66</v>
      </c>
      <c r="AA22" s="9">
        <v>66</v>
      </c>
      <c r="AB22" s="9">
        <v>72</v>
      </c>
      <c r="AC22" s="9">
        <v>75</v>
      </c>
      <c r="AD22" s="9">
        <v>75</v>
      </c>
      <c r="AE22" s="9">
        <v>81</v>
      </c>
      <c r="AF22" s="9">
        <v>84</v>
      </c>
      <c r="AG22" s="9">
        <v>91</v>
      </c>
      <c r="AH22" s="9">
        <v>94</v>
      </c>
      <c r="AI22" s="9">
        <v>102</v>
      </c>
      <c r="AJ22" s="9">
        <v>111</v>
      </c>
      <c r="AK22" s="9">
        <v>111</v>
      </c>
      <c r="AL22" s="9">
        <v>120</v>
      </c>
      <c r="AM22" s="9">
        <v>126</v>
      </c>
      <c r="AN22" s="9">
        <v>131</v>
      </c>
    </row>
    <row r="23" spans="1:40" x14ac:dyDescent="0.25">
      <c r="A23" s="9">
        <f>A22+1</f>
        <v>22</v>
      </c>
      <c r="B23" s="9">
        <f t="array" ref="B23">IF(C23="",0,IF(OR(C23=Country_Comparison!$S$10:$S$29),1,0))</f>
        <v>0</v>
      </c>
      <c r="C23" s="9" t="str">
        <f>IF(H23="","",H23)</f>
        <v>Africa</v>
      </c>
      <c r="D23" s="6">
        <f>MAX(I23:BD23)</f>
        <v>80</v>
      </c>
      <c r="E23" s="6">
        <f>IF(COUNTIF(I23:XFD23,"&gt;"&amp;0)=0,,HLOOKUP(COUNTIF(I23:XFD23,"&gt;"&amp;0)-1,I$1:XFD23,A23+1,FALSE))</f>
        <v>80</v>
      </c>
      <c r="F23" s="7">
        <f>IF(COUNTIF(I23:XFD23,"&gt;"&amp;0)=0,,HLOOKUP(COUNTIF(I23:XFD23,"&gt;"&amp;0)-MIN($F$1+1,COUNTIF(I23:XFD23,"&gt;"&amp;0)),I$1:XFD23,A23+1,FALSE))</f>
        <v>33</v>
      </c>
      <c r="G23" s="8">
        <f>IF(COUNTIF(I23:XFD23,"&gt;"&amp;0)=0,,(E23/F23)^(1/MIN(COUNTIF(I23:XFD23,"&gt;"&amp;0)-1,$F$1)))</f>
        <v>1.1937550159435217</v>
      </c>
      <c r="H23" s="13" t="s">
        <v>613</v>
      </c>
      <c r="I23" s="9">
        <v>8</v>
      </c>
      <c r="J23" s="9">
        <v>8</v>
      </c>
      <c r="K23" s="9">
        <v>11</v>
      </c>
      <c r="L23" s="9">
        <v>17</v>
      </c>
      <c r="M23" s="9">
        <v>20</v>
      </c>
      <c r="N23" s="9">
        <v>25</v>
      </c>
      <c r="O23" s="9">
        <v>33</v>
      </c>
      <c r="P23" s="9">
        <v>44</v>
      </c>
      <c r="Q23" s="9">
        <v>50</v>
      </c>
      <c r="R23" s="9">
        <v>56</v>
      </c>
      <c r="S23" s="9">
        <v>62</v>
      </c>
      <c r="T23" s="9">
        <v>80</v>
      </c>
    </row>
    <row r="24" spans="1:40" x14ac:dyDescent="0.25">
      <c r="A24" s="9">
        <f>A23+1</f>
        <v>23</v>
      </c>
      <c r="B24" s="9">
        <f t="array" ref="B24">IF(C24="",0,IF(OR(C24=Country_Comparison!$S$10:$S$29),1,0))</f>
        <v>0</v>
      </c>
      <c r="C24" s="9" t="str">
        <f>IF(H24="","",H24)</f>
        <v>Indonesia</v>
      </c>
      <c r="D24" s="6">
        <f>MAX(I24:BD24)</f>
        <v>78</v>
      </c>
      <c r="E24" s="6">
        <f>IF(COUNTIF(I24:XFD24,"&gt;"&amp;0)=0,,HLOOKUP(COUNTIF(I24:XFD24,"&gt;"&amp;0)-1,I$1:XFD24,A24+1,FALSE))</f>
        <v>78</v>
      </c>
      <c r="F24" s="7">
        <f>IF(COUNTIF(I24:XFD24,"&gt;"&amp;0)=0,,HLOOKUP(COUNTIF(I24:XFD24,"&gt;"&amp;0)-MIN($F$1+1,COUNTIF(I24:XFD24,"&gt;"&amp;0)),I$1:XFD24,A24+1,FALSE))</f>
        <v>38</v>
      </c>
      <c r="G24" s="8">
        <f>IF(COUNTIF(I24:XFD24,"&gt;"&amp;0)=0,,(E24/F24)^(1/MIN(COUNTIF(I24:XFD24,"&gt;"&amp;0)-1,$F$1)))</f>
        <v>1.1546814827060505</v>
      </c>
      <c r="H24" s="13" t="s">
        <v>107</v>
      </c>
      <c r="I24" s="9">
        <v>19</v>
      </c>
      <c r="J24" s="9">
        <v>25</v>
      </c>
      <c r="K24" s="9">
        <v>32</v>
      </c>
      <c r="L24" s="9">
        <v>38</v>
      </c>
      <c r="M24" s="9">
        <v>48</v>
      </c>
      <c r="N24" s="9">
        <v>49</v>
      </c>
      <c r="O24" s="9">
        <v>55</v>
      </c>
      <c r="P24" s="9">
        <v>58</v>
      </c>
      <c r="Q24" s="9">
        <v>78</v>
      </c>
    </row>
    <row r="25" spans="1:40" x14ac:dyDescent="0.25">
      <c r="A25" s="9">
        <f>A24+1</f>
        <v>24</v>
      </c>
      <c r="B25" s="9">
        <f t="array" ref="B25">IF(C25="",0,IF(OR(C25=Country_Comparison!$S$10:$S$29),1,0))</f>
        <v>0</v>
      </c>
      <c r="C25" s="9" t="str">
        <f>IF(H25="","",H25)</f>
        <v>Sweden</v>
      </c>
      <c r="D25" s="6">
        <f>MAX(I25:BD25)</f>
        <v>77</v>
      </c>
      <c r="E25" s="6">
        <f>IF(COUNTIF(I25:XFD25,"&gt;"&amp;0)=0,,HLOOKUP(COUNTIF(I25:XFD25,"&gt;"&amp;0)-1,I$1:XFD25,A25+1,FALSE))</f>
        <v>77</v>
      </c>
      <c r="F25" s="7">
        <f>IF(COUNTIF(I25:XFD25,"&gt;"&amp;0)=0,,HLOOKUP(COUNTIF(I25:XFD25,"&gt;"&amp;0)-MIN($F$1+1,COUNTIF(I25:XFD25,"&gt;"&amp;0)),I$1:XFD25,A25+1,FALSE))</f>
        <v>20</v>
      </c>
      <c r="G25" s="8">
        <f>IF(COUNTIF(I25:XFD25,"&gt;"&amp;0)=0,,(E25/F25)^(1/MIN(COUNTIF(I25:XFD25,"&gt;"&amp;0)-1,$F$1)))</f>
        <v>1.309459726546512</v>
      </c>
      <c r="H25" s="13" t="s">
        <v>59</v>
      </c>
      <c r="I25" s="9">
        <v>10</v>
      </c>
      <c r="J25" s="9">
        <v>11</v>
      </c>
      <c r="K25" s="9">
        <v>16</v>
      </c>
      <c r="L25" s="9">
        <v>20</v>
      </c>
      <c r="M25" s="9">
        <v>21</v>
      </c>
      <c r="N25" s="9">
        <v>25</v>
      </c>
      <c r="O25" s="9">
        <v>36</v>
      </c>
      <c r="P25" s="9">
        <v>62</v>
      </c>
      <c r="Q25" s="9">
        <v>77</v>
      </c>
    </row>
    <row r="26" spans="1:40" x14ac:dyDescent="0.25">
      <c r="A26" s="9">
        <f>A25+1</f>
        <v>25</v>
      </c>
      <c r="B26" s="9">
        <f t="array" ref="B26">IF(C26="",0,IF(OR(C26=Country_Comparison!$S$10:$S$29),1,0))</f>
        <v>0</v>
      </c>
      <c r="C26" s="9" t="str">
        <f>IF(H26="","",H26)</f>
        <v>Brazil</v>
      </c>
      <c r="D26" s="6">
        <f>MAX(I26:BD26)</f>
        <v>77</v>
      </c>
      <c r="E26" s="6">
        <f>IF(COUNTIF(I26:XFD26,"&gt;"&amp;0)=0,,HLOOKUP(COUNTIF(I26:XFD26,"&gt;"&amp;0)-1,I$1:XFD26,A26+1,FALSE))</f>
        <v>77</v>
      </c>
      <c r="F26" s="7">
        <f>IF(COUNTIF(I26:XFD26,"&gt;"&amp;0)=0,,HLOOKUP(COUNTIF(I26:XFD26,"&gt;"&amp;0)-MIN($F$1+1,COUNTIF(I26:XFD26,"&gt;"&amp;0)),I$1:XFD26,A26+1,FALSE))</f>
        <v>15</v>
      </c>
      <c r="G26" s="8">
        <f>IF(COUNTIF(I26:XFD26,"&gt;"&amp;0)=0,,(E26/F26)^(1/MIN(COUNTIF(I26:XFD26,"&gt;"&amp;0)-1,$F$1)))</f>
        <v>1.3870109612513239</v>
      </c>
      <c r="H26" s="13" t="s">
        <v>81</v>
      </c>
      <c r="I26" s="9">
        <v>11</v>
      </c>
      <c r="J26" s="9">
        <v>15</v>
      </c>
      <c r="K26" s="9">
        <v>25</v>
      </c>
      <c r="L26" s="9">
        <v>34</v>
      </c>
      <c r="M26" s="9">
        <v>46</v>
      </c>
      <c r="N26" s="9">
        <v>59</v>
      </c>
      <c r="O26" s="9">
        <v>77</v>
      </c>
    </row>
    <row r="27" spans="1:40" x14ac:dyDescent="0.25">
      <c r="A27" s="9">
        <f>A26+1</f>
        <v>26</v>
      </c>
      <c r="B27" s="9">
        <f t="array" ref="B27">IF(C27="",0,IF(OR(C27=Country_Comparison!$S$10:$S$29),1,0))</f>
        <v>0</v>
      </c>
      <c r="C27" s="9" t="str">
        <f>IF(H27="","",H27)</f>
        <v>Turkey</v>
      </c>
      <c r="D27" s="6">
        <f>MAX(I27:BD27)</f>
        <v>75</v>
      </c>
      <c r="E27" s="6">
        <f>IF(COUNTIF(I27:XFD27,"&gt;"&amp;0)=0,,HLOOKUP(COUNTIF(I27:XFD27,"&gt;"&amp;0)-1,I$1:XFD27,A27+1,FALSE))</f>
        <v>75</v>
      </c>
      <c r="F27" s="7">
        <f>IF(COUNTIF(I27:XFD27,"&gt;"&amp;0)=0,,HLOOKUP(COUNTIF(I27:XFD27,"&gt;"&amp;0)-MIN($F$1+1,COUNTIF(I27:XFD27,"&gt;"&amp;0)),I$1:XFD27,A27+1,FALSE))</f>
        <v>9</v>
      </c>
      <c r="G27" s="8">
        <f>IF(COUNTIF(I27:XFD27,"&gt;"&amp;0)=0,,(E27/F27)^(1/MIN(COUNTIF(I27:XFD27,"&gt;"&amp;0)-1,$F$1)))</f>
        <v>1.5281421358157987</v>
      </c>
      <c r="H27" s="13" t="s">
        <v>355</v>
      </c>
      <c r="I27" s="9">
        <v>9</v>
      </c>
      <c r="J27" s="9">
        <v>30</v>
      </c>
      <c r="K27" s="9">
        <v>37</v>
      </c>
      <c r="L27" s="9">
        <v>44</v>
      </c>
      <c r="M27" s="9">
        <v>59</v>
      </c>
      <c r="N27" s="9">
        <v>75</v>
      </c>
    </row>
    <row r="28" spans="1:40" x14ac:dyDescent="0.25">
      <c r="A28" s="9">
        <f>A27+1</f>
        <v>27</v>
      </c>
      <c r="B28" s="9">
        <f t="array" ref="B28">IF(C28="",0,IF(OR(C28=Country_Comparison!$S$10:$S$29),1,0))</f>
        <v>0</v>
      </c>
      <c r="C28" s="9" t="str">
        <f>IF(H28="","",H28)</f>
        <v>Portugal</v>
      </c>
      <c r="D28" s="6">
        <f>MAX(I28:BD28)</f>
        <v>60</v>
      </c>
      <c r="E28" s="6">
        <f>IF(COUNTIF(I28:XFD28,"&gt;"&amp;0)=0,,HLOOKUP(COUNTIF(I28:XFD28,"&gt;"&amp;0)-1,I$1:XFD28,A28+1,FALSE))</f>
        <v>60</v>
      </c>
      <c r="F28" s="7">
        <f>IF(COUNTIF(I28:XFD28,"&gt;"&amp;0)=0,,HLOOKUP(COUNTIF(I28:XFD28,"&gt;"&amp;0)-MIN($F$1+1,COUNTIF(I28:XFD28,"&gt;"&amp;0)),I$1:XFD28,A28+1,FALSE))</f>
        <v>12</v>
      </c>
      <c r="G28" s="8">
        <f>IF(COUNTIF(I28:XFD28,"&gt;"&amp;0)=0,,(E28/F28)^(1/MIN(COUNTIF(I28:XFD28,"&gt;"&amp;0)-1,$F$1)))</f>
        <v>1.3797296614612149</v>
      </c>
      <c r="H28" s="13" t="s">
        <v>108</v>
      </c>
      <c r="I28" s="9">
        <v>12</v>
      </c>
      <c r="J28" s="9">
        <v>14</v>
      </c>
      <c r="K28" s="9">
        <v>23</v>
      </c>
      <c r="L28" s="9">
        <v>33</v>
      </c>
      <c r="M28" s="9">
        <v>43</v>
      </c>
      <c r="N28" s="9">
        <v>60</v>
      </c>
    </row>
    <row r="29" spans="1:40" x14ac:dyDescent="0.25">
      <c r="A29" s="9">
        <f>A28+1</f>
        <v>28</v>
      </c>
      <c r="B29" s="9">
        <f t="array" ref="B29">IF(C29="",0,IF(OR(C29=Country_Comparison!$S$10:$S$29),1,0))</f>
        <v>0</v>
      </c>
      <c r="C29" s="9" t="str">
        <f>IF(H29="","",H29)</f>
        <v>Austria</v>
      </c>
      <c r="D29" s="6">
        <f>MAX(I29:BD29)</f>
        <v>49</v>
      </c>
      <c r="E29" s="6">
        <f>IF(COUNTIF(I29:XFD29,"&gt;"&amp;0)=0,,HLOOKUP(COUNTIF(I29:XFD29,"&gt;"&amp;0)-1,I$1:XFD29,A29+1,FALSE))</f>
        <v>49</v>
      </c>
      <c r="F29" s="7">
        <f>IF(COUNTIF(I29:XFD29,"&gt;"&amp;0)=0,,HLOOKUP(COUNTIF(I29:XFD29,"&gt;"&amp;0)-MIN($F$1+1,COUNTIF(I29:XFD29,"&gt;"&amp;0)),I$1:XFD29,A29+1,FALSE))</f>
        <v>8</v>
      </c>
      <c r="G29" s="8">
        <f>IF(COUNTIF(I29:XFD29,"&gt;"&amp;0)=0,,(E29/F29)^(1/MIN(COUNTIF(I29:XFD29,"&gt;"&amp;0)-1,$F$1)))</f>
        <v>1.4368823780140685</v>
      </c>
      <c r="H29" s="13" t="s">
        <v>78</v>
      </c>
      <c r="I29" s="9">
        <v>8</v>
      </c>
      <c r="J29" s="9">
        <v>16</v>
      </c>
      <c r="K29" s="9">
        <v>21</v>
      </c>
      <c r="L29" s="9">
        <v>28</v>
      </c>
      <c r="M29" s="9">
        <v>30</v>
      </c>
      <c r="N29" s="9">
        <v>49</v>
      </c>
    </row>
    <row r="30" spans="1:40" x14ac:dyDescent="0.25">
      <c r="A30" s="9">
        <f>A29+1</f>
        <v>29</v>
      </c>
      <c r="B30" s="9">
        <f t="array" ref="B30">IF(C30="",0,IF(OR(C30=Country_Comparison!$S$10:$S$29),1,0))</f>
        <v>0</v>
      </c>
      <c r="C30" s="9" t="str">
        <f>IF(H30="","",H30)</f>
        <v>Japan</v>
      </c>
      <c r="D30" s="6">
        <f>MAX(I30:BD30)</f>
        <v>47</v>
      </c>
      <c r="E30" s="6">
        <f>IF(COUNTIF(I30:XFD30,"&gt;"&amp;0)=0,,HLOOKUP(COUNTIF(I30:XFD30,"&gt;"&amp;0)-1,I$1:XFD30,A30+1,FALSE))</f>
        <v>47</v>
      </c>
      <c r="F30" s="7">
        <f>IF(COUNTIF(I30:XFD30,"&gt;"&amp;0)=0,,HLOOKUP(COUNTIF(I30:XFD30,"&gt;"&amp;0)-MIN($F$1+1,COUNTIF(I30:XFD30,"&gt;"&amp;0)),I$1:XFD30,A30+1,FALSE))</f>
        <v>35</v>
      </c>
      <c r="G30" s="8">
        <f>IF(COUNTIF(I30:XFD30,"&gt;"&amp;0)=0,,(E30/F30)^(1/MIN(COUNTIF(I30:XFD30,"&gt;"&amp;0)-1,$F$1)))</f>
        <v>1.0607327130385333</v>
      </c>
      <c r="H30" s="13" t="s">
        <v>36</v>
      </c>
      <c r="I30" s="9">
        <v>10</v>
      </c>
      <c r="J30" s="9">
        <v>10</v>
      </c>
      <c r="K30" s="9">
        <v>15</v>
      </c>
      <c r="L30" s="9">
        <v>16</v>
      </c>
      <c r="M30" s="9">
        <v>19</v>
      </c>
      <c r="N30" s="9">
        <v>22</v>
      </c>
      <c r="O30" s="9">
        <v>22</v>
      </c>
      <c r="P30" s="9">
        <v>27</v>
      </c>
      <c r="Q30" s="9">
        <v>29</v>
      </c>
      <c r="R30" s="9">
        <v>29</v>
      </c>
      <c r="S30" s="9">
        <v>29</v>
      </c>
      <c r="T30" s="9">
        <v>33</v>
      </c>
      <c r="U30" s="9">
        <v>35</v>
      </c>
      <c r="V30" s="9">
        <v>41</v>
      </c>
      <c r="W30" s="9">
        <v>42</v>
      </c>
      <c r="X30" s="9">
        <v>43</v>
      </c>
      <c r="Y30" s="9">
        <v>45</v>
      </c>
      <c r="Z30" s="9">
        <v>47</v>
      </c>
    </row>
    <row r="31" spans="1:40" x14ac:dyDescent="0.25">
      <c r="A31" s="9">
        <f>A30+1</f>
        <v>30</v>
      </c>
      <c r="B31" s="9">
        <f t="array" ref="B31">IF(C31="",0,IF(OR(C31=Country_Comparison!$S$10:$S$29),1,0))</f>
        <v>0</v>
      </c>
      <c r="C31" s="9" t="str">
        <f>IF(H31="","",H31)</f>
        <v>Philippines</v>
      </c>
      <c r="D31" s="6">
        <f>MAX(I31:BD31)</f>
        <v>45</v>
      </c>
      <c r="E31" s="6">
        <f>IF(COUNTIF(I31:XFD31,"&gt;"&amp;0)=0,,HLOOKUP(COUNTIF(I31:XFD31,"&gt;"&amp;0)-1,I$1:XFD31,A31+1,FALSE))</f>
        <v>45</v>
      </c>
      <c r="F31" s="7">
        <f>IF(COUNTIF(I31:XFD31,"&gt;"&amp;0)=0,,HLOOKUP(COUNTIF(I31:XFD31,"&gt;"&amp;0)-MIN($F$1+1,COUNTIF(I31:XFD31,"&gt;"&amp;0)),I$1:XFD31,A31+1,FALSE))</f>
        <v>19</v>
      </c>
      <c r="G31" s="8">
        <f>IF(COUNTIF(I31:XFD31,"&gt;"&amp;0)=0,,(E31/F31)^(1/MIN(COUNTIF(I31:XFD31,"&gt;"&amp;0)-1,$F$1)))</f>
        <v>1.1882061135201147</v>
      </c>
      <c r="H31" s="13" t="s">
        <v>56</v>
      </c>
      <c r="I31" s="9">
        <v>8</v>
      </c>
      <c r="J31" s="9">
        <v>11</v>
      </c>
      <c r="K31" s="9">
        <v>12</v>
      </c>
      <c r="L31" s="9">
        <v>12</v>
      </c>
      <c r="M31" s="9">
        <v>19</v>
      </c>
      <c r="N31" s="9">
        <v>17</v>
      </c>
      <c r="O31" s="9">
        <v>18</v>
      </c>
      <c r="P31" s="9">
        <v>19</v>
      </c>
      <c r="Q31" s="9">
        <v>25</v>
      </c>
      <c r="R31" s="9">
        <v>33</v>
      </c>
      <c r="S31" s="9">
        <v>35</v>
      </c>
      <c r="T31" s="9">
        <v>38</v>
      </c>
      <c r="U31" s="9">
        <v>45</v>
      </c>
    </row>
    <row r="32" spans="1:40" x14ac:dyDescent="0.25">
      <c r="A32" s="9">
        <f>A31+1</f>
        <v>31</v>
      </c>
      <c r="B32" s="9">
        <f t="array" ref="B32">IF(C32="",0,IF(OR(C32=Country_Comparison!$S$10:$S$29),1,0))</f>
        <v>0</v>
      </c>
      <c r="C32" s="9" t="str">
        <f>IF(H32="","",H32)</f>
        <v>Denmark</v>
      </c>
      <c r="D32" s="6">
        <f>MAX(I32:BD32)</f>
        <v>41</v>
      </c>
      <c r="E32" s="6">
        <f>IF(COUNTIF(I32:XFD32,"&gt;"&amp;0)=0,,HLOOKUP(COUNTIF(I32:XFD32,"&gt;"&amp;0)-1,I$1:XFD32,A32+1,FALSE))</f>
        <v>41</v>
      </c>
      <c r="F32" s="7">
        <f>IF(COUNTIF(I32:XFD32,"&gt;"&amp;0)=0,,HLOOKUP(COUNTIF(I32:XFD32,"&gt;"&amp;0)-MIN($F$1+1,COUNTIF(I32:XFD32,"&gt;"&amp;0)),I$1:XFD32,A32+1,FALSE))</f>
        <v>13</v>
      </c>
      <c r="G32" s="8">
        <f>IF(COUNTIF(I32:XFD32,"&gt;"&amp;0)=0,,(E32/F32)^(1/MIN(COUNTIF(I32:XFD32,"&gt;"&amp;0)-1,$F$1)))</f>
        <v>1.2582533660424671</v>
      </c>
      <c r="H32" s="13" t="s">
        <v>87</v>
      </c>
      <c r="I32" s="9">
        <v>9</v>
      </c>
      <c r="J32" s="9">
        <v>13</v>
      </c>
      <c r="K32" s="9">
        <v>13</v>
      </c>
      <c r="L32" s="9">
        <v>24</v>
      </c>
      <c r="M32" s="9">
        <v>32</v>
      </c>
      <c r="N32" s="9">
        <v>34</v>
      </c>
      <c r="O32" s="9">
        <v>41</v>
      </c>
    </row>
    <row r="33" spans="1:23" x14ac:dyDescent="0.25">
      <c r="A33" s="9">
        <f>A32+1</f>
        <v>32</v>
      </c>
      <c r="B33" s="9">
        <f t="array" ref="B33">IF(C33="",0,IF(OR(C33=Country_Comparison!$S$10:$S$29),1,0))</f>
        <v>0</v>
      </c>
      <c r="C33" s="9" t="str">
        <f>IF(H33="","",H33)</f>
        <v>Canada</v>
      </c>
      <c r="D33" s="6">
        <f>MAX(I33:BD33)</f>
        <v>38</v>
      </c>
      <c r="E33" s="6">
        <f>IF(COUNTIF(I33:XFD33,"&gt;"&amp;0)=0,,HLOOKUP(COUNTIF(I33:XFD33,"&gt;"&amp;0)-1,I$1:XFD33,A33+1,FALSE))</f>
        <v>38</v>
      </c>
      <c r="F33" s="7">
        <f>IF(COUNTIF(I33:XFD33,"&gt;"&amp;0)=0,,HLOOKUP(COUNTIF(I33:XFD33,"&gt;"&amp;0)-MIN($F$1+1,COUNTIF(I33:XFD33,"&gt;"&amp;0)),I$1:XFD33,A33+1,FALSE))</f>
        <v>19</v>
      </c>
      <c r="G33" s="8">
        <f>IF(COUNTIF(I33:XFD33,"&gt;"&amp;0)=0,,(E33/F33)^(1/MIN(COUNTIF(I33:XFD33,"&gt;"&amp;0)-1,$F$1)))</f>
        <v>1.1486983549970351</v>
      </c>
      <c r="H33" s="13" t="s">
        <v>45</v>
      </c>
      <c r="I33" s="9">
        <v>8</v>
      </c>
      <c r="J33" s="9">
        <v>9</v>
      </c>
      <c r="K33" s="9">
        <v>12</v>
      </c>
      <c r="L33" s="9">
        <v>19</v>
      </c>
      <c r="M33" s="9">
        <v>21</v>
      </c>
      <c r="N33" s="9">
        <v>25</v>
      </c>
      <c r="O33" s="9">
        <v>26</v>
      </c>
      <c r="P33" s="9">
        <v>30</v>
      </c>
      <c r="Q33" s="9">
        <v>38</v>
      </c>
    </row>
    <row r="34" spans="1:23" x14ac:dyDescent="0.25">
      <c r="A34" s="9">
        <f>A33+1</f>
        <v>33</v>
      </c>
      <c r="B34" s="9">
        <f t="array" ref="B34">IF(C34="",0,IF(OR(C34=Country_Comparison!$S$10:$S$29),1,0))</f>
        <v>0</v>
      </c>
      <c r="C34" s="9" t="str">
        <f>IF(H34="","",H34)</f>
        <v>Iraq</v>
      </c>
      <c r="D34" s="6">
        <f>MAX(I34:BD34)</f>
        <v>36</v>
      </c>
      <c r="E34" s="6">
        <f>IF(COUNTIF(I34:XFD34,"&gt;"&amp;0)=0,,HLOOKUP(COUNTIF(I34:XFD34,"&gt;"&amp;0)-1,I$1:XFD34,A34+1,FALSE))</f>
        <v>36</v>
      </c>
      <c r="F34" s="7">
        <f>IF(COUNTIF(I34:XFD34,"&gt;"&amp;0)=0,,HLOOKUP(COUNTIF(I34:XFD34,"&gt;"&amp;0)-MIN($F$1+1,COUNTIF(I34:XFD34,"&gt;"&amp;0)),I$1:XFD34,A34+1,FALSE))</f>
        <v>17</v>
      </c>
      <c r="G34" s="8">
        <f>IF(COUNTIF(I34:XFD34,"&gt;"&amp;0)=0,,(E34/F34)^(1/MIN(COUNTIF(I34:XFD34,"&gt;"&amp;0)-1,$F$1)))</f>
        <v>1.1619052549059901</v>
      </c>
      <c r="H34" s="13" t="s">
        <v>70</v>
      </c>
      <c r="I34" s="9">
        <v>8</v>
      </c>
      <c r="J34" s="9">
        <v>9</v>
      </c>
      <c r="K34" s="9">
        <v>10</v>
      </c>
      <c r="L34" s="9">
        <v>10</v>
      </c>
      <c r="M34" s="9">
        <v>10</v>
      </c>
      <c r="N34" s="9">
        <v>11</v>
      </c>
      <c r="O34" s="9">
        <v>12</v>
      </c>
      <c r="P34" s="9">
        <v>13</v>
      </c>
      <c r="Q34" s="9">
        <v>17</v>
      </c>
      <c r="R34" s="9">
        <v>17</v>
      </c>
      <c r="S34" s="9">
        <v>20</v>
      </c>
      <c r="T34" s="9">
        <v>23</v>
      </c>
      <c r="U34" s="9">
        <v>27</v>
      </c>
      <c r="V34" s="9">
        <v>29</v>
      </c>
      <c r="W34" s="9">
        <v>36</v>
      </c>
    </row>
    <row r="35" spans="1:23" x14ac:dyDescent="0.25">
      <c r="A35" s="9">
        <f>A34+1</f>
        <v>34</v>
      </c>
      <c r="B35" s="9">
        <f t="array" ref="B35">IF(C35="",0,IF(OR(C35=Country_Comparison!$S$10:$S$29),1,0))</f>
        <v>0</v>
      </c>
      <c r="C35" s="9" t="str">
        <f>IF(H35="","",H35)</f>
        <v>Ecuador</v>
      </c>
      <c r="D35" s="6">
        <f>MAX(I35:BD35)</f>
        <v>34</v>
      </c>
      <c r="E35" s="6">
        <f>IF(COUNTIF(I35:XFD35,"&gt;"&amp;0)=0,,HLOOKUP(COUNTIF(I35:XFD35,"&gt;"&amp;0)-1,I$1:XFD35,A35+1,FALSE))</f>
        <v>34</v>
      </c>
      <c r="F35" s="7">
        <f>IF(COUNTIF(I35:XFD35,"&gt;"&amp;0)=0,,HLOOKUP(COUNTIF(I35:XFD35,"&gt;"&amp;0)-MIN($F$1+1,COUNTIF(I35:XFD35,"&gt;"&amp;0)),I$1:XFD35,A35+1,FALSE))</f>
        <v>14</v>
      </c>
      <c r="G35" s="8">
        <f>IF(COUNTIF(I35:XFD35,"&gt;"&amp;0)=0,,(E35/F35)^(1/MIN(COUNTIF(I35:XFD35,"&gt;"&amp;0)-1,$F$1)))</f>
        <v>1.2483538941133476</v>
      </c>
      <c r="H35" s="13" t="s">
        <v>103</v>
      </c>
      <c r="I35" s="9">
        <v>14</v>
      </c>
      <c r="J35" s="9">
        <v>18</v>
      </c>
      <c r="K35" s="9">
        <v>27</v>
      </c>
      <c r="L35" s="9">
        <v>28</v>
      </c>
      <c r="M35" s="9">
        <v>34</v>
      </c>
    </row>
    <row r="36" spans="1:23" x14ac:dyDescent="0.25">
      <c r="A36" s="9">
        <f>A35+1</f>
        <v>35</v>
      </c>
      <c r="B36" s="9">
        <f t="array" ref="B36">IF(C36="",0,IF(OR(C36=Country_Comparison!$S$10:$S$29),1,0))</f>
        <v>0</v>
      </c>
      <c r="C36" s="9" t="str">
        <f>IF(H36="","",H36)</f>
        <v>Greece</v>
      </c>
      <c r="D36" s="6">
        <f>MAX(I36:BD36)</f>
        <v>26</v>
      </c>
      <c r="E36" s="6">
        <f>IF(COUNTIF(I36:XFD36,"&gt;"&amp;0)=0,,HLOOKUP(COUNTIF(I36:XFD36,"&gt;"&amp;0)-1,I$1:XFD36,A36+1,FALSE))</f>
        <v>26</v>
      </c>
      <c r="F36" s="7">
        <f>IF(COUNTIF(I36:XFD36,"&gt;"&amp;0)=0,,HLOOKUP(COUNTIF(I36:XFD36,"&gt;"&amp;0)-MIN($F$1+1,COUNTIF(I36:XFD36,"&gt;"&amp;0)),I$1:XFD36,A36+1,FALSE))</f>
        <v>13</v>
      </c>
      <c r="G36" s="8">
        <f>IF(COUNTIF(I36:XFD36,"&gt;"&amp;0)=0,,(E36/F36)^(1/MIN(COUNTIF(I36:XFD36,"&gt;"&amp;0)-1,$F$1)))</f>
        <v>1.1486983549970351</v>
      </c>
      <c r="H36" s="13" t="s">
        <v>83</v>
      </c>
      <c r="I36" s="9">
        <v>13</v>
      </c>
      <c r="J36" s="9">
        <v>15</v>
      </c>
      <c r="K36" s="9">
        <v>17</v>
      </c>
      <c r="L36" s="9">
        <v>20</v>
      </c>
      <c r="M36" s="9">
        <v>22</v>
      </c>
      <c r="N36" s="9">
        <v>26</v>
      </c>
    </row>
    <row r="37" spans="1:23" x14ac:dyDescent="0.25">
      <c r="A37" s="9">
        <f>A36+1</f>
        <v>36</v>
      </c>
      <c r="B37" s="9">
        <f t="array" ref="B37">IF(C37="",0,IF(OR(C37=Country_Comparison!$S$10:$S$29),1,0))</f>
        <v>0</v>
      </c>
      <c r="C37" s="9" t="str">
        <f>IF(H37="","",H37)</f>
        <v>Algeria</v>
      </c>
      <c r="D37" s="6">
        <f>MAX(I37:BD37)</f>
        <v>25</v>
      </c>
      <c r="E37" s="6">
        <f>IF(COUNTIF(I37:XFD37,"&gt;"&amp;0)=0,,HLOOKUP(COUNTIF(I37:XFD37,"&gt;"&amp;0)-1,I$1:XFD37,A37+1,FALSE))</f>
        <v>25</v>
      </c>
      <c r="F37" s="7">
        <f>IF(COUNTIF(I37:XFD37,"&gt;"&amp;0)=0,,HLOOKUP(COUNTIF(I37:XFD37,"&gt;"&amp;0)-MIN($F$1+1,COUNTIF(I37:XFD37,"&gt;"&amp;0)),I$1:XFD37,A37+1,FALSE))</f>
        <v>15</v>
      </c>
      <c r="G37" s="8">
        <f>IF(COUNTIF(I37:XFD37,"&gt;"&amp;0)=0,,(E37/F37)^(1/MIN(COUNTIF(I37:XFD37,"&gt;"&amp;0)-1,$F$1)))</f>
        <v>1.1075663432482901</v>
      </c>
      <c r="H37" s="13" t="s">
        <v>75</v>
      </c>
      <c r="I37" s="9">
        <v>9</v>
      </c>
      <c r="J37" s="9">
        <v>11</v>
      </c>
      <c r="K37" s="9">
        <v>15</v>
      </c>
      <c r="L37" s="9">
        <v>17</v>
      </c>
      <c r="M37" s="9">
        <v>17</v>
      </c>
      <c r="N37" s="9">
        <v>19</v>
      </c>
      <c r="O37" s="9">
        <v>21</v>
      </c>
      <c r="P37" s="9">
        <v>25</v>
      </c>
    </row>
    <row r="38" spans="1:23" x14ac:dyDescent="0.25">
      <c r="A38" s="9">
        <f>A37+1</f>
        <v>37</v>
      </c>
      <c r="B38" s="9">
        <f t="array" ref="B38">IF(C38="",0,IF(OR(C38=Country_Comparison!$S$10:$S$29),1,0))</f>
        <v>0</v>
      </c>
      <c r="C38" s="9" t="str">
        <f>IF(H38="","",H38)</f>
        <v>Egypt</v>
      </c>
      <c r="D38" s="6">
        <f>MAX(I38:BD38)</f>
        <v>24</v>
      </c>
      <c r="E38" s="6">
        <f>IF(COUNTIF(I38:XFD38,"&gt;"&amp;0)=0,,HLOOKUP(COUNTIF(I38:XFD38,"&gt;"&amp;0)-1,I$1:XFD38,A38+1,FALSE))</f>
        <v>24</v>
      </c>
      <c r="F38" s="7">
        <f>IF(COUNTIF(I38:XFD38,"&gt;"&amp;0)=0,,HLOOKUP(COUNTIF(I38:XFD38,"&gt;"&amp;0)-MIN($F$1+1,COUNTIF(I38:XFD38,"&gt;"&amp;0)),I$1:XFD38,A38+1,FALSE))</f>
        <v>10</v>
      </c>
      <c r="G38" s="8">
        <f>IF(COUNTIF(I38:XFD38,"&gt;"&amp;0)=0,,(E38/F38)^(1/MIN(COUNTIF(I38:XFD38,"&gt;"&amp;0)-1,$F$1)))</f>
        <v>1.1913578981670916</v>
      </c>
      <c r="H38" s="13" t="s">
        <v>65</v>
      </c>
      <c r="I38" s="9">
        <v>8</v>
      </c>
      <c r="J38" s="9">
        <v>10</v>
      </c>
      <c r="K38" s="9">
        <v>14</v>
      </c>
      <c r="L38" s="9">
        <v>19</v>
      </c>
      <c r="M38" s="9">
        <v>20</v>
      </c>
      <c r="N38" s="9">
        <v>21</v>
      </c>
      <c r="O38" s="9">
        <v>24</v>
      </c>
    </row>
    <row r="39" spans="1:23" x14ac:dyDescent="0.25">
      <c r="A39" s="9">
        <f>A38+1</f>
        <v>38</v>
      </c>
      <c r="B39" s="9">
        <f t="array" ref="B39">IF(C39="",0,IF(OR(C39=Country_Comparison!$S$10:$S$29),1,0))</f>
        <v>0</v>
      </c>
      <c r="C39" s="9" t="str">
        <f>IF(H39="","",H39)</f>
        <v>Malaysia</v>
      </c>
      <c r="D39" s="6">
        <f>MAX(I39:BD39)</f>
        <v>23</v>
      </c>
      <c r="E39" s="6">
        <f>IF(COUNTIF(I39:XFD39,"&gt;"&amp;0)=0,,HLOOKUP(COUNTIF(I39:XFD39,"&gt;"&amp;0)-1,I$1:XFD39,A39+1,FALSE))</f>
        <v>23</v>
      </c>
      <c r="F39" s="7">
        <f>IF(COUNTIF(I39:XFD39,"&gt;"&amp;0)=0,,HLOOKUP(COUNTIF(I39:XFD39,"&gt;"&amp;0)-MIN($F$1+1,COUNTIF(I39:XFD39,"&gt;"&amp;0)),I$1:XFD39,A39+1,FALSE))</f>
        <v>10</v>
      </c>
      <c r="G39" s="8">
        <f>IF(COUNTIF(I39:XFD39,"&gt;"&amp;0)=0,,(E39/F39)^(1/MIN(COUNTIF(I39:XFD39,"&gt;"&amp;0)-1,$F$1)))</f>
        <v>1.2314930323839879</v>
      </c>
      <c r="H39" s="13" t="s">
        <v>43</v>
      </c>
      <c r="I39" s="9">
        <v>10</v>
      </c>
      <c r="J39" s="9">
        <v>14</v>
      </c>
      <c r="K39" s="9">
        <v>16</v>
      </c>
      <c r="L39" s="9">
        <v>20</v>
      </c>
      <c r="M39" s="9">
        <v>23</v>
      </c>
    </row>
    <row r="40" spans="1:23" x14ac:dyDescent="0.25">
      <c r="A40" s="9">
        <f>A39+1</f>
        <v>39</v>
      </c>
      <c r="B40" s="9">
        <f t="array" ref="B40">IF(C40="",0,IF(OR(C40=Country_Comparison!$S$10:$S$29),1,0))</f>
        <v>0</v>
      </c>
      <c r="C40" s="9" t="str">
        <f>IF(H40="","",H40)</f>
        <v>Romania</v>
      </c>
      <c r="D40" s="6">
        <f>MAX(I40:BD40)</f>
        <v>23</v>
      </c>
      <c r="E40" s="6">
        <f>IF(COUNTIF(I40:XFD40,"&gt;"&amp;0)=0,,HLOOKUP(COUNTIF(I40:XFD40,"&gt;"&amp;0)-1,I$1:XFD40,A40+1,FALSE))</f>
        <v>23</v>
      </c>
      <c r="F40" s="7">
        <f>IF(COUNTIF(I40:XFD40,"&gt;"&amp;0)=0,,HLOOKUP(COUNTIF(I40:XFD40,"&gt;"&amp;0)-MIN($F$1+1,COUNTIF(I40:XFD40,"&gt;"&amp;0)),I$1:XFD40,A40+1,FALSE))</f>
        <v>11</v>
      </c>
      <c r="G40" s="8">
        <f>IF(COUNTIF(I40:XFD40,"&gt;"&amp;0)=0,,(E40/F40)^(1/MIN(COUNTIF(I40:XFD40,"&gt;"&amp;0)-1,$F$1)))</f>
        <v>1.4459976109624424</v>
      </c>
      <c r="H40" s="13" t="s">
        <v>86</v>
      </c>
      <c r="I40" s="9">
        <v>11</v>
      </c>
      <c r="J40" s="9">
        <v>17</v>
      </c>
      <c r="K40" s="9">
        <v>23</v>
      </c>
    </row>
    <row r="41" spans="1:23" x14ac:dyDescent="0.25">
      <c r="A41" s="9">
        <f>A40+1</f>
        <v>40</v>
      </c>
      <c r="B41" s="9">
        <f t="array" ref="B41">IF(C41="",0,IF(OR(C41=Country_Comparison!$S$10:$S$29),1,0))</f>
        <v>0</v>
      </c>
      <c r="C41" s="9" t="str">
        <f>IF(H41="","",H41)</f>
        <v>San Marino</v>
      </c>
      <c r="D41" s="6">
        <f>MAX(I41:BD41)</f>
        <v>21</v>
      </c>
      <c r="E41" s="6">
        <f>IF(COUNTIF(I41:XFD41,"&gt;"&amp;0)=0,,HLOOKUP(COUNTIF(I41:XFD41,"&gt;"&amp;0)-1,I$1:XFD41,A41+1,FALSE))</f>
        <v>21</v>
      </c>
      <c r="F41" s="7">
        <f>IF(COUNTIF(I41:XFD41,"&gt;"&amp;0)=0,,HLOOKUP(COUNTIF(I41:XFD41,"&gt;"&amp;0)-MIN($F$1+1,COUNTIF(I41:XFD41,"&gt;"&amp;0)),I$1:XFD41,A41+1,FALSE))</f>
        <v>20</v>
      </c>
      <c r="G41" s="8">
        <f>IF(COUNTIF(I41:XFD41,"&gt;"&amp;0)=0,,(E41/F41)^(1/MIN(COUNTIF(I41:XFD41,"&gt;"&amp;0)-1,$F$1)))</f>
        <v>1.0098057976734853</v>
      </c>
      <c r="H41" s="13" t="s">
        <v>90</v>
      </c>
      <c r="I41" s="9">
        <v>11</v>
      </c>
      <c r="J41" s="9">
        <v>11</v>
      </c>
      <c r="K41" s="9">
        <v>14</v>
      </c>
      <c r="L41" s="9">
        <v>20</v>
      </c>
      <c r="M41" s="9">
        <v>20</v>
      </c>
      <c r="N41" s="9">
        <v>20</v>
      </c>
      <c r="O41" s="9">
        <v>21</v>
      </c>
      <c r="P41" s="9">
        <v>21</v>
      </c>
      <c r="Q41" s="9">
        <v>21</v>
      </c>
    </row>
    <row r="42" spans="1:23" x14ac:dyDescent="0.25">
      <c r="A42" s="9">
        <f>A41+1</f>
        <v>41</v>
      </c>
      <c r="B42" s="9">
        <f t="array" ref="B42">IF(C42="",0,IF(OR(C42=Country_Comparison!$S$10:$S$29),1,0))</f>
        <v>0</v>
      </c>
      <c r="C42" s="9" t="str">
        <f>IF(H42="","",H42)</f>
        <v>India</v>
      </c>
      <c r="D42" s="6">
        <f>MAX(I42:BD42)</f>
        <v>20</v>
      </c>
      <c r="E42" s="6">
        <f>IF(COUNTIF(I42:XFD42,"&gt;"&amp;0)=0,,HLOOKUP(COUNTIF(I42:XFD42,"&gt;"&amp;0)-1,I$1:XFD42,A42+1,FALSE))</f>
        <v>20</v>
      </c>
      <c r="F42" s="7">
        <f>IF(COUNTIF(I42:XFD42,"&gt;"&amp;0)=0,,HLOOKUP(COUNTIF(I42:XFD42,"&gt;"&amp;0)-MIN($F$1+1,COUNTIF(I42:XFD42,"&gt;"&amp;0)),I$1:XFD42,A42+1,FALSE))</f>
        <v>10</v>
      </c>
      <c r="G42" s="8">
        <f>IF(COUNTIF(I42:XFD42,"&gt;"&amp;0)=0,,(E42/F42)^(1/MIN(COUNTIF(I42:XFD42,"&gt;"&amp;0)-1,$F$1)))</f>
        <v>1.2599210498948732</v>
      </c>
      <c r="H42" s="13" t="s">
        <v>57</v>
      </c>
      <c r="I42" s="9">
        <v>10</v>
      </c>
      <c r="J42" s="9">
        <v>10</v>
      </c>
      <c r="K42" s="9">
        <v>12</v>
      </c>
      <c r="L42" s="9">
        <v>20</v>
      </c>
    </row>
    <row r="43" spans="1:23" x14ac:dyDescent="0.25">
      <c r="A43" s="9">
        <f>A42+1</f>
        <v>42</v>
      </c>
      <c r="B43" s="9">
        <f t="array" ref="B43">IF(C43="",0,IF(OR(C43=Country_Comparison!$S$10:$S$29),1,0))</f>
        <v>0</v>
      </c>
      <c r="C43" s="9" t="str">
        <f>IF(H43="","",H43)</f>
        <v>Ireland</v>
      </c>
      <c r="D43" s="6">
        <f>MAX(I43:BD43)</f>
        <v>19</v>
      </c>
      <c r="E43" s="6">
        <f>IF(COUNTIF(I43:XFD43,"&gt;"&amp;0)=0,,HLOOKUP(COUNTIF(I43:XFD43,"&gt;"&amp;0)-1,I$1:XFD43,A43+1,FALSE))</f>
        <v>19</v>
      </c>
      <c r="F43" s="7">
        <f>IF(COUNTIF(I43:XFD43,"&gt;"&amp;0)=0,,HLOOKUP(COUNTIF(I43:XFD43,"&gt;"&amp;0)-MIN($F$1+1,COUNTIF(I43:XFD43,"&gt;"&amp;0)),I$1:XFD43,A43+1,FALSE))</f>
        <v>9</v>
      </c>
      <c r="G43" s="8">
        <f>IF(COUNTIF(I43:XFD43,"&gt;"&amp;0)=0,,(E43/F43)^(1/MIN(COUNTIF(I43:XFD43,"&gt;"&amp;0)-1,$F$1)))</f>
        <v>2.1111111111111112</v>
      </c>
      <c r="H43" s="13" t="s">
        <v>98</v>
      </c>
      <c r="I43" s="9">
        <v>9</v>
      </c>
      <c r="J43" s="9">
        <v>19</v>
      </c>
    </row>
    <row r="44" spans="1:23" x14ac:dyDescent="0.25">
      <c r="A44" s="9">
        <f>A43+1</f>
        <v>43</v>
      </c>
      <c r="B44" s="9">
        <f t="array" ref="B44">IF(C44="",0,IF(OR(C44=Country_Comparison!$S$10:$S$29),1,0))</f>
        <v>0</v>
      </c>
      <c r="C44" s="9" t="str">
        <f>IF(H44="","",H44)</f>
        <v>Poland</v>
      </c>
      <c r="D44" s="6">
        <f>MAX(I44:BD44)</f>
        <v>16</v>
      </c>
      <c r="E44" s="6">
        <f>IF(COUNTIF(I44:XFD44,"&gt;"&amp;0)=0,,HLOOKUP(COUNTIF(I44:XFD44,"&gt;"&amp;0)-1,I$1:XFD44,A44+1,FALSE))</f>
        <v>16</v>
      </c>
      <c r="F44" s="7">
        <f>IF(COUNTIF(I44:XFD44,"&gt;"&amp;0)=0,,HLOOKUP(COUNTIF(I44:XFD44,"&gt;"&amp;0)-MIN($F$1+1,COUNTIF(I44:XFD44,"&gt;"&amp;0)),I$1:XFD44,A44+1,FALSE))</f>
        <v>8</v>
      </c>
      <c r="G44" s="8">
        <f>IF(COUNTIF(I44:XFD44,"&gt;"&amp;0)=0,,(E44/F44)^(1/MIN(COUNTIF(I44:XFD44,"&gt;"&amp;0)-1,$F$1)))</f>
        <v>1.2599210498948732</v>
      </c>
      <c r="H44" s="13" t="s">
        <v>137</v>
      </c>
      <c r="I44" s="9">
        <v>8</v>
      </c>
      <c r="J44" s="9">
        <v>10</v>
      </c>
      <c r="K44" s="9">
        <v>14</v>
      </c>
      <c r="L44" s="9">
        <v>16</v>
      </c>
    </row>
    <row r="45" spans="1:23" x14ac:dyDescent="0.25">
      <c r="A45" s="9">
        <f>A44+1</f>
        <v>44</v>
      </c>
      <c r="B45" s="9">
        <f t="array" ref="B45">IF(C45="",0,IF(OR(C45=Country_Comparison!$S$10:$S$29),1,0))</f>
        <v>0</v>
      </c>
      <c r="C45" s="9" t="str">
        <f>IF(H45="","",H45)</f>
        <v>Norway</v>
      </c>
      <c r="D45" s="6">
        <f>MAX(I45:BD45)</f>
        <v>14</v>
      </c>
      <c r="E45" s="6">
        <f>IF(COUNTIF(I45:XFD45,"&gt;"&amp;0)=0,,HLOOKUP(COUNTIF(I45:XFD45,"&gt;"&amp;0)-1,I$1:XFD45,A45+1,FALSE))</f>
        <v>14</v>
      </c>
      <c r="F45" s="7">
        <f>IF(COUNTIF(I45:XFD45,"&gt;"&amp;0)=0,,HLOOKUP(COUNTIF(I45:XFD45,"&gt;"&amp;0)-MIN($F$1+1,COUNTIF(I45:XFD45,"&gt;"&amp;0)),I$1:XFD45,A45+1,FALSE))</f>
        <v>10</v>
      </c>
      <c r="G45" s="8">
        <f>IF(COUNTIF(I45:XFD45,"&gt;"&amp;0)=0,,(E45/F45)^(1/MIN(COUNTIF(I45:XFD45,"&gt;"&amp;0)-1,$F$1)))</f>
        <v>1.1186889420813968</v>
      </c>
      <c r="H45" s="13" t="s">
        <v>85</v>
      </c>
      <c r="I45" s="9">
        <v>10</v>
      </c>
      <c r="J45" s="9">
        <v>12</v>
      </c>
      <c r="K45" s="9">
        <v>14</v>
      </c>
      <c r="L45" s="9">
        <v>14</v>
      </c>
    </row>
    <row r="46" spans="1:23" x14ac:dyDescent="0.25">
      <c r="A46" s="9">
        <f>A45+1</f>
        <v>45</v>
      </c>
      <c r="B46" s="9">
        <f t="array" ref="B46">IF(C46="",0,IF(OR(C46=Country_Comparison!$S$10:$S$29),1,0))</f>
        <v>0</v>
      </c>
      <c r="C46" s="9" t="str">
        <f>IF(H46="","",H46)</f>
        <v>Australia</v>
      </c>
      <c r="D46" s="6">
        <f>MAX(I46:BD46)</f>
        <v>13</v>
      </c>
      <c r="E46" s="6">
        <f>IF(COUNTIF(I46:XFD46,"&gt;"&amp;0)=0,,HLOOKUP(COUNTIF(I46:XFD46,"&gt;"&amp;0)-1,I$1:XFD46,A46+1,FALSE))</f>
        <v>13</v>
      </c>
      <c r="F46" s="7">
        <f>IF(COUNTIF(I46:XFD46,"&gt;"&amp;0)=0,,HLOOKUP(COUNTIF(I46:XFD46,"&gt;"&amp;0)-MIN($F$1+1,COUNTIF(I46:XFD46,"&gt;"&amp;0)),I$1:XFD46,A46+1,FALSE))</f>
        <v>8</v>
      </c>
      <c r="G46" s="8">
        <f>IF(COUNTIF(I46:XFD46,"&gt;"&amp;0)=0,,(E46/F46)^(1/MIN(COUNTIF(I46:XFD46,"&gt;"&amp;0)-1,$F$1)))</f>
        <v>1.2747548783981961</v>
      </c>
      <c r="H46" s="13" t="s">
        <v>48</v>
      </c>
      <c r="I46" s="9">
        <v>8</v>
      </c>
      <c r="J46" s="9">
        <v>8</v>
      </c>
      <c r="K46" s="9">
        <v>13</v>
      </c>
    </row>
    <row r="47" spans="1:23" x14ac:dyDescent="0.25">
      <c r="A47" s="9">
        <f>A46+1</f>
        <v>46</v>
      </c>
      <c r="B47" s="9">
        <f t="array" ref="B47">IF(C47="",0,IF(OR(C47=Country_Comparison!$S$10:$S$29),1,0))</f>
        <v>0</v>
      </c>
      <c r="C47" s="9" t="str">
        <f>IF(H47="","",H47)</f>
        <v>Morocco</v>
      </c>
      <c r="D47" s="6">
        <f>MAX(I47:BD47)</f>
        <v>11</v>
      </c>
      <c r="E47" s="6">
        <f>IF(COUNTIF(I47:XFD47,"&gt;"&amp;0)=0,,HLOOKUP(COUNTIF(I47:XFD47,"&gt;"&amp;0)-1,I$1:XFD47,A47+1,FALSE))</f>
        <v>11</v>
      </c>
      <c r="F47" s="7">
        <f>IF(COUNTIF(I47:XFD47,"&gt;"&amp;0)=0,,HLOOKUP(COUNTIF(I47:XFD47,"&gt;"&amp;0)-MIN($F$1+1,COUNTIF(I47:XFD47,"&gt;"&amp;0)),I$1:XFD47,A47+1,FALSE))</f>
        <v>11</v>
      </c>
      <c r="G47" s="8" t="e">
        <f>IF(COUNTIF(I47:XFD47,"&gt;"&amp;0)=0,,(E47/F47)^(1/MIN(COUNTIF(I47:XFD47,"&gt;"&amp;0)-1,$F$1)))</f>
        <v>#DIV/0!</v>
      </c>
      <c r="H47" s="13" t="s">
        <v>112</v>
      </c>
      <c r="I47" s="9">
        <v>11</v>
      </c>
    </row>
    <row r="48" spans="1:23" x14ac:dyDescent="0.25">
      <c r="A48" s="9">
        <f>A47+1</f>
        <v>47</v>
      </c>
      <c r="B48" s="9">
        <f t="array" ref="B48">IF(C48="",0,IF(OR(C48=Country_Comparison!$S$10:$S$29),1,0))</f>
        <v>0</v>
      </c>
      <c r="C48" s="9" t="str">
        <f>IF(H48="","",H48)</f>
        <v>Hungary</v>
      </c>
      <c r="D48" s="6">
        <f>MAX(I48:BD48)</f>
        <v>10</v>
      </c>
      <c r="E48" s="6">
        <f>IF(COUNTIF(I48:XFD48,"&gt;"&amp;0)=0,,HLOOKUP(COUNTIF(I48:XFD48,"&gt;"&amp;0)-1,I$1:XFD48,A48+1,FALSE))</f>
        <v>10</v>
      </c>
      <c r="F48" s="7">
        <f>IF(COUNTIF(I48:XFD48,"&gt;"&amp;0)=0,,HLOOKUP(COUNTIF(I48:XFD48,"&gt;"&amp;0)-MIN($F$1+1,COUNTIF(I48:XFD48,"&gt;"&amp;0)),I$1:XFD48,A48+1,FALSE))</f>
        <v>9</v>
      </c>
      <c r="G48" s="8">
        <f>IF(COUNTIF(I48:XFD48,"&gt;"&amp;0)=0,,(E48/F48)^(1/MIN(COUNTIF(I48:XFD48,"&gt;"&amp;0)-1,$F$1)))</f>
        <v>1.0540925533894598</v>
      </c>
      <c r="H48" s="13" t="s">
        <v>132</v>
      </c>
      <c r="I48" s="9">
        <v>9</v>
      </c>
      <c r="J48" s="9">
        <v>10</v>
      </c>
      <c r="K48" s="9">
        <v>10</v>
      </c>
    </row>
    <row r="49" spans="1:14" x14ac:dyDescent="0.25">
      <c r="A49" s="9">
        <f>A48+1</f>
        <v>48</v>
      </c>
      <c r="B49" s="9">
        <f t="array" ref="B49">IF(C49="",0,IF(OR(C49=Country_Comparison!$S$10:$S$29),1,0))</f>
        <v>0</v>
      </c>
      <c r="C49" s="9" t="str">
        <f>IF(H49="","",H49)</f>
        <v>Dominican Republic</v>
      </c>
      <c r="D49" s="6">
        <f>MAX(I49:BD49)</f>
        <v>10</v>
      </c>
      <c r="E49" s="6">
        <f>IF(COUNTIF(I49:XFD49,"&gt;"&amp;0)=0,,HLOOKUP(COUNTIF(I49:XFD49,"&gt;"&amp;0)-1,I$1:XFD49,A49+1,FALSE))</f>
        <v>10</v>
      </c>
      <c r="F49" s="7">
        <f>IF(COUNTIF(I49:XFD49,"&gt;"&amp;0)=0,,HLOOKUP(COUNTIF(I49:XFD49,"&gt;"&amp;0)-MIN($F$1+1,COUNTIF(I49:XFD49,"&gt;"&amp;0)),I$1:XFD49,A49+1,FALSE))</f>
        <v>10</v>
      </c>
      <c r="G49" s="8">
        <f>IF(COUNTIF(I49:XFD49,"&gt;"&amp;0)=0,,(E49/F49)^(1/MIN(COUNTIF(I49:XFD49,"&gt;"&amp;0)-1,$F$1)))</f>
        <v>1</v>
      </c>
      <c r="H49" s="13" t="s">
        <v>106</v>
      </c>
      <c r="I49" s="9">
        <v>10</v>
      </c>
      <c r="J49" s="9">
        <v>10</v>
      </c>
    </row>
    <row r="50" spans="1:14" x14ac:dyDescent="0.25">
      <c r="A50" s="9">
        <f>A49+1</f>
        <v>49</v>
      </c>
      <c r="B50" s="9">
        <f t="array" ref="B50">IF(C50="",0,IF(OR(C50=Country_Comparison!$S$10:$S$29),1,0))</f>
        <v>0</v>
      </c>
      <c r="C50" s="9" t="str">
        <f>IF(H50="","",H50)</f>
        <v>Czechia</v>
      </c>
      <c r="D50" s="6">
        <f>MAX(I50:BD50)</f>
        <v>9</v>
      </c>
      <c r="E50" s="6">
        <f>IF(COUNTIF(I50:XFD50,"&gt;"&amp;0)=0,,HLOOKUP(COUNTIF(I50:XFD50,"&gt;"&amp;0)-1,I$1:XFD50,A50+1,FALSE))</f>
        <v>9</v>
      </c>
      <c r="F50" s="7">
        <f>IF(COUNTIF(I50:XFD50,"&gt;"&amp;0)=0,,HLOOKUP(COUNTIF(I50:XFD50,"&gt;"&amp;0)-MIN($F$1+1,COUNTIF(I50:XFD50,"&gt;"&amp;0)),I$1:XFD50,A50+1,FALSE))</f>
        <v>9</v>
      </c>
      <c r="G50" s="8" t="e">
        <f>IF(COUNTIF(I50:XFD50,"&gt;"&amp;0)=0,,(E50/F50)^(1/MIN(COUNTIF(I50:XFD50,"&gt;"&amp;0)-1,$F$1)))</f>
        <v>#DIV/0!</v>
      </c>
      <c r="H50" s="13" t="s">
        <v>341</v>
      </c>
      <c r="I50" s="9">
        <v>9</v>
      </c>
    </row>
    <row r="51" spans="1:14" x14ac:dyDescent="0.25">
      <c r="A51" s="9">
        <f>A50+1</f>
        <v>50</v>
      </c>
      <c r="B51" s="9">
        <f t="array" ref="B51">IF(C51="",0,IF(OR(C51=Country_Comparison!$S$10:$S$29),1,0))</f>
        <v>0</v>
      </c>
      <c r="C51" s="9" t="str">
        <f>IF(H51="","",H51)</f>
        <v>Luxembourg</v>
      </c>
      <c r="D51" s="6">
        <f>MAX(I51:BD51)</f>
        <v>9</v>
      </c>
      <c r="E51" s="6">
        <f>IF(COUNTIF(I51:XFD51,"&gt;"&amp;0)=0,,HLOOKUP(COUNTIF(I51:XFD51,"&gt;"&amp;0)-1,I$1:XFD51,A51+1,FALSE))</f>
        <v>9</v>
      </c>
      <c r="F51" s="7">
        <f>IF(COUNTIF(I51:XFD51,"&gt;"&amp;0)=0,,HLOOKUP(COUNTIF(I51:XFD51,"&gt;"&amp;0)-MIN($F$1+1,COUNTIF(I51:XFD51,"&gt;"&amp;0)),I$1:XFD51,A51+1,FALSE))</f>
        <v>8</v>
      </c>
      <c r="G51" s="8">
        <f>IF(COUNTIF(I51:XFD51,"&gt;"&amp;0)=0,,(E51/F51)^(1/MIN(COUNTIF(I51:XFD51,"&gt;"&amp;0)-1,$F$1)))</f>
        <v>1.0238362555396097</v>
      </c>
      <c r="H51" s="13" t="s">
        <v>99</v>
      </c>
      <c r="I51" s="9">
        <v>8</v>
      </c>
      <c r="J51" s="9">
        <v>8</v>
      </c>
      <c r="K51" s="9">
        <v>8</v>
      </c>
      <c r="L51" s="9">
        <v>8</v>
      </c>
      <c r="M51" s="9">
        <v>8</v>
      </c>
      <c r="N51" s="9">
        <v>9</v>
      </c>
    </row>
    <row r="52" spans="1:14" x14ac:dyDescent="0.25">
      <c r="A52" s="9">
        <f>A51+1</f>
        <v>51</v>
      </c>
      <c r="B52" s="9">
        <f t="array" ref="B52">IF(C52="",0,IF(OR(C52=Country_Comparison!$S$10:$S$29),1,0))</f>
        <v>0</v>
      </c>
      <c r="C52" s="9" t="str">
        <f>IF(H52="","",H52)</f>
        <v>Argentina</v>
      </c>
      <c r="D52" s="6">
        <f>MAX(I52:BD52)</f>
        <v>9</v>
      </c>
      <c r="E52" s="6">
        <f>IF(COUNTIF(I52:XFD52,"&gt;"&amp;0)=0,,HLOOKUP(COUNTIF(I52:XFD52,"&gt;"&amp;0)-1,I$1:XFD52,A52+1,FALSE))</f>
        <v>9</v>
      </c>
      <c r="F52" s="7">
        <f>IF(COUNTIF(I52:XFD52,"&gt;"&amp;0)=0,,HLOOKUP(COUNTIF(I52:XFD52,"&gt;"&amp;0)-MIN($F$1+1,COUNTIF(I52:XFD52,"&gt;"&amp;0)),I$1:XFD52,A52+1,FALSE))</f>
        <v>8</v>
      </c>
      <c r="G52" s="8">
        <f>IF(COUNTIF(I52:XFD52,"&gt;"&amp;0)=0,,(E52/F52)^(1/MIN(COUNTIF(I52:XFD52,"&gt;"&amp;0)-1,$F$1)))</f>
        <v>1.125</v>
      </c>
      <c r="H52" s="13" t="s">
        <v>123</v>
      </c>
      <c r="I52" s="9">
        <v>8</v>
      </c>
      <c r="J52" s="9">
        <v>9</v>
      </c>
    </row>
    <row r="53" spans="1:14" x14ac:dyDescent="0.25">
      <c r="A53" s="9">
        <f>A52+1</f>
        <v>52</v>
      </c>
      <c r="B53" s="9">
        <f t="array" ref="B53">IF(C53="",0,IF(OR(C53=Country_Comparison!$S$10:$S$29),1,0))</f>
        <v>0</v>
      </c>
      <c r="C53" s="9" t="str">
        <f>IF(H53="","",H53)</f>
        <v>Pakistan</v>
      </c>
      <c r="D53" s="6">
        <f>MAX(I53:BD53)</f>
        <v>9</v>
      </c>
      <c r="E53" s="6">
        <f>IF(COUNTIF(I53:XFD53,"&gt;"&amp;0)=0,,HLOOKUP(COUNTIF(I53:XFD53,"&gt;"&amp;0)-1,I$1:XFD53,A53+1,FALSE))</f>
        <v>9</v>
      </c>
      <c r="F53" s="7">
        <f>IF(COUNTIF(I53:XFD53,"&gt;"&amp;0)=0,,HLOOKUP(COUNTIF(I53:XFD53,"&gt;"&amp;0)-MIN($F$1+1,COUNTIF(I53:XFD53,"&gt;"&amp;0)),I$1:XFD53,A53+1,FALSE))</f>
        <v>8</v>
      </c>
      <c r="G53" s="8">
        <f>IF(COUNTIF(I53:XFD53,"&gt;"&amp;0)=0,,(E53/F53)^(1/MIN(COUNTIF(I53:XFD53,"&gt;"&amp;0)-1,$F$1)))</f>
        <v>1.125</v>
      </c>
      <c r="H53" s="13" t="s">
        <v>80</v>
      </c>
      <c r="I53" s="9">
        <v>8</v>
      </c>
      <c r="J53" s="9">
        <v>9</v>
      </c>
    </row>
    <row r="54" spans="1:14" x14ac:dyDescent="0.25">
      <c r="A54" s="9">
        <f>A53+1</f>
        <v>53</v>
      </c>
      <c r="B54" s="9">
        <f t="array" ref="B54">IF(C54="",0,IF(OR(C54=Country_Comparison!$S$10:$S$29),1,0))</f>
        <v>0</v>
      </c>
      <c r="C54" s="9" t="str">
        <f>IF(H54="","",H54)</f>
        <v>Peru</v>
      </c>
      <c r="D54" s="6">
        <f>MAX(I54:BD54)</f>
        <v>9</v>
      </c>
      <c r="E54" s="6">
        <f>IF(COUNTIF(I54:XFD54,"&gt;"&amp;0)=0,,HLOOKUP(COUNTIF(I54:XFD54,"&gt;"&amp;0)-1,I$1:XFD54,A54+1,FALSE))</f>
        <v>9</v>
      </c>
      <c r="F54" s="7">
        <f>IF(COUNTIF(I54:XFD54,"&gt;"&amp;0)=0,,HLOOKUP(COUNTIF(I54:XFD54,"&gt;"&amp;0)-MIN($F$1+1,COUNTIF(I54:XFD54,"&gt;"&amp;0)),I$1:XFD54,A54+1,FALSE))</f>
        <v>9</v>
      </c>
      <c r="G54" s="8">
        <f>IF(COUNTIF(I54:XFD54,"&gt;"&amp;0)=0,,(E54/F54)^(1/MIN(COUNTIF(I54:XFD54,"&gt;"&amp;0)-1,$F$1)))</f>
        <v>1</v>
      </c>
      <c r="H54" s="13" t="s">
        <v>160</v>
      </c>
      <c r="I54" s="9">
        <v>9</v>
      </c>
      <c r="J54" s="9">
        <v>9</v>
      </c>
    </row>
    <row r="55" spans="1:14" x14ac:dyDescent="0.25">
      <c r="A55" s="9">
        <f>A54+1</f>
        <v>54</v>
      </c>
      <c r="B55" s="9">
        <f t="array" ref="B55">IF(C55="",0,IF(OR(C55=Country_Comparison!$S$10:$S$29),1,0))</f>
        <v>0</v>
      </c>
      <c r="C55" s="9" t="str">
        <f>IF(H55="","",H55)</f>
        <v>Israel</v>
      </c>
      <c r="D55" s="6">
        <f>MAX(I55:BD55)</f>
        <v>8</v>
      </c>
      <c r="E55" s="6">
        <f>IF(COUNTIF(I55:XFD55,"&gt;"&amp;0)=0,,HLOOKUP(COUNTIF(I55:XFD55,"&gt;"&amp;0)-1,I$1:XFD55,A55+1,FALSE))</f>
        <v>8</v>
      </c>
      <c r="F55" s="7">
        <f>IF(COUNTIF(I55:XFD55,"&gt;"&amp;0)=0,,HLOOKUP(COUNTIF(I55:XFD55,"&gt;"&amp;0)-MIN($F$1+1,COUNTIF(I55:XFD55,"&gt;"&amp;0)),I$1:XFD55,A55+1,FALSE))</f>
        <v>8</v>
      </c>
      <c r="G55" s="8" t="e">
        <f>IF(COUNTIF(I55:XFD55,"&gt;"&amp;0)=0,,(E55/F55)^(1/MIN(COUNTIF(I55:XFD55,"&gt;"&amp;0)-1,$F$1)))</f>
        <v>#DIV/0!</v>
      </c>
      <c r="H55" s="13" t="s">
        <v>79</v>
      </c>
      <c r="I55" s="9">
        <v>8</v>
      </c>
    </row>
    <row r="56" spans="1:14" x14ac:dyDescent="0.25">
      <c r="A56" s="9">
        <f>A55+1</f>
        <v>55</v>
      </c>
      <c r="B56" s="9">
        <f t="array" ref="B56">IF(C56="",0,IF(OR(C56=Country_Comparison!$S$10:$S$29),1,0))</f>
        <v>0</v>
      </c>
      <c r="C56" s="9" t="str">
        <f>IF(H56="","",H56)</f>
        <v>Panama</v>
      </c>
      <c r="D56" s="6">
        <f>MAX(I56:BD56)</f>
        <v>8</v>
      </c>
      <c r="E56" s="6">
        <f>IF(COUNTIF(I56:XFD56,"&gt;"&amp;0)=0,,HLOOKUP(COUNTIF(I56:XFD56,"&gt;"&amp;0)-1,I$1:XFD56,A56+1,FALSE))</f>
        <v>8</v>
      </c>
      <c r="F56" s="7">
        <f>IF(COUNTIF(I56:XFD56,"&gt;"&amp;0)=0,,HLOOKUP(COUNTIF(I56:XFD56,"&gt;"&amp;0)-MIN($F$1+1,COUNTIF(I56:XFD56,"&gt;"&amp;0)),I$1:XFD56,A56+1,FALSE))</f>
        <v>8</v>
      </c>
      <c r="G56" s="8">
        <f>IF(COUNTIF(I56:XFD56,"&gt;"&amp;0)=0,,(E56/F56)^(1/MIN(COUNTIF(I56:XFD56,"&gt;"&amp;0)-1,$F$1)))</f>
        <v>1</v>
      </c>
      <c r="H56" s="13" t="s">
        <v>283</v>
      </c>
      <c r="I56" s="9">
        <v>8</v>
      </c>
      <c r="J56" s="9">
        <v>8</v>
      </c>
    </row>
    <row r="57" spans="1:14" x14ac:dyDescent="0.25">
      <c r="A57" s="9">
        <f>A56+1</f>
        <v>56</v>
      </c>
      <c r="B57" s="9">
        <f t="array" ref="B57">IF(C57="",0,IF(OR(C57=Country_Comparison!$S$10:$S$29),1,0))</f>
        <v>0</v>
      </c>
      <c r="C57" s="9" t="str">
        <f>IF(H57="","",H57)</f>
        <v/>
      </c>
      <c r="D57" s="6">
        <f>MAX(I57:BD57)</f>
        <v>0</v>
      </c>
      <c r="E57" s="6">
        <f>IF(COUNTIF(I57:XFD57,"&gt;"&amp;0)=0,,HLOOKUP(COUNTIF(I57:XFD57,"&gt;"&amp;0)-1,I$1:XFD57,A57+1,FALSE))</f>
        <v>0</v>
      </c>
      <c r="F57" s="7">
        <f>IF(COUNTIF(I57:XFD57,"&gt;"&amp;0)=0,,HLOOKUP(COUNTIF(I57:XFD57,"&gt;"&amp;0)-MIN($F$1+1,COUNTIF(I57:XFD57,"&gt;"&amp;0)),I$1:XFD57,A57+1,FALSE))</f>
        <v>0</v>
      </c>
      <c r="G57" s="8">
        <f>IF(COUNTIF(I57:XFD57,"&gt;"&amp;0)=0,,(E57/F57)^(1/MIN(COUNTIF(I57:XFD57,"&gt;"&amp;0)-1,$F$1)))</f>
        <v>0</v>
      </c>
    </row>
    <row r="58" spans="1:14" x14ac:dyDescent="0.25">
      <c r="A58" s="9">
        <f>A57+1</f>
        <v>57</v>
      </c>
      <c r="B58" s="9">
        <f t="array" ref="B58">IF(C58="",0,IF(OR(C58=Country_Comparison!$S$10:$S$29),1,0))</f>
        <v>0</v>
      </c>
      <c r="C58" s="9" t="str">
        <f>IF(H58="","",H58)</f>
        <v/>
      </c>
      <c r="D58" s="6">
        <f>MAX(I58:BD58)</f>
        <v>0</v>
      </c>
      <c r="E58" s="6">
        <f>IF(COUNTIF(I58:XFD58,"&gt;"&amp;0)=0,,HLOOKUP(COUNTIF(I58:XFD58,"&gt;"&amp;0)-1,I$1:XFD58,A58+1,FALSE))</f>
        <v>0</v>
      </c>
      <c r="F58" s="7">
        <f>IF(COUNTIF(I58:XFD58,"&gt;"&amp;0)=0,,HLOOKUP(COUNTIF(I58:XFD58,"&gt;"&amp;0)-MIN($F$1+1,COUNTIF(I58:XFD58,"&gt;"&amp;0)),I$1:XFD58,A58+1,FALSE))</f>
        <v>0</v>
      </c>
      <c r="G58" s="8">
        <f>IF(COUNTIF(I58:XFD58,"&gt;"&amp;0)=0,,(E58/F58)^(1/MIN(COUNTIF(I58:XFD58,"&gt;"&amp;0)-1,$F$1)))</f>
        <v>0</v>
      </c>
    </row>
    <row r="59" spans="1:14" x14ac:dyDescent="0.25">
      <c r="A59" s="9">
        <f>A58+1</f>
        <v>58</v>
      </c>
      <c r="B59" s="9">
        <f t="array" ref="B59">IF(C59="",0,IF(OR(C59=Country_Comparison!$S$10:$S$29),1,0))</f>
        <v>0</v>
      </c>
      <c r="C59" s="9" t="str">
        <f>IF(H59="","",H59)</f>
        <v/>
      </c>
      <c r="D59" s="6">
        <f>MAX(I59:BD59)</f>
        <v>0</v>
      </c>
      <c r="E59" s="6">
        <f>IF(COUNTIF(I59:XFD59,"&gt;"&amp;0)=0,,HLOOKUP(COUNTIF(I59:XFD59,"&gt;"&amp;0)-1,I$1:XFD59,A59+1,FALSE))</f>
        <v>0</v>
      </c>
      <c r="F59" s="7">
        <f>IF(COUNTIF(I59:XFD59,"&gt;"&amp;0)=0,,HLOOKUP(COUNTIF(I59:XFD59,"&gt;"&amp;0)-MIN($F$1+1,COUNTIF(I59:XFD59,"&gt;"&amp;0)),I$1:XFD59,A59+1,FALSE))</f>
        <v>0</v>
      </c>
      <c r="G59" s="8">
        <f>IF(COUNTIF(I59:XFD59,"&gt;"&amp;0)=0,,(E59/F59)^(1/MIN(COUNTIF(I59:XFD59,"&gt;"&amp;0)-1,$F$1)))</f>
        <v>0</v>
      </c>
    </row>
    <row r="60" spans="1:14" x14ac:dyDescent="0.25">
      <c r="A60" s="9">
        <f>A59+1</f>
        <v>59</v>
      </c>
      <c r="B60" s="9">
        <f t="array" ref="B60">IF(C60="",0,IF(OR(C60=Country_Comparison!$S$10:$S$29),1,0))</f>
        <v>0</v>
      </c>
      <c r="C60" s="9" t="str">
        <f>IF(H60="","",H60)</f>
        <v/>
      </c>
      <c r="D60" s="6">
        <f>MAX(I60:BD60)</f>
        <v>0</v>
      </c>
      <c r="E60" s="6">
        <f>IF(COUNTIF(I60:XFD60,"&gt;"&amp;0)=0,,HLOOKUP(COUNTIF(I60:XFD60,"&gt;"&amp;0)-1,I$1:XFD60,A60+1,FALSE))</f>
        <v>0</v>
      </c>
      <c r="F60" s="7">
        <f>IF(COUNTIF(I60:XFD60,"&gt;"&amp;0)=0,,HLOOKUP(COUNTIF(I60:XFD60,"&gt;"&amp;0)-MIN($F$1+1,COUNTIF(I60:XFD60,"&gt;"&amp;0)),I$1:XFD60,A60+1,FALSE))</f>
        <v>0</v>
      </c>
      <c r="G60" s="8">
        <f>IF(COUNTIF(I60:XFD60,"&gt;"&amp;0)=0,,(E60/F60)^(1/MIN(COUNTIF(I60:XFD60,"&gt;"&amp;0)-1,$F$1)))</f>
        <v>0</v>
      </c>
    </row>
    <row r="61" spans="1:14" x14ac:dyDescent="0.25">
      <c r="A61" s="9">
        <f>A60+1</f>
        <v>60</v>
      </c>
      <c r="B61" s="9">
        <f t="array" ref="B61">IF(C61="",0,IF(OR(C61=Country_Comparison!$S$10:$S$29),1,0))</f>
        <v>0</v>
      </c>
      <c r="C61" s="9" t="str">
        <f>IF(H61="","",H61)</f>
        <v/>
      </c>
      <c r="D61" s="6">
        <f>MAX(I61:BD61)</f>
        <v>0</v>
      </c>
      <c r="E61" s="6">
        <f>IF(COUNTIF(I61:XFD61,"&gt;"&amp;0)=0,,HLOOKUP(COUNTIF(I61:XFD61,"&gt;"&amp;0)-1,I$1:XFD61,A61+1,FALSE))</f>
        <v>0</v>
      </c>
      <c r="F61" s="7">
        <f>IF(COUNTIF(I61:XFD61,"&gt;"&amp;0)=0,,HLOOKUP(COUNTIF(I61:XFD61,"&gt;"&amp;0)-MIN($F$1+1,COUNTIF(I61:XFD61,"&gt;"&amp;0)),I$1:XFD61,A61+1,FALSE))</f>
        <v>0</v>
      </c>
      <c r="G61" s="8">
        <f>IF(COUNTIF(I61:XFD61,"&gt;"&amp;0)=0,,(E61/F61)^(1/MIN(COUNTIF(I61:XFD61,"&gt;"&amp;0)-1,$F$1)))</f>
        <v>0</v>
      </c>
    </row>
    <row r="62" spans="1:14" x14ac:dyDescent="0.25">
      <c r="A62" s="9">
        <f>A61+1</f>
        <v>61</v>
      </c>
      <c r="B62" s="9">
        <f t="array" ref="B62">IF(C62="",0,IF(OR(C62=Country_Comparison!$S$10:$S$29),1,0))</f>
        <v>0</v>
      </c>
      <c r="C62" s="9" t="str">
        <f>IF(H62="","",H62)</f>
        <v/>
      </c>
      <c r="D62" s="6">
        <f>MAX(I62:BD62)</f>
        <v>0</v>
      </c>
      <c r="E62" s="6">
        <f>IF(COUNTIF(I62:XFD62,"&gt;"&amp;0)=0,,HLOOKUP(COUNTIF(I62:XFD62,"&gt;"&amp;0)-1,I$1:XFD62,A62+1,FALSE))</f>
        <v>0</v>
      </c>
      <c r="F62" s="7">
        <f>IF(COUNTIF(I62:XFD62,"&gt;"&amp;0)=0,,HLOOKUP(COUNTIF(I62:XFD62,"&gt;"&amp;0)-MIN($F$1+1,COUNTIF(I62:XFD62,"&gt;"&amp;0)),I$1:XFD62,A62+1,FALSE))</f>
        <v>0</v>
      </c>
      <c r="G62" s="8">
        <f>IF(COUNTIF(I62:XFD62,"&gt;"&amp;0)=0,,(E62/F62)^(1/MIN(COUNTIF(I62:XFD62,"&gt;"&amp;0)-1,$F$1)))</f>
        <v>0</v>
      </c>
    </row>
    <row r="63" spans="1:14" x14ac:dyDescent="0.25">
      <c r="A63" s="9">
        <f>A62+1</f>
        <v>62</v>
      </c>
      <c r="B63" s="9">
        <f t="array" ref="B63">IF(C63="",0,IF(OR(C63=Country_Comparison!$S$10:$S$29),1,0))</f>
        <v>0</v>
      </c>
      <c r="C63" s="9" t="str">
        <f>IF(H63="","",H63)</f>
        <v/>
      </c>
      <c r="D63" s="6">
        <f>MAX(I63:BD63)</f>
        <v>0</v>
      </c>
      <c r="E63" s="6">
        <f>IF(COUNTIF(I63:XFD63,"&gt;"&amp;0)=0,,HLOOKUP(COUNTIF(I63:XFD63,"&gt;"&amp;0)-1,I$1:XFD63,A63+1,FALSE))</f>
        <v>0</v>
      </c>
      <c r="F63" s="7">
        <f>IF(COUNTIF(I63:XFD63,"&gt;"&amp;0)=0,,HLOOKUP(COUNTIF(I63:XFD63,"&gt;"&amp;0)-MIN($F$1+1,COUNTIF(I63:XFD63,"&gt;"&amp;0)),I$1:XFD63,A63+1,FALSE))</f>
        <v>0</v>
      </c>
      <c r="G63" s="8">
        <f>IF(COUNTIF(I63:XFD63,"&gt;"&amp;0)=0,,(E63/F63)^(1/MIN(COUNTIF(I63:XFD63,"&gt;"&amp;0)-1,$F$1)))</f>
        <v>0</v>
      </c>
    </row>
    <row r="64" spans="1:14" x14ac:dyDescent="0.25">
      <c r="A64" s="9">
        <f>A63+1</f>
        <v>63</v>
      </c>
      <c r="B64" s="9">
        <f t="array" ref="B64">IF(C64="",0,IF(OR(C64=Country_Comparison!$S$10:$S$29),1,0))</f>
        <v>0</v>
      </c>
      <c r="C64" s="9" t="str">
        <f>IF(H64="","",H64)</f>
        <v/>
      </c>
      <c r="D64" s="6">
        <f>MAX(I64:BD64)</f>
        <v>0</v>
      </c>
      <c r="E64" s="6">
        <f>IF(COUNTIF(I64:XFD64,"&gt;"&amp;0)=0,,HLOOKUP(COUNTIF(I64:XFD64,"&gt;"&amp;0)-1,I$1:XFD64,A64+1,FALSE))</f>
        <v>0</v>
      </c>
      <c r="F64" s="7">
        <f>IF(COUNTIF(I64:XFD64,"&gt;"&amp;0)=0,,HLOOKUP(COUNTIF(I64:XFD64,"&gt;"&amp;0)-MIN($F$1+1,COUNTIF(I64:XFD64,"&gt;"&amp;0)),I$1:XFD64,A64+1,FALSE))</f>
        <v>0</v>
      </c>
      <c r="G64" s="8">
        <f>IF(COUNTIF(I64:XFD64,"&gt;"&amp;0)=0,,(E64/F64)^(1/MIN(COUNTIF(I64:XFD64,"&gt;"&amp;0)-1,$F$1)))</f>
        <v>0</v>
      </c>
    </row>
    <row r="65" spans="1:7" x14ac:dyDescent="0.25">
      <c r="A65" s="9">
        <f>A64+1</f>
        <v>64</v>
      </c>
      <c r="B65" s="9">
        <f t="array" ref="B65">IF(C65="",0,IF(OR(C65=Country_Comparison!$S$10:$S$29),1,0))</f>
        <v>0</v>
      </c>
      <c r="C65" s="9" t="str">
        <f>IF(H65="","",H65)</f>
        <v/>
      </c>
      <c r="D65" s="6">
        <f>MAX(I65:BD65)</f>
        <v>0</v>
      </c>
      <c r="E65" s="6">
        <f>IF(COUNTIF(I65:XFD65,"&gt;"&amp;0)=0,,HLOOKUP(COUNTIF(I65:XFD65,"&gt;"&amp;0)-1,I$1:XFD65,A65+1,FALSE))</f>
        <v>0</v>
      </c>
      <c r="F65" s="7">
        <f>IF(COUNTIF(I65:XFD65,"&gt;"&amp;0)=0,,HLOOKUP(COUNTIF(I65:XFD65,"&gt;"&amp;0)-MIN($F$1+1,COUNTIF(I65:XFD65,"&gt;"&amp;0)),I$1:XFD65,A65+1,FALSE))</f>
        <v>0</v>
      </c>
      <c r="G65" s="8">
        <f>IF(COUNTIF(I65:XFD65,"&gt;"&amp;0)=0,,(E65/F65)^(1/MIN(COUNTIF(I65:XFD65,"&gt;"&amp;0)-1,$F$1)))</f>
        <v>0</v>
      </c>
    </row>
    <row r="66" spans="1:7" x14ac:dyDescent="0.25">
      <c r="A66" s="9">
        <f>A65+1</f>
        <v>65</v>
      </c>
      <c r="B66" s="9">
        <f t="array" ref="B66">IF(C66="",0,IF(OR(C66=Country_Comparison!$S$10:$S$29),1,0))</f>
        <v>0</v>
      </c>
      <c r="C66" s="9" t="str">
        <f>IF(H66="","",H66)</f>
        <v/>
      </c>
      <c r="D66" s="6">
        <f>MAX(I66:BD66)</f>
        <v>0</v>
      </c>
      <c r="E66" s="6">
        <f>IF(COUNTIF(I66:XFD66,"&gt;"&amp;0)=0,,HLOOKUP(COUNTIF(I66:XFD66,"&gt;"&amp;0)-1,I$1:XFD66,A66+1,FALSE))</f>
        <v>0</v>
      </c>
      <c r="F66" s="7">
        <f>IF(COUNTIF(I66:XFD66,"&gt;"&amp;0)=0,,HLOOKUP(COUNTIF(I66:XFD66,"&gt;"&amp;0)-MIN($F$1+1,COUNTIF(I66:XFD66,"&gt;"&amp;0)),I$1:XFD66,A66+1,FALSE))</f>
        <v>0</v>
      </c>
      <c r="G66" s="8">
        <f>IF(COUNTIF(I66:XFD66,"&gt;"&amp;0)=0,,(E66/F66)^(1/MIN(COUNTIF(I66:XFD66,"&gt;"&amp;0)-1,$F$1)))</f>
        <v>0</v>
      </c>
    </row>
    <row r="67" spans="1:7" x14ac:dyDescent="0.25">
      <c r="A67" s="9">
        <f>A66+1</f>
        <v>66</v>
      </c>
      <c r="B67" s="9">
        <f t="array" ref="B67">IF(C67="",0,IF(OR(C67=Country_Comparison!$S$10:$S$29),1,0))</f>
        <v>0</v>
      </c>
      <c r="C67" s="9" t="str">
        <f>IF(H67="","",H67)</f>
        <v/>
      </c>
      <c r="D67" s="6">
        <f>MAX(I67:BD67)</f>
        <v>0</v>
      </c>
      <c r="E67" s="6">
        <f>IF(COUNTIF(I67:XFD67,"&gt;"&amp;0)=0,,HLOOKUP(COUNTIF(I67:XFD67,"&gt;"&amp;0)-1,I$1:XFD67,A67+1,FALSE))</f>
        <v>0</v>
      </c>
      <c r="F67" s="7">
        <f>IF(COUNTIF(I67:XFD67,"&gt;"&amp;0)=0,,HLOOKUP(COUNTIF(I67:XFD67,"&gt;"&amp;0)-MIN($F$1+1,COUNTIF(I67:XFD67,"&gt;"&amp;0)),I$1:XFD67,A67+1,FALSE))</f>
        <v>0</v>
      </c>
      <c r="G67" s="8">
        <f>IF(COUNTIF(I67:XFD67,"&gt;"&amp;0)=0,,(E67/F67)^(1/MIN(COUNTIF(I67:XFD67,"&gt;"&amp;0)-1,$F$1)))</f>
        <v>0</v>
      </c>
    </row>
    <row r="68" spans="1:7" x14ac:dyDescent="0.25">
      <c r="A68" s="9">
        <f>A67+1</f>
        <v>67</v>
      </c>
      <c r="B68" s="9">
        <f t="array" ref="B68">IF(C68="",0,IF(OR(C68=Country_Comparison!$S$10:$S$29),1,0))</f>
        <v>0</v>
      </c>
      <c r="C68" s="9" t="str">
        <f>IF(H68="","",H68)</f>
        <v/>
      </c>
      <c r="D68" s="6">
        <f>MAX(I68:BD68)</f>
        <v>0</v>
      </c>
      <c r="E68" s="6">
        <f>IF(COUNTIF(I68:XFD68,"&gt;"&amp;0)=0,,HLOOKUP(COUNTIF(I68:XFD68,"&gt;"&amp;0)-1,I$1:XFD68,A68+1,FALSE))</f>
        <v>0</v>
      </c>
      <c r="F68" s="7">
        <f>IF(COUNTIF(I68:XFD68,"&gt;"&amp;0)=0,,HLOOKUP(COUNTIF(I68:XFD68,"&gt;"&amp;0)-MIN($F$1+1,COUNTIF(I68:XFD68,"&gt;"&amp;0)),I$1:XFD68,A68+1,FALSE))</f>
        <v>0</v>
      </c>
      <c r="G68" s="8">
        <f>IF(COUNTIF(I68:XFD68,"&gt;"&amp;0)=0,,(E68/F68)^(1/MIN(COUNTIF(I68:XFD68,"&gt;"&amp;0)-1,$F$1)))</f>
        <v>0</v>
      </c>
    </row>
    <row r="69" spans="1:7" x14ac:dyDescent="0.25">
      <c r="A69" s="9">
        <f>A68+1</f>
        <v>68</v>
      </c>
      <c r="B69" s="9">
        <f t="array" ref="B69">IF(C69="",0,IF(OR(C69=Country_Comparison!$S$10:$S$29),1,0))</f>
        <v>0</v>
      </c>
      <c r="C69" s="9" t="str">
        <f>IF(H69="","",H69)</f>
        <v/>
      </c>
      <c r="D69" s="6">
        <f>MAX(I69:BD69)</f>
        <v>0</v>
      </c>
      <c r="E69" s="6">
        <f>IF(COUNTIF(I69:XFD69,"&gt;"&amp;0)=0,,HLOOKUP(COUNTIF(I69:XFD69,"&gt;"&amp;0)-1,I$1:XFD69,A69+1,FALSE))</f>
        <v>0</v>
      </c>
      <c r="F69" s="7">
        <f>IF(COUNTIF(I69:XFD69,"&gt;"&amp;0)=0,,HLOOKUP(COUNTIF(I69:XFD69,"&gt;"&amp;0)-MIN($F$1+1,COUNTIF(I69:XFD69,"&gt;"&amp;0)),I$1:XFD69,A69+1,FALSE))</f>
        <v>0</v>
      </c>
      <c r="G69" s="8">
        <f>IF(COUNTIF(I69:XFD69,"&gt;"&amp;0)=0,,(E69/F69)^(1/MIN(COUNTIF(I69:XFD69,"&gt;"&amp;0)-1,$F$1)))</f>
        <v>0</v>
      </c>
    </row>
    <row r="70" spans="1:7" x14ac:dyDescent="0.25">
      <c r="A70" s="9">
        <f>A69+1</f>
        <v>69</v>
      </c>
      <c r="B70" s="9">
        <f t="array" ref="B70">IF(C70="",0,IF(OR(C70=Country_Comparison!$S$10:$S$29),1,0))</f>
        <v>0</v>
      </c>
      <c r="C70" s="9" t="str">
        <f>IF(H70="","",H70)</f>
        <v/>
      </c>
      <c r="D70" s="6">
        <f>MAX(I70:BD70)</f>
        <v>0</v>
      </c>
      <c r="E70" s="6">
        <f>IF(COUNTIF(I70:XFD70,"&gt;"&amp;0)=0,,HLOOKUP(COUNTIF(I70:XFD70,"&gt;"&amp;0)-1,I$1:XFD70,A70+1,FALSE))</f>
        <v>0</v>
      </c>
      <c r="F70" s="7">
        <f>IF(COUNTIF(I70:XFD70,"&gt;"&amp;0)=0,,HLOOKUP(COUNTIF(I70:XFD70,"&gt;"&amp;0)-MIN($F$1+1,COUNTIF(I70:XFD70,"&gt;"&amp;0)),I$1:XFD70,A70+1,FALSE))</f>
        <v>0</v>
      </c>
      <c r="G70" s="8">
        <f>IF(COUNTIF(I70:XFD70,"&gt;"&amp;0)=0,,(E70/F70)^(1/MIN(COUNTIF(I70:XFD70,"&gt;"&amp;0)-1,$F$1)))</f>
        <v>0</v>
      </c>
    </row>
    <row r="71" spans="1:7" x14ac:dyDescent="0.25">
      <c r="A71" s="9">
        <f>A70+1</f>
        <v>70</v>
      </c>
      <c r="B71" s="9">
        <f t="array" ref="B71">IF(C71="",0,IF(OR(C71=Country_Comparison!$S$10:$S$29),1,0))</f>
        <v>0</v>
      </c>
      <c r="C71" s="9" t="str">
        <f>IF(H71="","",H71)</f>
        <v/>
      </c>
      <c r="D71" s="6">
        <f>MAX(I71:BD71)</f>
        <v>0</v>
      </c>
      <c r="E71" s="6">
        <f>IF(COUNTIF(I71:XFD71,"&gt;"&amp;0)=0,,HLOOKUP(COUNTIF(I71:XFD71,"&gt;"&amp;0)-1,I$1:XFD71,A71+1,FALSE))</f>
        <v>0</v>
      </c>
      <c r="F71" s="7">
        <f>IF(COUNTIF(I71:XFD71,"&gt;"&amp;0)=0,,HLOOKUP(COUNTIF(I71:XFD71,"&gt;"&amp;0)-MIN($F$1+1,COUNTIF(I71:XFD71,"&gt;"&amp;0)),I$1:XFD71,A71+1,FALSE))</f>
        <v>0</v>
      </c>
      <c r="G71" s="8">
        <f>IF(COUNTIF(I71:XFD71,"&gt;"&amp;0)=0,,(E71/F71)^(1/MIN(COUNTIF(I71:XFD71,"&gt;"&amp;0)-1,$F$1)))</f>
        <v>0</v>
      </c>
    </row>
    <row r="72" spans="1:7" x14ac:dyDescent="0.25">
      <c r="A72" s="9">
        <f>A71+1</f>
        <v>71</v>
      </c>
      <c r="B72" s="9">
        <f t="array" ref="B72">IF(C72="",0,IF(OR(C72=Country_Comparison!$S$10:$S$29),1,0))</f>
        <v>0</v>
      </c>
      <c r="C72" s="9" t="str">
        <f>IF(H72="","",H72)</f>
        <v/>
      </c>
      <c r="D72" s="6">
        <f>MAX(I72:BD72)</f>
        <v>0</v>
      </c>
      <c r="E72" s="6">
        <f>IF(COUNTIF(I72:XFD72,"&gt;"&amp;0)=0,,HLOOKUP(COUNTIF(I72:XFD72,"&gt;"&amp;0)-1,I$1:XFD72,A72+1,FALSE))</f>
        <v>0</v>
      </c>
      <c r="F72" s="7">
        <f>IF(COUNTIF(I72:XFD72,"&gt;"&amp;0)=0,,HLOOKUP(COUNTIF(I72:XFD72,"&gt;"&amp;0)-MIN($F$1+1,COUNTIF(I72:XFD72,"&gt;"&amp;0)),I$1:XFD72,A72+1,FALSE))</f>
        <v>0</v>
      </c>
      <c r="G72" s="8">
        <f>IF(COUNTIF(I72:XFD72,"&gt;"&amp;0)=0,,(E72/F72)^(1/MIN(COUNTIF(I72:XFD72,"&gt;"&amp;0)-1,$F$1)))</f>
        <v>0</v>
      </c>
    </row>
    <row r="73" spans="1:7" x14ac:dyDescent="0.25">
      <c r="A73" s="9">
        <f>A72+1</f>
        <v>72</v>
      </c>
      <c r="B73" s="9">
        <f t="array" ref="B73">IF(C73="",0,IF(OR(C73=Country_Comparison!$S$10:$S$29),1,0))</f>
        <v>0</v>
      </c>
      <c r="C73" s="9" t="str">
        <f>IF(H73="","",H73)</f>
        <v/>
      </c>
      <c r="D73" s="6">
        <f>MAX(I73:BD73)</f>
        <v>0</v>
      </c>
      <c r="E73" s="6">
        <f>IF(COUNTIF(I73:XFD73,"&gt;"&amp;0)=0,,HLOOKUP(COUNTIF(I73:XFD73,"&gt;"&amp;0)-1,I$1:XFD73,A73+1,FALSE))</f>
        <v>0</v>
      </c>
      <c r="F73" s="7">
        <f>IF(COUNTIF(I73:XFD73,"&gt;"&amp;0)=0,,HLOOKUP(COUNTIF(I73:XFD73,"&gt;"&amp;0)-MIN($F$1+1,COUNTIF(I73:XFD73,"&gt;"&amp;0)),I$1:XFD73,A73+1,FALSE))</f>
        <v>0</v>
      </c>
      <c r="G73" s="8">
        <f>IF(COUNTIF(I73:XFD73,"&gt;"&amp;0)=0,,(E73/F73)^(1/MIN(COUNTIF(I73:XFD73,"&gt;"&amp;0)-1,$F$1)))</f>
        <v>0</v>
      </c>
    </row>
    <row r="74" spans="1:7" x14ac:dyDescent="0.25">
      <c r="A74" s="9">
        <f>A73+1</f>
        <v>73</v>
      </c>
      <c r="B74" s="9">
        <f t="array" ref="B74">IF(C74="",0,IF(OR(C74=Country_Comparison!$S$10:$S$29),1,0))</f>
        <v>0</v>
      </c>
      <c r="C74" s="9" t="str">
        <f>IF(H74="","",H74)</f>
        <v/>
      </c>
      <c r="D74" s="6">
        <f>MAX(I74:BD74)</f>
        <v>0</v>
      </c>
      <c r="E74" s="6">
        <f>IF(COUNTIF(I74:XFD74,"&gt;"&amp;0)=0,,HLOOKUP(COUNTIF(I74:XFD74,"&gt;"&amp;0)-1,I$1:XFD74,A74+1,FALSE))</f>
        <v>0</v>
      </c>
      <c r="F74" s="7">
        <f>IF(COUNTIF(I74:XFD74,"&gt;"&amp;0)=0,,HLOOKUP(COUNTIF(I74:XFD74,"&gt;"&amp;0)-MIN($F$1+1,COUNTIF(I74:XFD74,"&gt;"&amp;0)),I$1:XFD74,A74+1,FALSE))</f>
        <v>0</v>
      </c>
      <c r="G74" s="8">
        <f>IF(COUNTIF(I74:XFD74,"&gt;"&amp;0)=0,,(E74/F74)^(1/MIN(COUNTIF(I74:XFD74,"&gt;"&amp;0)-1,$F$1)))</f>
        <v>0</v>
      </c>
    </row>
    <row r="75" spans="1:7" x14ac:dyDescent="0.25">
      <c r="A75" s="9">
        <f>A74+1</f>
        <v>74</v>
      </c>
      <c r="B75" s="9">
        <f t="array" ref="B75">IF(C75="",0,IF(OR(C75=Country_Comparison!$S$10:$S$29),1,0))</f>
        <v>0</v>
      </c>
      <c r="C75" s="9" t="str">
        <f>IF(H75="","",H75)</f>
        <v/>
      </c>
      <c r="D75" s="6">
        <f>MAX(I75:BD75)</f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>IF(COUNTIF(I75:XFD75,"&gt;"&amp;0)=0,,(E75/F75)^(1/MIN(COUNTIF(I75:XFD75,"&gt;"&amp;0)-1,$F$1)))</f>
        <v>0</v>
      </c>
    </row>
    <row r="76" spans="1:7" x14ac:dyDescent="0.25">
      <c r="A76" s="9">
        <f>A75+1</f>
        <v>75</v>
      </c>
      <c r="B76" s="9">
        <f t="array" ref="B76">IF(C76="",0,IF(OR(C76=Country_Comparison!$S$10:$S$29),1,0))</f>
        <v>0</v>
      </c>
      <c r="C76" s="9" t="str">
        <f>IF(H76="","",H76)</f>
        <v/>
      </c>
      <c r="D76" s="6">
        <f>MAX(I76:BD76)</f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>IF(COUNTIF(I76:XFD76,"&gt;"&amp;0)=0,,(E76/F76)^(1/MIN(COUNTIF(I76:XFD76,"&gt;"&amp;0)-1,$F$1)))</f>
        <v>0</v>
      </c>
    </row>
    <row r="77" spans="1:7" x14ac:dyDescent="0.25">
      <c r="A77" s="9">
        <f>A76+1</f>
        <v>76</v>
      </c>
      <c r="B77" s="9">
        <f t="array" ref="B77">IF(C77="",0,IF(OR(C77=Country_Comparison!$S$10:$S$29),1,0))</f>
        <v>0</v>
      </c>
      <c r="C77" s="9" t="str">
        <f>IF(H77="","",H77)</f>
        <v/>
      </c>
      <c r="D77" s="6">
        <f>MAX(I77:BD77)</f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>IF(COUNTIF(I77:XFD77,"&gt;"&amp;0)=0,,(E77/F77)^(1/MIN(COUNTIF(I77:XFD77,"&gt;"&amp;0)-1,$F$1)))</f>
        <v>0</v>
      </c>
    </row>
    <row r="78" spans="1:7" x14ac:dyDescent="0.25">
      <c r="A78" s="9">
        <f>A77+1</f>
        <v>77</v>
      </c>
      <c r="B78" s="9">
        <f t="array" ref="B78">IF(C78="",0,IF(OR(C78=Country_Comparison!$S$10:$S$29),1,0))</f>
        <v>0</v>
      </c>
      <c r="C78" s="9" t="str">
        <f>IF(H78="","",H78)</f>
        <v/>
      </c>
      <c r="D78" s="6">
        <f>MAX(I78:BD78)</f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>IF(COUNTIF(I78:XFD78,"&gt;"&amp;0)=0,,(E78/F78)^(1/MIN(COUNTIF(I78:XFD78,"&gt;"&amp;0)-1,$F$1)))</f>
        <v>0</v>
      </c>
    </row>
    <row r="79" spans="1:7" x14ac:dyDescent="0.25">
      <c r="A79" s="9">
        <f>A78+1</f>
        <v>78</v>
      </c>
      <c r="B79" s="9">
        <f t="array" ref="B79">IF(C79="",0,IF(OR(C79=Country_Comparison!$S$10:$S$29),1,0))</f>
        <v>0</v>
      </c>
      <c r="C79" s="9" t="str">
        <f>IF(H79="","",H79)</f>
        <v/>
      </c>
      <c r="D79" s="6">
        <f>MAX(I79:BD79)</f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>IF(COUNTIF(I79:XFD79,"&gt;"&amp;0)=0,,(E79/F79)^(1/MIN(COUNTIF(I79:XFD79,"&gt;"&amp;0)-1,$F$1)))</f>
        <v>0</v>
      </c>
    </row>
    <row r="80" spans="1:7" x14ac:dyDescent="0.25">
      <c r="A80" s="9">
        <f>A79+1</f>
        <v>79</v>
      </c>
      <c r="B80" s="9">
        <f t="array" ref="B80">IF(C80="",0,IF(OR(C80=Country_Comparison!$S$10:$S$29),1,0))</f>
        <v>0</v>
      </c>
      <c r="C80" s="9" t="str">
        <f>IF(H80="","",H80)</f>
        <v/>
      </c>
      <c r="D80" s="6">
        <f>MAX(I80:BD80)</f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>IF(COUNTIF(I80:XFD80,"&gt;"&amp;0)=0,,(E80/F80)^(1/MIN(COUNTIF(I80:XFD80,"&gt;"&amp;0)-1,$F$1)))</f>
        <v>0</v>
      </c>
    </row>
    <row r="81" spans="1:7" x14ac:dyDescent="0.25">
      <c r="A81" s="9">
        <f>A80+1</f>
        <v>80</v>
      </c>
      <c r="B81" s="9">
        <f t="array" ref="B81">IF(C81="",0,IF(OR(C81=Country_Comparison!$S$10:$S$29),1,0))</f>
        <v>0</v>
      </c>
      <c r="C81" s="9" t="str">
        <f>IF(H81="","",H81)</f>
        <v/>
      </c>
      <c r="D81" s="6">
        <f>MAX(I81:BD81)</f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>IF(COUNTIF(I81:XFD81,"&gt;"&amp;0)=0,,(E81/F81)^(1/MIN(COUNTIF(I81:XFD81,"&gt;"&amp;0)-1,$F$1)))</f>
        <v>0</v>
      </c>
    </row>
    <row r="82" spans="1:7" x14ac:dyDescent="0.25">
      <c r="A82" s="9">
        <f>A81+1</f>
        <v>81</v>
      </c>
      <c r="B82" s="9">
        <f t="array" ref="B82">IF(C82="",0,IF(OR(C82=Country_Comparison!$S$10:$S$29),1,0))</f>
        <v>0</v>
      </c>
      <c r="C82" s="9" t="str">
        <f>IF(H82="","",H82)</f>
        <v/>
      </c>
      <c r="D82" s="6">
        <f>MAX(I82:BD82)</f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>IF(COUNTIF(I82:XFD82,"&gt;"&amp;0)=0,,(E82/F82)^(1/MIN(COUNTIF(I82:XFD82,"&gt;"&amp;0)-1,$F$1)))</f>
        <v>0</v>
      </c>
    </row>
    <row r="83" spans="1:7" x14ac:dyDescent="0.25">
      <c r="A83" s="9">
        <f>A82+1</f>
        <v>82</v>
      </c>
      <c r="B83" s="9">
        <f t="array" ref="B83">IF(C83="",0,IF(OR(C83=Country_Comparison!$S$10:$S$29),1,0))</f>
        <v>0</v>
      </c>
      <c r="C83" s="9" t="str">
        <f>IF(H83="","",H83)</f>
        <v/>
      </c>
      <c r="D83" s="6">
        <f>MAX(I83:BD83)</f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>IF(COUNTIF(I83:XFD83,"&gt;"&amp;0)=0,,(E83/F83)^(1/MIN(COUNTIF(I83:XFD83,"&gt;"&amp;0)-1,$F$1)))</f>
        <v>0</v>
      </c>
    </row>
    <row r="84" spans="1:7" x14ac:dyDescent="0.25">
      <c r="A84" s="9">
        <f>A83+1</f>
        <v>83</v>
      </c>
      <c r="B84" s="9">
        <f t="array" ref="B84">IF(C84="",0,IF(OR(C84=Country_Comparison!$S$10:$S$29),1,0))</f>
        <v>0</v>
      </c>
      <c r="C84" s="9" t="str">
        <f>IF(H84="","",H84)</f>
        <v/>
      </c>
      <c r="D84" s="6">
        <f>MAX(I84:BD84)</f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>IF(COUNTIF(I84:XFD84,"&gt;"&amp;0)=0,,(E84/F84)^(1/MIN(COUNTIF(I84:XFD84,"&gt;"&amp;0)-1,$F$1)))</f>
        <v>0</v>
      </c>
    </row>
    <row r="85" spans="1:7" x14ac:dyDescent="0.25">
      <c r="A85" s="9">
        <f>A84+1</f>
        <v>84</v>
      </c>
      <c r="B85" s="9">
        <f t="array" ref="B85">IF(C85="",0,IF(OR(C85=Country_Comparison!$S$10:$S$29),1,0))</f>
        <v>0</v>
      </c>
      <c r="C85" s="9" t="str">
        <f>IF(H85="","",H85)</f>
        <v/>
      </c>
      <c r="D85" s="6">
        <f>MAX(I85:BD85)</f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>IF(COUNTIF(I85:XFD85,"&gt;"&amp;0)=0,,(E85/F85)^(1/MIN(COUNTIF(I85:XFD85,"&gt;"&amp;0)-1,$F$1)))</f>
        <v>0</v>
      </c>
    </row>
    <row r="86" spans="1:7" x14ac:dyDescent="0.25">
      <c r="A86" s="9">
        <f>A85+1</f>
        <v>85</v>
      </c>
      <c r="B86" s="9">
        <f t="array" ref="B86">IF(C86="",0,IF(OR(C86=Country_Comparison!$S$10:$S$29),1,0))</f>
        <v>0</v>
      </c>
      <c r="C86" s="9" t="str">
        <f>IF(H86="","",H86)</f>
        <v/>
      </c>
      <c r="D86" s="6">
        <f>MAX(I86:BD86)</f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>IF(COUNTIF(I86:XFD86,"&gt;"&amp;0)=0,,(E86/F86)^(1/MIN(COUNTIF(I86:XFD86,"&gt;"&amp;0)-1,$F$1)))</f>
        <v>0</v>
      </c>
    </row>
    <row r="87" spans="1:7" x14ac:dyDescent="0.25">
      <c r="A87" s="9">
        <f>A86+1</f>
        <v>86</v>
      </c>
      <c r="B87" s="9">
        <f t="array" ref="B87">IF(C87="",0,IF(OR(C87=Country_Comparison!$S$10:$S$29),1,0))</f>
        <v>0</v>
      </c>
      <c r="C87" s="9" t="str">
        <f>IF(H87="","",H87)</f>
        <v/>
      </c>
      <c r="D87" s="6">
        <f>MAX(I87:BD87)</f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>IF(COUNTIF(I87:XFD87,"&gt;"&amp;0)=0,,(E87/F87)^(1/MIN(COUNTIF(I87:XFD87,"&gt;"&amp;0)-1,$F$1)))</f>
        <v>0</v>
      </c>
    </row>
    <row r="88" spans="1:7" x14ac:dyDescent="0.25">
      <c r="A88" s="9">
        <f>A87+1</f>
        <v>87</v>
      </c>
      <c r="B88" s="9">
        <f t="array" ref="B88">IF(C88="",0,IF(OR(C88=Country_Comparison!$S$10:$S$29),1,0))</f>
        <v>0</v>
      </c>
      <c r="C88" s="9" t="str">
        <f>IF(H88="","",H88)</f>
        <v/>
      </c>
      <c r="D88" s="6">
        <f>MAX(I88:BD88)</f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>IF(COUNTIF(I88:XFD88,"&gt;"&amp;0)=0,,(E88/F88)^(1/MIN(COUNTIF(I88:XFD88,"&gt;"&amp;0)-1,$F$1)))</f>
        <v>0</v>
      </c>
    </row>
    <row r="89" spans="1:7" x14ac:dyDescent="0.25">
      <c r="A89" s="9">
        <f>A88+1</f>
        <v>88</v>
      </c>
      <c r="B89" s="9">
        <f t="array" ref="B89">IF(C89="",0,IF(OR(C89=Country_Comparison!$S$10:$S$29),1,0))</f>
        <v>0</v>
      </c>
      <c r="C89" s="9" t="str">
        <f>IF(H89="","",H89)</f>
        <v/>
      </c>
      <c r="D89" s="6">
        <f>MAX(I89:BD89)</f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>IF(COUNTIF(I89:XFD89,"&gt;"&amp;0)=0,,(E89/F89)^(1/MIN(COUNTIF(I89:XFD89,"&gt;"&amp;0)-1,$F$1)))</f>
        <v>0</v>
      </c>
    </row>
    <row r="90" spans="1:7" x14ac:dyDescent="0.25">
      <c r="A90" s="9">
        <f>A89+1</f>
        <v>89</v>
      </c>
      <c r="B90" s="9">
        <f t="array" ref="B90">IF(C90="",0,IF(OR(C90=Country_Comparison!$S$10:$S$29),1,0))</f>
        <v>0</v>
      </c>
      <c r="C90" s="9" t="str">
        <f>IF(H90="","",H90)</f>
        <v/>
      </c>
      <c r="D90" s="6">
        <f>MAX(I90:BD90)</f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>IF(COUNTIF(I90:XFD90,"&gt;"&amp;0)=0,,(E90/F90)^(1/MIN(COUNTIF(I90:XFD90,"&gt;"&amp;0)-1,$F$1)))</f>
        <v>0</v>
      </c>
    </row>
    <row r="91" spans="1:7" x14ac:dyDescent="0.25">
      <c r="A91" s="9">
        <f>A90+1</f>
        <v>90</v>
      </c>
      <c r="B91" s="9">
        <f t="array" ref="B91">IF(C91="",0,IF(OR(C91=Country_Comparison!$S$10:$S$29),1,0))</f>
        <v>0</v>
      </c>
      <c r="C91" s="9" t="str">
        <f>IF(H91="","",H91)</f>
        <v/>
      </c>
      <c r="D91" s="6">
        <f>MAX(I91:BD91)</f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>IF(COUNTIF(I91:XFD91,"&gt;"&amp;0)=0,,(E91/F91)^(1/MIN(COUNTIF(I91:XFD91,"&gt;"&amp;0)-1,$F$1)))</f>
        <v>0</v>
      </c>
    </row>
    <row r="92" spans="1:7" x14ac:dyDescent="0.25">
      <c r="A92" s="9">
        <f>A91+1</f>
        <v>91</v>
      </c>
      <c r="B92" s="9">
        <f t="array" ref="B92">IF(C92="",0,IF(OR(C92=Country_Comparison!$S$10:$S$29),1,0))</f>
        <v>0</v>
      </c>
      <c r="C92" s="9" t="str">
        <f>IF(H92="","",H92)</f>
        <v/>
      </c>
      <c r="D92" s="6">
        <f>MAX(I92:BD92)</f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>IF(COUNTIF(I92:XFD92,"&gt;"&amp;0)=0,,(E92/F92)^(1/MIN(COUNTIF(I92:XFD92,"&gt;"&amp;0)-1,$F$1)))</f>
        <v>0</v>
      </c>
    </row>
    <row r="93" spans="1:7" x14ac:dyDescent="0.25">
      <c r="A93" s="9">
        <f>A92+1</f>
        <v>92</v>
      </c>
      <c r="B93" s="9">
        <f t="array" ref="B93">IF(C93="",0,IF(OR(C93=Country_Comparison!$S$10:$S$29),1,0))</f>
        <v>0</v>
      </c>
      <c r="C93" s="9" t="str">
        <f>IF(H93="","",H93)</f>
        <v/>
      </c>
      <c r="D93" s="6">
        <f>MAX(I93:BD93)</f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>IF(COUNTIF(I93:XFD93,"&gt;"&amp;0)=0,,(E93/F93)^(1/MIN(COUNTIF(I93:XFD93,"&gt;"&amp;0)-1,$F$1)))</f>
        <v>0</v>
      </c>
    </row>
    <row r="94" spans="1:7" x14ac:dyDescent="0.25">
      <c r="A94" s="9">
        <f>A93+1</f>
        <v>93</v>
      </c>
      <c r="B94" s="9">
        <f t="array" ref="B94">IF(C94="",0,IF(OR(C94=Country_Comparison!$S$10:$S$29),1,0))</f>
        <v>0</v>
      </c>
      <c r="C94" s="9" t="str">
        <f>IF(H94="","",H94)</f>
        <v/>
      </c>
      <c r="D94" s="6">
        <f>MAX(I94:BD94)</f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>IF(COUNTIF(I94:XFD94,"&gt;"&amp;0)=0,,(E94/F94)^(1/MIN(COUNTIF(I94:XFD94,"&gt;"&amp;0)-1,$F$1)))</f>
        <v>0</v>
      </c>
    </row>
    <row r="95" spans="1:7" x14ac:dyDescent="0.25">
      <c r="A95" s="9">
        <f>A94+1</f>
        <v>94</v>
      </c>
      <c r="B95" s="9">
        <f t="array" ref="B95">IF(C95="",0,IF(OR(C95=Country_Comparison!$S$10:$S$29),1,0))</f>
        <v>0</v>
      </c>
      <c r="C95" s="9" t="str">
        <f>IF(H95="","",H95)</f>
        <v/>
      </c>
      <c r="D95" s="6">
        <f>MAX(I95:BD95)</f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>IF(COUNTIF(I95:XFD95,"&gt;"&amp;0)=0,,(E95/F95)^(1/MIN(COUNTIF(I95:XFD95,"&gt;"&amp;0)-1,$F$1)))</f>
        <v>0</v>
      </c>
    </row>
    <row r="96" spans="1:7" x14ac:dyDescent="0.25">
      <c r="A96" s="9">
        <f>A95+1</f>
        <v>95</v>
      </c>
      <c r="B96" s="9">
        <f t="array" ref="B96">IF(C96="",0,IF(OR(C96=Country_Comparison!$S$10:$S$29),1,0))</f>
        <v>0</v>
      </c>
      <c r="C96" s="9" t="str">
        <f>IF(H96="","",H96)</f>
        <v/>
      </c>
      <c r="D96" s="6">
        <f>MAX(I96:BD96)</f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>IF(COUNTIF(I96:XFD96,"&gt;"&amp;0)=0,,(E96/F96)^(1/MIN(COUNTIF(I96:XFD96,"&gt;"&amp;0)-1,$F$1)))</f>
        <v>0</v>
      </c>
    </row>
    <row r="97" spans="1:7" x14ac:dyDescent="0.25">
      <c r="A97" s="9">
        <f>A96+1</f>
        <v>96</v>
      </c>
      <c r="B97" s="9">
        <f t="array" ref="B97">IF(C97="",0,IF(OR(C97=Country_Comparison!$S$10:$S$29),1,0))</f>
        <v>0</v>
      </c>
      <c r="C97" s="9" t="str">
        <f>IF(H97="","",H97)</f>
        <v/>
      </c>
      <c r="D97" s="6">
        <f>MAX(I97:BD97)</f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>IF(COUNTIF(I97:XFD97,"&gt;"&amp;0)=0,,(E97/F97)^(1/MIN(COUNTIF(I97:XFD97,"&gt;"&amp;0)-1,$F$1)))</f>
        <v>0</v>
      </c>
    </row>
    <row r="98" spans="1:7" x14ac:dyDescent="0.25">
      <c r="A98" s="9">
        <f>A97+1</f>
        <v>97</v>
      </c>
      <c r="B98" s="9">
        <f t="array" ref="B98">IF(C98="",0,IF(OR(C98=Country_Comparison!$S$10:$S$29),1,0))</f>
        <v>0</v>
      </c>
      <c r="C98" s="9" t="str">
        <f>IF(H98="","",H98)</f>
        <v/>
      </c>
      <c r="D98" s="6">
        <f>MAX(I98:BD98)</f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>IF(COUNTIF(I98:XFD98,"&gt;"&amp;0)=0,,(E98/F98)^(1/MIN(COUNTIF(I98:XFD98,"&gt;"&amp;0)-1,$F$1)))</f>
        <v>0</v>
      </c>
    </row>
    <row r="99" spans="1:7" x14ac:dyDescent="0.25">
      <c r="A99" s="9">
        <f>A98+1</f>
        <v>98</v>
      </c>
      <c r="B99" s="9">
        <f t="array" ref="B99">IF(C99="",0,IF(OR(C99=Country_Comparison!$S$10:$S$29),1,0))</f>
        <v>0</v>
      </c>
      <c r="C99" s="9" t="str">
        <f>IF(H99="","",H99)</f>
        <v/>
      </c>
      <c r="D99" s="6">
        <f>MAX(I99:BD99)</f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>IF(COUNTIF(I99:XFD99,"&gt;"&amp;0)=0,,(E99/F99)^(1/MIN(COUNTIF(I99:XFD99,"&gt;"&amp;0)-1,$F$1)))</f>
        <v>0</v>
      </c>
    </row>
    <row r="100" spans="1:7" x14ac:dyDescent="0.25">
      <c r="A100" s="9">
        <f>A99+1</f>
        <v>99</v>
      </c>
      <c r="B100" s="9">
        <f t="array" ref="B100">IF(C100="",0,IF(OR(C100=Country_Comparison!$S$10:$S$29),1,0))</f>
        <v>0</v>
      </c>
      <c r="C100" s="9" t="str">
        <f>IF(H100="","",H100)</f>
        <v/>
      </c>
      <c r="D100" s="6">
        <f>MAX(I100:BD100)</f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>IF(COUNTIF(I100:XFD100,"&gt;"&amp;0)=0,,(E100/F100)^(1/MIN(COUNTIF(I100:XFD100,"&gt;"&amp;0)-1,$F$1)))</f>
        <v>0</v>
      </c>
    </row>
    <row r="101" spans="1:7" x14ac:dyDescent="0.25">
      <c r="A101" s="9">
        <f>A100+1</f>
        <v>100</v>
      </c>
      <c r="B101" s="9">
        <f t="array" ref="B101">IF(C101="",0,IF(OR(C101=Country_Comparison!$S$10:$S$29),1,0))</f>
        <v>0</v>
      </c>
      <c r="C101" s="9" t="str">
        <f>IF(H101="","",H101)</f>
        <v/>
      </c>
      <c r="D101" s="6">
        <f>MAX(I101:BD101)</f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>IF(COUNTIF(I101:XFD101,"&gt;"&amp;0)=0,,(E101/F101)^(1/MIN(COUNTIF(I101:XFD101,"&gt;"&amp;0)-1,$F$1)))</f>
        <v>0</v>
      </c>
    </row>
    <row r="102" spans="1:7" x14ac:dyDescent="0.25">
      <c r="A102" s="9">
        <f>A101+1</f>
        <v>101</v>
      </c>
      <c r="B102" s="9">
        <f t="array" ref="B102">IF(C102="",0,IF(OR(C102=Country_Comparison!$S$10:$S$29),1,0))</f>
        <v>0</v>
      </c>
      <c r="C102" s="9" t="str">
        <f>IF(H102="","",H102)</f>
        <v/>
      </c>
      <c r="D102" s="6">
        <f>MAX(I102:BD102)</f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>IF(COUNTIF(I102:XFD102,"&gt;"&amp;0)=0,,(E102/F102)^(1/MIN(COUNTIF(I102:XFD102,"&gt;"&amp;0)-1,$F$1)))</f>
        <v>0</v>
      </c>
    </row>
    <row r="103" spans="1:7" x14ac:dyDescent="0.25">
      <c r="A103" s="9">
        <f>A102+1</f>
        <v>102</v>
      </c>
      <c r="B103" s="9">
        <f t="array" ref="B103">IF(C103="",0,IF(OR(C103=Country_Comparison!$S$10:$S$29),1,0))</f>
        <v>0</v>
      </c>
      <c r="C103" s="9" t="str">
        <f>IF(H103="","",H103)</f>
        <v/>
      </c>
      <c r="D103" s="6">
        <f>MAX(I103:BD103)</f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>IF(COUNTIF(I103:XFD103,"&gt;"&amp;0)=0,,(E103/F103)^(1/MIN(COUNTIF(I103:XFD103,"&gt;"&amp;0)-1,$F$1)))</f>
        <v>0</v>
      </c>
    </row>
    <row r="104" spans="1:7" x14ac:dyDescent="0.25">
      <c r="A104" s="9">
        <f>A103+1</f>
        <v>103</v>
      </c>
      <c r="B104" s="9">
        <f t="array" ref="B104">IF(C104="",0,IF(OR(C104=Country_Comparison!$S$10:$S$29),1,0))</f>
        <v>0</v>
      </c>
      <c r="C104" s="9" t="str">
        <f>IF(H104="","",H104)</f>
        <v/>
      </c>
      <c r="D104" s="6">
        <f>MAX(I104:BD104)</f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>IF(COUNTIF(I104:XFD104,"&gt;"&amp;0)=0,,(E104/F104)^(1/MIN(COUNTIF(I104:XFD104,"&gt;"&amp;0)-1,$F$1)))</f>
        <v>0</v>
      </c>
    </row>
    <row r="105" spans="1:7" x14ac:dyDescent="0.25">
      <c r="A105" s="9">
        <f>A104+1</f>
        <v>104</v>
      </c>
      <c r="B105" s="9">
        <f t="array" ref="B105">IF(C105="",0,IF(OR(C105=Country_Comparison!$S$10:$S$29),1,0))</f>
        <v>0</v>
      </c>
      <c r="C105" s="9" t="str">
        <f>IF(H105="","",H105)</f>
        <v/>
      </c>
      <c r="D105" s="6">
        <f>MAX(I105:BD105)</f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>IF(COUNTIF(I105:XFD105,"&gt;"&amp;0)=0,,(E105/F105)^(1/MIN(COUNTIF(I105:XFD105,"&gt;"&amp;0)-1,$F$1)))</f>
        <v>0</v>
      </c>
    </row>
    <row r="106" spans="1:7" x14ac:dyDescent="0.25">
      <c r="A106" s="9">
        <f>A105+1</f>
        <v>105</v>
      </c>
      <c r="B106" s="9">
        <f t="array" ref="B106">IF(C106="",0,IF(OR(C106=Country_Comparison!$S$10:$S$29),1,0))</f>
        <v>0</v>
      </c>
      <c r="C106" s="9" t="str">
        <f>IF(H106="","",H106)</f>
        <v/>
      </c>
      <c r="D106" s="6">
        <f>MAX(I106:BD106)</f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>IF(COUNTIF(I106:XFD106,"&gt;"&amp;0)=0,,(E106/F106)^(1/MIN(COUNTIF(I106:XFD106,"&gt;"&amp;0)-1,$F$1)))</f>
        <v>0</v>
      </c>
    </row>
    <row r="107" spans="1:7" x14ac:dyDescent="0.25">
      <c r="A107" s="9">
        <f>A106+1</f>
        <v>106</v>
      </c>
      <c r="B107" s="9">
        <f t="array" ref="B107">IF(C107="",0,IF(OR(C107=Country_Comparison!$S$10:$S$29),1,0))</f>
        <v>0</v>
      </c>
      <c r="C107" s="9" t="str">
        <f>IF(H107="","",H107)</f>
        <v/>
      </c>
      <c r="D107" s="6">
        <f>MAX(I107:BD107)</f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>IF(COUNTIF(I107:XFD107,"&gt;"&amp;0)=0,,(E107/F107)^(1/MIN(COUNTIF(I107:XFD107,"&gt;"&amp;0)-1,$F$1)))</f>
        <v>0</v>
      </c>
    </row>
    <row r="108" spans="1:7" x14ac:dyDescent="0.25">
      <c r="A108" s="9">
        <f>A107+1</f>
        <v>107</v>
      </c>
      <c r="B108" s="9">
        <f t="array" ref="B108">IF(C108="",0,IF(OR(C108=Country_Comparison!$S$10:$S$29),1,0))</f>
        <v>0</v>
      </c>
      <c r="C108" s="9" t="str">
        <f>IF(H108="","",H108)</f>
        <v/>
      </c>
      <c r="D108" s="6">
        <f>MAX(I108:BD108)</f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>IF(COUNTIF(I108:XFD108,"&gt;"&amp;0)=0,,(E108/F108)^(1/MIN(COUNTIF(I108:XFD108,"&gt;"&amp;0)-1,$F$1)))</f>
        <v>0</v>
      </c>
    </row>
    <row r="109" spans="1:7" x14ac:dyDescent="0.25">
      <c r="A109" s="9">
        <f>A108+1</f>
        <v>108</v>
      </c>
      <c r="B109" s="9">
        <f t="array" ref="B109">IF(C109="",0,IF(OR(C109=Country_Comparison!$S$10:$S$29),1,0))</f>
        <v>0</v>
      </c>
      <c r="C109" s="9" t="str">
        <f>IF(H109="","",H109)</f>
        <v/>
      </c>
      <c r="D109" s="6">
        <f>MAX(I109:BD109)</f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>IF(COUNTIF(I109:XFD109,"&gt;"&amp;0)=0,,(E109/F109)^(1/MIN(COUNTIF(I109:XFD109,"&gt;"&amp;0)-1,$F$1)))</f>
        <v>0</v>
      </c>
    </row>
    <row r="110" spans="1:7" x14ac:dyDescent="0.25">
      <c r="A110" s="9">
        <f>A109+1</f>
        <v>109</v>
      </c>
      <c r="B110" s="9">
        <f t="array" ref="B110">IF(C110="",0,IF(OR(C110=Country_Comparison!$S$10:$S$29),1,0))</f>
        <v>0</v>
      </c>
      <c r="C110" s="9" t="str">
        <f>IF(H110="","",H110)</f>
        <v/>
      </c>
      <c r="D110" s="6">
        <f>MAX(I110:BD110)</f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>IF(COUNTIF(I110:XFD110,"&gt;"&amp;0)=0,,(E110/F110)^(1/MIN(COUNTIF(I110:XFD110,"&gt;"&amp;0)-1,$F$1)))</f>
        <v>0</v>
      </c>
    </row>
    <row r="111" spans="1:7" x14ac:dyDescent="0.25">
      <c r="A111" s="9">
        <f>A110+1</f>
        <v>110</v>
      </c>
      <c r="B111" s="9">
        <f t="array" ref="B111">IF(C111="",0,IF(OR(C111=Country_Comparison!$S$10:$S$29),1,0))</f>
        <v>0</v>
      </c>
      <c r="C111" s="9" t="str">
        <f>IF(H111="","",H111)</f>
        <v/>
      </c>
      <c r="D111" s="6">
        <f>MAX(I111:BD111)</f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>IF(COUNTIF(I111:XFD111,"&gt;"&amp;0)=0,,(E111/F111)^(1/MIN(COUNTIF(I111:XFD111,"&gt;"&amp;0)-1,$F$1)))</f>
        <v>0</v>
      </c>
    </row>
    <row r="112" spans="1:7" x14ac:dyDescent="0.25">
      <c r="A112" s="9">
        <f>A111+1</f>
        <v>111</v>
      </c>
      <c r="B112" s="9">
        <f t="array" ref="B112">IF(C112="",0,IF(OR(C112=Country_Comparison!$S$10:$S$29),1,0))</f>
        <v>0</v>
      </c>
      <c r="C112" s="9" t="str">
        <f>IF(H112="","",H112)</f>
        <v/>
      </c>
      <c r="D112" s="6">
        <f>MAX(I112:BD112)</f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>IF(COUNTIF(I112:XFD112,"&gt;"&amp;0)=0,,(E112/F112)^(1/MIN(COUNTIF(I112:XFD112,"&gt;"&amp;0)-1,$F$1)))</f>
        <v>0</v>
      </c>
    </row>
    <row r="113" spans="1:7" x14ac:dyDescent="0.25">
      <c r="A113" s="9">
        <f>A112+1</f>
        <v>112</v>
      </c>
      <c r="B113" s="9">
        <f t="array" ref="B113">IF(C113="",0,IF(OR(C113=Country_Comparison!$S$10:$S$29),1,0))</f>
        <v>0</v>
      </c>
      <c r="C113" s="9" t="str">
        <f>IF(H113="","",H113)</f>
        <v/>
      </c>
      <c r="D113" s="6">
        <f>MAX(I113:BD113)</f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>IF(COUNTIF(I113:XFD113,"&gt;"&amp;0)=0,,(E113/F113)^(1/MIN(COUNTIF(I113:XFD113,"&gt;"&amp;0)-1,$F$1)))</f>
        <v>0</v>
      </c>
    </row>
    <row r="114" spans="1:7" x14ac:dyDescent="0.25">
      <c r="A114" s="9">
        <f>A113+1</f>
        <v>113</v>
      </c>
      <c r="B114" s="9">
        <f t="array" ref="B114">IF(C114="",0,IF(OR(C114=Country_Comparison!$S$10:$S$29),1,0))</f>
        <v>0</v>
      </c>
      <c r="C114" s="9" t="str">
        <f>IF(H114="","",H114)</f>
        <v/>
      </c>
      <c r="D114" s="6">
        <f>MAX(I114:BD114)</f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>IF(COUNTIF(I114:XFD114,"&gt;"&amp;0)=0,,(E114/F114)^(1/MIN(COUNTIF(I114:XFD114,"&gt;"&amp;0)-1,$F$1)))</f>
        <v>0</v>
      </c>
    </row>
    <row r="115" spans="1:7" x14ac:dyDescent="0.25">
      <c r="A115" s="9">
        <f>A114+1</f>
        <v>114</v>
      </c>
      <c r="B115" s="9">
        <f t="array" ref="B115">IF(C115="",0,IF(OR(C115=Country_Comparison!$S$10:$S$29),1,0))</f>
        <v>0</v>
      </c>
      <c r="C115" s="9" t="str">
        <f>IF(H115="","",H115)</f>
        <v/>
      </c>
      <c r="D115" s="6">
        <f>MAX(I115:BD115)</f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>IF(COUNTIF(I115:XFD115,"&gt;"&amp;0)=0,,(E115/F115)^(1/MIN(COUNTIF(I115:XFD115,"&gt;"&amp;0)-1,$F$1)))</f>
        <v>0</v>
      </c>
    </row>
    <row r="116" spans="1:7" x14ac:dyDescent="0.25">
      <c r="A116" s="9">
        <f>A115+1</f>
        <v>115</v>
      </c>
      <c r="B116" s="9">
        <f t="array" ref="B116">IF(C116="",0,IF(OR(C116=Country_Comparison!$S$10:$S$29),1,0))</f>
        <v>0</v>
      </c>
      <c r="C116" s="9" t="str">
        <f>IF(H116="","",H116)</f>
        <v/>
      </c>
      <c r="D116" s="6">
        <f>MAX(I116:BD116)</f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>IF(COUNTIF(I116:XFD116,"&gt;"&amp;0)=0,,(E116/F116)^(1/MIN(COUNTIF(I116:XFD116,"&gt;"&amp;0)-1,$F$1)))</f>
        <v>0</v>
      </c>
    </row>
    <row r="117" spans="1:7" x14ac:dyDescent="0.25">
      <c r="A117" s="9">
        <f>A116+1</f>
        <v>116</v>
      </c>
      <c r="B117" s="9">
        <f t="array" ref="B117">IF(C117="",0,IF(OR(C117=Country_Comparison!$S$10:$S$29),1,0))</f>
        <v>0</v>
      </c>
      <c r="C117" s="9" t="str">
        <f>IF(H117="","",H117)</f>
        <v/>
      </c>
      <c r="D117" s="6">
        <f>MAX(I117:BD117)</f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>IF(COUNTIF(I117:XFD117,"&gt;"&amp;0)=0,,(E117/F117)^(1/MIN(COUNTIF(I117:XFD117,"&gt;"&amp;0)-1,$F$1)))</f>
        <v>0</v>
      </c>
    </row>
    <row r="118" spans="1:7" x14ac:dyDescent="0.25">
      <c r="A118" s="9">
        <f>A117+1</f>
        <v>117</v>
      </c>
      <c r="B118" s="9">
        <f t="array" ref="B118">IF(C118="",0,IF(OR(C118=Country_Comparison!$S$10:$S$29),1,0))</f>
        <v>0</v>
      </c>
      <c r="C118" s="9" t="str">
        <f>IF(H118="","",H118)</f>
        <v/>
      </c>
      <c r="D118" s="6">
        <f>MAX(I118:BD118)</f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>IF(COUNTIF(I118:XFD118,"&gt;"&amp;0)=0,,(E118/F118)^(1/MIN(COUNTIF(I118:XFD118,"&gt;"&amp;0)-1,$F$1)))</f>
        <v>0</v>
      </c>
    </row>
    <row r="119" spans="1:7" x14ac:dyDescent="0.25">
      <c r="A119" s="9">
        <f>A118+1</f>
        <v>118</v>
      </c>
      <c r="B119" s="9">
        <f t="array" ref="B119">IF(C119="",0,IF(OR(C119=Country_Comparison!$S$10:$S$29),1,0))</f>
        <v>0</v>
      </c>
      <c r="C119" s="9" t="str">
        <f>IF(H119="","",H119)</f>
        <v/>
      </c>
      <c r="D119" s="6">
        <f>MAX(I119:BD119)</f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>IF(COUNTIF(I119:XFD119,"&gt;"&amp;0)=0,,(E119/F119)^(1/MIN(COUNTIF(I119:XFD119,"&gt;"&amp;0)-1,$F$1)))</f>
        <v>0</v>
      </c>
    </row>
    <row r="120" spans="1:7" x14ac:dyDescent="0.25">
      <c r="A120" s="9">
        <f>A119+1</f>
        <v>119</v>
      </c>
      <c r="B120" s="9">
        <f t="array" ref="B120">IF(C120="",0,IF(OR(C120=Country_Comparison!$S$10:$S$29),1,0))</f>
        <v>0</v>
      </c>
      <c r="C120" s="9" t="str">
        <f>IF(H120="","",H120)</f>
        <v/>
      </c>
      <c r="D120" s="6">
        <f>MAX(I120:BD120)</f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>IF(COUNTIF(I120:XFD120,"&gt;"&amp;0)=0,,(E120/F120)^(1/MIN(COUNTIF(I120:XFD120,"&gt;"&amp;0)-1,$F$1)))</f>
        <v>0</v>
      </c>
    </row>
    <row r="121" spans="1:7" x14ac:dyDescent="0.25">
      <c r="A121" s="9">
        <f>A120+1</f>
        <v>120</v>
      </c>
      <c r="B121" s="9">
        <f t="array" ref="B121">IF(C121="",0,IF(OR(C121=Country_Comparison!$S$10:$S$29),1,0))</f>
        <v>0</v>
      </c>
      <c r="C121" s="9" t="str">
        <f>IF(H121="","",H121)</f>
        <v/>
      </c>
      <c r="D121" s="6">
        <f>MAX(I121:BD121)</f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>IF(COUNTIF(I121:XFD121,"&gt;"&amp;0)=0,,(E121/F121)^(1/MIN(COUNTIF(I121:XFD121,"&gt;"&amp;0)-1,$F$1)))</f>
        <v>0</v>
      </c>
    </row>
    <row r="122" spans="1:7" x14ac:dyDescent="0.25">
      <c r="A122" s="9">
        <f>A121+1</f>
        <v>121</v>
      </c>
      <c r="B122" s="9">
        <f t="array" ref="B122">IF(C122="",0,IF(OR(C122=Country_Comparison!$S$10:$S$29),1,0))</f>
        <v>0</v>
      </c>
      <c r="C122" s="9" t="str">
        <f>IF(H122="","",H122)</f>
        <v/>
      </c>
      <c r="D122" s="6">
        <f>MAX(I122:BD122)</f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>IF(COUNTIF(I122:XFD122,"&gt;"&amp;0)=0,,(E122/F122)^(1/MIN(COUNTIF(I122:XFD122,"&gt;"&amp;0)-1,$F$1)))</f>
        <v>0</v>
      </c>
    </row>
    <row r="123" spans="1:7" x14ac:dyDescent="0.25">
      <c r="A123" s="9">
        <f>A122+1</f>
        <v>122</v>
      </c>
      <c r="B123" s="9">
        <f t="array" ref="B123">IF(C123="",0,IF(OR(C123=Country_Comparison!$S$10:$S$29),1,0))</f>
        <v>0</v>
      </c>
      <c r="C123" s="9" t="str">
        <f>IF(H123="","",H123)</f>
        <v/>
      </c>
      <c r="D123" s="6">
        <f>MAX(I123:BD123)</f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>IF(COUNTIF(I123:XFD123,"&gt;"&amp;0)=0,,(E123/F123)^(1/MIN(COUNTIF(I123:XFD123,"&gt;"&amp;0)-1,$F$1)))</f>
        <v>0</v>
      </c>
    </row>
    <row r="124" spans="1:7" x14ac:dyDescent="0.25">
      <c r="A124" s="9">
        <f>A123+1</f>
        <v>123</v>
      </c>
      <c r="B124" s="9">
        <f t="array" ref="B124">IF(C124="",0,IF(OR(C124=Country_Comparison!$S$10:$S$29),1,0))</f>
        <v>0</v>
      </c>
      <c r="C124" s="9" t="str">
        <f>IF(H124="","",H124)</f>
        <v/>
      </c>
      <c r="D124" s="6">
        <f>MAX(I124:BD124)</f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>IF(COUNTIF(I124:XFD124,"&gt;"&amp;0)=0,,(E124/F124)^(1/MIN(COUNTIF(I124:XFD124,"&gt;"&amp;0)-1,$F$1)))</f>
        <v>0</v>
      </c>
    </row>
    <row r="125" spans="1:7" x14ac:dyDescent="0.25">
      <c r="A125" s="9">
        <f>A124+1</f>
        <v>124</v>
      </c>
      <c r="B125" s="9">
        <f t="array" ref="B125">IF(C125="",0,IF(OR(C125=Country_Comparison!$S$10:$S$29),1,0))</f>
        <v>0</v>
      </c>
      <c r="C125" s="9" t="str">
        <f>IF(H125="","",H125)</f>
        <v/>
      </c>
      <c r="D125" s="6">
        <f>MAX(I125:BD125)</f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>IF(COUNTIF(I125:XFD125,"&gt;"&amp;0)=0,,(E125/F125)^(1/MIN(COUNTIF(I125:XFD125,"&gt;"&amp;0)-1,$F$1)))</f>
        <v>0</v>
      </c>
    </row>
    <row r="126" spans="1:7" x14ac:dyDescent="0.25">
      <c r="A126" s="9">
        <f>A125+1</f>
        <v>125</v>
      </c>
      <c r="B126" s="9">
        <f t="array" ref="B126">IF(C126="",0,IF(OR(C126=Country_Comparison!$S$10:$S$29),1,0))</f>
        <v>0</v>
      </c>
      <c r="C126" s="9" t="str">
        <f>IF(H126="","",H126)</f>
        <v/>
      </c>
      <c r="D126" s="6">
        <f>MAX(I126:BD126)</f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>IF(COUNTIF(I126:XFD126,"&gt;"&amp;0)=0,,(E126/F126)^(1/MIN(COUNTIF(I126:XFD126,"&gt;"&amp;0)-1,$F$1)))</f>
        <v>0</v>
      </c>
    </row>
    <row r="127" spans="1:7" x14ac:dyDescent="0.25">
      <c r="A127" s="9">
        <f>A126+1</f>
        <v>126</v>
      </c>
      <c r="B127" s="9">
        <f t="array" ref="B127">IF(C127="",0,IF(OR(C127=Country_Comparison!$S$10:$S$29),1,0))</f>
        <v>0</v>
      </c>
      <c r="C127" s="9" t="str">
        <f>IF(H127="","",H127)</f>
        <v/>
      </c>
      <c r="D127" s="6">
        <f>MAX(I127:BD127)</f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>IF(COUNTIF(I127:XFD127,"&gt;"&amp;0)=0,,(E127/F127)^(1/MIN(COUNTIF(I127:XFD127,"&gt;"&amp;0)-1,$F$1)))</f>
        <v>0</v>
      </c>
    </row>
    <row r="128" spans="1:7" x14ac:dyDescent="0.25">
      <c r="A128" s="9">
        <f>A127+1</f>
        <v>127</v>
      </c>
      <c r="B128" s="9">
        <f t="array" ref="B128">IF(C128="",0,IF(OR(C128=Country_Comparison!$S$10:$S$29),1,0))</f>
        <v>0</v>
      </c>
      <c r="C128" s="9" t="str">
        <f>IF(H128="","",H128)</f>
        <v/>
      </c>
      <c r="D128" s="6">
        <f>MAX(I128:BD128)</f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>IF(COUNTIF(I128:XFD128,"&gt;"&amp;0)=0,,(E128/F128)^(1/MIN(COUNTIF(I128:XFD128,"&gt;"&amp;0)-1,$F$1)))</f>
        <v>0</v>
      </c>
    </row>
    <row r="129" spans="1:7" x14ac:dyDescent="0.25">
      <c r="A129" s="9">
        <f>A128+1</f>
        <v>128</v>
      </c>
      <c r="B129" s="9">
        <f t="array" ref="B129">IF(C129="",0,IF(OR(C129=Country_Comparison!$S$10:$S$29),1,0))</f>
        <v>0</v>
      </c>
      <c r="C129" s="9" t="str">
        <f>IF(H129="","",H129)</f>
        <v/>
      </c>
      <c r="D129" s="6">
        <f>MAX(I129:BD129)</f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>IF(COUNTIF(I129:XFD129,"&gt;"&amp;0)=0,,(E129/F129)^(1/MIN(COUNTIF(I129:XFD129,"&gt;"&amp;0)-1,$F$1)))</f>
        <v>0</v>
      </c>
    </row>
    <row r="130" spans="1:7" x14ac:dyDescent="0.25">
      <c r="A130" s="9">
        <f>A129+1</f>
        <v>129</v>
      </c>
      <c r="B130" s="9">
        <f t="array" ref="B130">IF(C130="",0,IF(OR(C130=Country_Comparison!$S$10:$S$29),1,0))</f>
        <v>0</v>
      </c>
      <c r="C130" s="9" t="str">
        <f>IF(H130="","",H130)</f>
        <v/>
      </c>
      <c r="D130" s="6">
        <f>MAX(I130:BD130)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>IF(COUNTIF(I130:XFD130,"&gt;"&amp;0)=0,,(E130/F130)^(1/MIN(COUNTIF(I130:XFD130,"&gt;"&amp;0)-1,$F$1)))</f>
        <v>0</v>
      </c>
    </row>
    <row r="131" spans="1:7" x14ac:dyDescent="0.25">
      <c r="A131" s="9">
        <f>A130+1</f>
        <v>130</v>
      </c>
      <c r="B131" s="9">
        <f t="array" ref="B131">IF(C131="",0,IF(OR(C131=Country_Comparison!$S$10:$S$29),1,0))</f>
        <v>0</v>
      </c>
      <c r="C131" s="9" t="str">
        <f>IF(H131="","",H131)</f>
        <v/>
      </c>
      <c r="D131" s="6">
        <f>MAX(I131:BD131)</f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>IF(COUNTIF(I131:XFD131,"&gt;"&amp;0)=0,,(E131/F131)^(1/MIN(COUNTIF(I131:XFD131,"&gt;"&amp;0)-1,$F$1)))</f>
        <v>0</v>
      </c>
    </row>
    <row r="132" spans="1:7" x14ac:dyDescent="0.25">
      <c r="A132" s="9">
        <f>A131+1</f>
        <v>131</v>
      </c>
      <c r="B132" s="9">
        <f t="array" ref="B132">IF(C132="",0,IF(OR(C132=Country_Comparison!$S$10:$S$29),1,0))</f>
        <v>0</v>
      </c>
      <c r="C132" s="9" t="str">
        <f>IF(H132="","",H132)</f>
        <v/>
      </c>
      <c r="D132" s="6">
        <f>MAX(I132:BD132)</f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>IF(COUNTIF(I132:XFD132,"&gt;"&amp;0)=0,,(E132/F132)^(1/MIN(COUNTIF(I132:XFD132,"&gt;"&amp;0)-1,$F$1)))</f>
        <v>0</v>
      </c>
    </row>
    <row r="133" spans="1:7" x14ac:dyDescent="0.25">
      <c r="A133" s="9">
        <f>A132+1</f>
        <v>132</v>
      </c>
      <c r="B133" s="9">
        <f t="array" ref="B133">IF(C133="",0,IF(OR(C133=Country_Comparison!$S$10:$S$29),1,0))</f>
        <v>0</v>
      </c>
      <c r="C133" s="9" t="str">
        <f>IF(H133="","",H133)</f>
        <v/>
      </c>
      <c r="D133" s="6">
        <f>MAX(I133:BD133)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>IF(COUNTIF(I133:XFD133,"&gt;"&amp;0)=0,,(E133/F133)^(1/MIN(COUNTIF(I133:XFD133,"&gt;"&amp;0)-1,$F$1)))</f>
        <v>0</v>
      </c>
    </row>
    <row r="134" spans="1:7" x14ac:dyDescent="0.25">
      <c r="A134" s="9">
        <f>A133+1</f>
        <v>133</v>
      </c>
      <c r="B134" s="9">
        <f t="array" ref="B134">IF(C134="",0,IF(OR(C134=Country_Comparison!$S$10:$S$29),1,0))</f>
        <v>0</v>
      </c>
      <c r="C134" s="9" t="str">
        <f>IF(H134="","",H134)</f>
        <v/>
      </c>
      <c r="D134" s="6">
        <f>MAX(I134:BD134)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>IF(COUNTIF(I134:XFD134,"&gt;"&amp;0)=0,,(E134/F134)^(1/MIN(COUNTIF(I134:XFD134,"&gt;"&amp;0)-1,$F$1)))</f>
        <v>0</v>
      </c>
    </row>
    <row r="135" spans="1:7" x14ac:dyDescent="0.25">
      <c r="A135" s="9">
        <f>A134+1</f>
        <v>134</v>
      </c>
      <c r="B135" s="9">
        <f t="array" ref="B135">IF(C135="",0,IF(OR(C135=Country_Comparison!$S$10:$S$29),1,0))</f>
        <v>0</v>
      </c>
      <c r="C135" s="9" t="str">
        <f>IF(H135="","",H135)</f>
        <v/>
      </c>
      <c r="D135" s="6">
        <f>MAX(I135:BD135)</f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>IF(COUNTIF(I135:XFD135,"&gt;"&amp;0)=0,,(E135/F135)^(1/MIN(COUNTIF(I135:XFD135,"&gt;"&amp;0)-1,$F$1)))</f>
        <v>0</v>
      </c>
    </row>
    <row r="136" spans="1:7" x14ac:dyDescent="0.25">
      <c r="A136" s="9">
        <f>A135+1</f>
        <v>135</v>
      </c>
      <c r="B136" s="9">
        <f t="array" ref="B136">IF(C136="",0,IF(OR(C136=Country_Comparison!$S$10:$S$29),1,0))</f>
        <v>0</v>
      </c>
      <c r="C136" s="9" t="str">
        <f>IF(H136="","",H136)</f>
        <v/>
      </c>
      <c r="D136" s="6">
        <f>MAX(I136:BD136)</f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>IF(COUNTIF(I136:XFD136,"&gt;"&amp;0)=0,,(E136/F136)^(1/MIN(COUNTIF(I136:XFD136,"&gt;"&amp;0)-1,$F$1)))</f>
        <v>0</v>
      </c>
    </row>
    <row r="137" spans="1:7" x14ac:dyDescent="0.25">
      <c r="A137" s="9">
        <f>A136+1</f>
        <v>136</v>
      </c>
      <c r="B137" s="9">
        <f t="array" ref="B137">IF(C137="",0,IF(OR(C137=Country_Comparison!$S$10:$S$29),1,0))</f>
        <v>0</v>
      </c>
      <c r="C137" s="9" t="str">
        <f>IF(H137="","",H137)</f>
        <v/>
      </c>
      <c r="D137" s="6">
        <f>MAX(I137:BD137)</f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>IF(COUNTIF(I137:XFD137,"&gt;"&amp;0)=0,,(E137/F137)^(1/MIN(COUNTIF(I137:XFD137,"&gt;"&amp;0)-1,$F$1)))</f>
        <v>0</v>
      </c>
    </row>
    <row r="138" spans="1:7" x14ac:dyDescent="0.25">
      <c r="A138" s="9">
        <f>A137+1</f>
        <v>137</v>
      </c>
      <c r="B138" s="9">
        <f t="array" ref="B138">IF(C138="",0,IF(OR(C138=Country_Comparison!$S$10:$S$29),1,0))</f>
        <v>0</v>
      </c>
      <c r="C138" s="9" t="str">
        <f>IF(H138="","",H138)</f>
        <v/>
      </c>
      <c r="D138" s="6">
        <f>MAX(I138:BD138)</f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>IF(COUNTIF(I138:XFD138,"&gt;"&amp;0)=0,,(E138/F138)^(1/MIN(COUNTIF(I138:XFD138,"&gt;"&amp;0)-1,$F$1)))</f>
        <v>0</v>
      </c>
    </row>
    <row r="139" spans="1:7" x14ac:dyDescent="0.25">
      <c r="A139" s="9">
        <f>A138+1</f>
        <v>138</v>
      </c>
      <c r="B139" s="9">
        <f t="array" ref="B139">IF(C139="",0,IF(OR(C139=Country_Comparison!$S$10:$S$29),1,0))</f>
        <v>0</v>
      </c>
      <c r="C139" s="9" t="str">
        <f>IF(H139="","",H139)</f>
        <v/>
      </c>
      <c r="D139" s="6">
        <f>MAX(I139:BD139)</f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>IF(COUNTIF(I139:XFD139,"&gt;"&amp;0)=0,,(E139/F139)^(1/MIN(COUNTIF(I139:XFD139,"&gt;"&amp;0)-1,$F$1)))</f>
        <v>0</v>
      </c>
    </row>
    <row r="140" spans="1:7" x14ac:dyDescent="0.25">
      <c r="A140" s="9">
        <f>A139+1</f>
        <v>139</v>
      </c>
      <c r="B140" s="9">
        <f t="array" ref="B140">IF(C140="",0,IF(OR(C140=Country_Comparison!$S$10:$S$29),1,0))</f>
        <v>0</v>
      </c>
      <c r="C140" s="9" t="str">
        <f>IF(H140="","",H140)</f>
        <v/>
      </c>
      <c r="D140" s="6">
        <f>MAX(I140:BD140)</f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>IF(COUNTIF(I140:XFD140,"&gt;"&amp;0)=0,,(E140/F140)^(1/MIN(COUNTIF(I140:XFD140,"&gt;"&amp;0)-1,$F$1)))</f>
        <v>0</v>
      </c>
    </row>
    <row r="141" spans="1:7" x14ac:dyDescent="0.25">
      <c r="A141" s="9">
        <f>A140+1</f>
        <v>140</v>
      </c>
      <c r="B141" s="9">
        <f t="array" ref="B141">IF(C141="",0,IF(OR(C141=Country_Comparison!$S$10:$S$29),1,0))</f>
        <v>0</v>
      </c>
      <c r="C141" s="9" t="str">
        <f>IF(H141="","",H141)</f>
        <v/>
      </c>
      <c r="D141" s="6">
        <f>MAX(I141:BD141)</f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>IF(COUNTIF(I141:XFD141,"&gt;"&amp;0)=0,,(E141/F141)^(1/MIN(COUNTIF(I141:XFD141,"&gt;"&amp;0)-1,$F$1)))</f>
        <v>0</v>
      </c>
    </row>
    <row r="142" spans="1:7" x14ac:dyDescent="0.25">
      <c r="A142" s="9">
        <f>A141+1</f>
        <v>141</v>
      </c>
      <c r="B142" s="9">
        <f t="array" ref="B142">IF(C142="",0,IF(OR(C142=Country_Comparison!$S$10:$S$29),1,0))</f>
        <v>0</v>
      </c>
      <c r="C142" s="9" t="str">
        <f>IF(H142="","",H142)</f>
        <v/>
      </c>
      <c r="D142" s="6">
        <f>MAX(I142:BD142)</f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>IF(COUNTIF(I142:XFD142,"&gt;"&amp;0)=0,,(E142/F142)^(1/MIN(COUNTIF(I142:XFD142,"&gt;"&amp;0)-1,$F$1)))</f>
        <v>0</v>
      </c>
    </row>
    <row r="143" spans="1:7" x14ac:dyDescent="0.25">
      <c r="A143" s="9">
        <f>A142+1</f>
        <v>142</v>
      </c>
      <c r="B143" s="9">
        <f t="array" ref="B143">IF(C143="",0,IF(OR(C143=Country_Comparison!$S$10:$S$29),1,0))</f>
        <v>0</v>
      </c>
      <c r="C143" s="9" t="str">
        <f>IF(H143="","",H143)</f>
        <v/>
      </c>
      <c r="D143" s="6">
        <f>MAX(I143:BD143)</f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>IF(COUNTIF(I143:XFD143,"&gt;"&amp;0)=0,,(E143/F143)^(1/MIN(COUNTIF(I143:XFD143,"&gt;"&amp;0)-1,$F$1)))</f>
        <v>0</v>
      </c>
    </row>
    <row r="144" spans="1:7" x14ac:dyDescent="0.25">
      <c r="A144" s="9">
        <f>A143+1</f>
        <v>143</v>
      </c>
      <c r="B144" s="9">
        <f t="array" ref="B144">IF(C144="",0,IF(OR(C144=Country_Comparison!$S$10:$S$29),1,0))</f>
        <v>0</v>
      </c>
      <c r="C144" s="9" t="str">
        <f>IF(H144="","",H144)</f>
        <v/>
      </c>
      <c r="D144" s="6">
        <f>MAX(I144:BD144)</f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>IF(COUNTIF(I144:XFD144,"&gt;"&amp;0)=0,,(E144/F144)^(1/MIN(COUNTIF(I144:XFD144,"&gt;"&amp;0)-1,$F$1)))</f>
        <v>0</v>
      </c>
    </row>
    <row r="145" spans="1:7" x14ac:dyDescent="0.25">
      <c r="A145" s="9">
        <f>A144+1</f>
        <v>144</v>
      </c>
      <c r="B145" s="9">
        <f t="array" ref="B145">IF(C145="",0,IF(OR(C145=Country_Comparison!$S$10:$S$29),1,0))</f>
        <v>0</v>
      </c>
      <c r="C145" s="9" t="str">
        <f>IF(H145="","",H145)</f>
        <v/>
      </c>
      <c r="D145" s="6">
        <f>MAX(I145:BD145)</f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>IF(COUNTIF(I145:XFD145,"&gt;"&amp;0)=0,,(E145/F145)^(1/MIN(COUNTIF(I145:XFD145,"&gt;"&amp;0)-1,$F$1)))</f>
        <v>0</v>
      </c>
    </row>
    <row r="146" spans="1:7" x14ac:dyDescent="0.25">
      <c r="A146" s="9">
        <f>A145+1</f>
        <v>145</v>
      </c>
      <c r="B146" s="9">
        <f t="array" ref="B146">IF(C146="",0,IF(OR(C146=Country_Comparison!$S$10:$S$29),1,0))</f>
        <v>0</v>
      </c>
      <c r="C146" s="9" t="str">
        <f>IF(H146="","",H146)</f>
        <v/>
      </c>
      <c r="D146" s="6">
        <f>MAX(I146:BD146)</f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>IF(COUNTIF(I146:XFD146,"&gt;"&amp;0)=0,,(E146/F146)^(1/MIN(COUNTIF(I146:XFD146,"&gt;"&amp;0)-1,$F$1)))</f>
        <v>0</v>
      </c>
    </row>
    <row r="147" spans="1:7" x14ac:dyDescent="0.25">
      <c r="A147" s="9">
        <f>A146+1</f>
        <v>146</v>
      </c>
      <c r="B147" s="9">
        <f t="array" ref="B147">IF(C147="",0,IF(OR(C147=Country_Comparison!$S$10:$S$29),1,0))</f>
        <v>0</v>
      </c>
      <c r="C147" s="9" t="str">
        <f>IF(H147="","",H147)</f>
        <v/>
      </c>
      <c r="D147" s="6">
        <f>MAX(I147:BD147)</f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>IF(COUNTIF(I147:XFD147,"&gt;"&amp;0)=0,,(E147/F147)^(1/MIN(COUNTIF(I147:XFD147,"&gt;"&amp;0)-1,$F$1)))</f>
        <v>0</v>
      </c>
    </row>
    <row r="148" spans="1:7" x14ac:dyDescent="0.25">
      <c r="A148" s="9">
        <f>A147+1</f>
        <v>147</v>
      </c>
      <c r="B148" s="9">
        <f t="array" ref="B148">IF(C148="",0,IF(OR(C148=Country_Comparison!$S$10:$S$29),1,0))</f>
        <v>0</v>
      </c>
      <c r="C148" s="9" t="str">
        <f>IF(H148="","",H148)</f>
        <v/>
      </c>
      <c r="D148" s="6">
        <f>MAX(I148:BD148)</f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>IF(COUNTIF(I148:XFD148,"&gt;"&amp;0)=0,,(E148/F148)^(1/MIN(COUNTIF(I148:XFD148,"&gt;"&amp;0)-1,$F$1)))</f>
        <v>0</v>
      </c>
    </row>
    <row r="149" spans="1:7" x14ac:dyDescent="0.25">
      <c r="A149" s="9">
        <f>A148+1</f>
        <v>148</v>
      </c>
      <c r="B149" s="9">
        <f t="array" ref="B149">IF(C149="",0,IF(OR(C149=Country_Comparison!$S$10:$S$29),1,0))</f>
        <v>0</v>
      </c>
      <c r="C149" s="9" t="str">
        <f>IF(H149="","",H149)</f>
        <v/>
      </c>
      <c r="D149" s="6">
        <f>MAX(I149:BD149)</f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>IF(COUNTIF(I149:XFD149,"&gt;"&amp;0)=0,,(E149/F149)^(1/MIN(COUNTIF(I149:XFD149,"&gt;"&amp;0)-1,$F$1)))</f>
        <v>0</v>
      </c>
    </row>
    <row r="150" spans="1:7" x14ac:dyDescent="0.25">
      <c r="A150" s="9">
        <f>A149+1</f>
        <v>149</v>
      </c>
      <c r="B150" s="9">
        <f t="array" ref="B150">IF(C150="",0,IF(OR(C150=Country_Comparison!$S$10:$S$29),1,0))</f>
        <v>0</v>
      </c>
      <c r="C150" s="9" t="str">
        <f>IF(H150="","",H150)</f>
        <v/>
      </c>
      <c r="D150" s="6">
        <f>MAX(I150:BD150)</f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>IF(COUNTIF(I150:XFD150,"&gt;"&amp;0)=0,,(E150/F150)^(1/MIN(COUNTIF(I150:XFD150,"&gt;"&amp;0)-1,$F$1)))</f>
        <v>0</v>
      </c>
    </row>
    <row r="151" spans="1:7" x14ac:dyDescent="0.25">
      <c r="A151" s="9">
        <f>A150+1</f>
        <v>150</v>
      </c>
      <c r="B151" s="9">
        <f t="array" ref="B151">IF(C151="",0,IF(OR(C151=Country_Comparison!$S$10:$S$29),1,0))</f>
        <v>0</v>
      </c>
      <c r="C151" s="9" t="str">
        <f>IF(H151="","",H151)</f>
        <v/>
      </c>
      <c r="D151" s="6">
        <f>MAX(I151:BD151)</f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>IF(COUNTIF(I151:XFD151,"&gt;"&amp;0)=0,,(E151/F151)^(1/MIN(COUNTIF(I151:XFD151,"&gt;"&amp;0)-1,$F$1)))</f>
        <v>0</v>
      </c>
    </row>
    <row r="152" spans="1:7" x14ac:dyDescent="0.25">
      <c r="A152" s="9">
        <f>A151+1</f>
        <v>151</v>
      </c>
      <c r="B152" s="9">
        <f t="array" ref="B152">IF(C152="",0,IF(OR(C152=Country_Comparison!$S$10:$S$29),1,0))</f>
        <v>0</v>
      </c>
      <c r="C152" s="9" t="str">
        <f>IF(H152="","",H152)</f>
        <v/>
      </c>
      <c r="D152" s="6">
        <f>MAX(I152:BD152)</f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>IF(COUNTIF(I152:XFD152,"&gt;"&amp;0)=0,,(E152/F152)^(1/MIN(COUNTIF(I152:XFD152,"&gt;"&amp;0)-1,$F$1)))</f>
        <v>0</v>
      </c>
    </row>
    <row r="153" spans="1:7" x14ac:dyDescent="0.25">
      <c r="A153" s="9">
        <f>A152+1</f>
        <v>152</v>
      </c>
      <c r="B153" s="9">
        <f t="array" ref="B153">IF(C153="",0,IF(OR(C153=Country_Comparison!$S$10:$S$29),1,0))</f>
        <v>0</v>
      </c>
      <c r="C153" s="9" t="str">
        <f>IF(H153="","",H153)</f>
        <v/>
      </c>
      <c r="D153" s="6">
        <f>MAX(I153:BD153)</f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>IF(COUNTIF(I153:XFD153,"&gt;"&amp;0)=0,,(E153/F153)^(1/MIN(COUNTIF(I153:XFD153,"&gt;"&amp;0)-1,$F$1)))</f>
        <v>0</v>
      </c>
    </row>
    <row r="154" spans="1:7" x14ac:dyDescent="0.25">
      <c r="A154" s="9">
        <f>A153+1</f>
        <v>153</v>
      </c>
      <c r="B154" s="9">
        <f t="array" ref="B154">IF(C154="",0,IF(OR(C154=Country_Comparison!$S$10:$S$29),1,0))</f>
        <v>0</v>
      </c>
      <c r="C154" s="9" t="str">
        <f>IF(H154="","",H154)</f>
        <v/>
      </c>
      <c r="D154" s="6">
        <f>MAX(I154:BD154)</f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>IF(COUNTIF(I154:XFD154,"&gt;"&amp;0)=0,,(E154/F154)^(1/MIN(COUNTIF(I154:XFD154,"&gt;"&amp;0)-1,$F$1)))</f>
        <v>0</v>
      </c>
    </row>
    <row r="155" spans="1:7" x14ac:dyDescent="0.25">
      <c r="A155" s="9">
        <f>A154+1</f>
        <v>154</v>
      </c>
      <c r="B155" s="9">
        <f t="array" ref="B155">IF(C155="",0,IF(OR(C155=Country_Comparison!$S$10:$S$29),1,0))</f>
        <v>0</v>
      </c>
      <c r="C155" s="9" t="str">
        <f>IF(H155="","",H155)</f>
        <v/>
      </c>
      <c r="D155" s="6">
        <f>MAX(I155:BD155)</f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>IF(COUNTIF(I155:XFD155,"&gt;"&amp;0)=0,,(E155/F155)^(1/MIN(COUNTIF(I155:XFD155,"&gt;"&amp;0)-1,$F$1)))</f>
        <v>0</v>
      </c>
    </row>
    <row r="156" spans="1:7" x14ac:dyDescent="0.25">
      <c r="A156" s="9">
        <f>A155+1</f>
        <v>155</v>
      </c>
      <c r="B156" s="9">
        <f t="array" ref="B156">IF(C156="",0,IF(OR(C156=Country_Comparison!$S$10:$S$29),1,0))</f>
        <v>0</v>
      </c>
      <c r="C156" s="9" t="str">
        <f>IF(H156="","",H156)</f>
        <v/>
      </c>
      <c r="D156" s="6">
        <f>MAX(I156:BD156)</f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>IF(COUNTIF(I156:XFD156,"&gt;"&amp;0)=0,,(E156/F156)^(1/MIN(COUNTIF(I156:XFD156,"&gt;"&amp;0)-1,$F$1)))</f>
        <v>0</v>
      </c>
    </row>
    <row r="157" spans="1:7" x14ac:dyDescent="0.25">
      <c r="A157" s="9">
        <f>A156+1</f>
        <v>156</v>
      </c>
      <c r="B157" s="9">
        <f t="array" ref="B157">IF(C157="",0,IF(OR(C157=Country_Comparison!$S$10:$S$29),1,0))</f>
        <v>0</v>
      </c>
      <c r="C157" s="9" t="str">
        <f>IF(H157="","",H157)</f>
        <v/>
      </c>
      <c r="D157" s="6">
        <f>MAX(I157:BD157)</f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>IF(COUNTIF(I157:XFD157,"&gt;"&amp;0)=0,,(E157/F157)^(1/MIN(COUNTIF(I157:XFD157,"&gt;"&amp;0)-1,$F$1)))</f>
        <v>0</v>
      </c>
    </row>
    <row r="158" spans="1:7" x14ac:dyDescent="0.25">
      <c r="A158" s="9">
        <f>A157+1</f>
        <v>157</v>
      </c>
      <c r="B158" s="9">
        <f t="array" ref="B158">IF(C158="",0,IF(OR(C158=Country_Comparison!$S$10:$S$29),1,0))</f>
        <v>0</v>
      </c>
      <c r="C158" s="9" t="str">
        <f>IF(H158="","",H158)</f>
        <v/>
      </c>
      <c r="D158" s="6">
        <f>MAX(I158:BD158)</f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>IF(COUNTIF(I158:XFD158,"&gt;"&amp;0)=0,,(E158/F158)^(1/MIN(COUNTIF(I158:XFD158,"&gt;"&amp;0)-1,$F$1)))</f>
        <v>0</v>
      </c>
    </row>
    <row r="159" spans="1:7" x14ac:dyDescent="0.25">
      <c r="A159" s="9">
        <f>A158+1</f>
        <v>158</v>
      </c>
      <c r="B159" s="9">
        <f t="array" ref="B159">IF(C159="",0,IF(OR(C159=Country_Comparison!$S$10:$S$29),1,0))</f>
        <v>0</v>
      </c>
      <c r="C159" s="9" t="str">
        <f>IF(H159="","",H159)</f>
        <v/>
      </c>
      <c r="D159" s="6">
        <f>MAX(I159:BD159)</f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>IF(COUNTIF(I159:XFD159,"&gt;"&amp;0)=0,,(E159/F159)^(1/MIN(COUNTIF(I159:XFD159,"&gt;"&amp;0)-1,$F$1)))</f>
        <v>0</v>
      </c>
    </row>
    <row r="160" spans="1:7" x14ac:dyDescent="0.25">
      <c r="A160" s="9">
        <f>A159+1</f>
        <v>159</v>
      </c>
      <c r="B160" s="9">
        <f t="array" ref="B160">IF(C160="",0,IF(OR(C160=Country_Comparison!$S$10:$S$29),1,0))</f>
        <v>0</v>
      </c>
      <c r="C160" s="9" t="str">
        <f>IF(H160="","",H160)</f>
        <v/>
      </c>
      <c r="D160" s="6">
        <f>MAX(I160:BD160)</f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>IF(COUNTIF(I160:XFD160,"&gt;"&amp;0)=0,,(E160/F160)^(1/MIN(COUNTIF(I160:XFD160,"&gt;"&amp;0)-1,$F$1)))</f>
        <v>0</v>
      </c>
    </row>
    <row r="161" spans="1:7" x14ac:dyDescent="0.25">
      <c r="A161" s="9">
        <f>A160+1</f>
        <v>160</v>
      </c>
      <c r="B161" s="9">
        <f t="array" ref="B161">IF(C161="",0,IF(OR(C161=Country_Comparison!$S$10:$S$29),1,0))</f>
        <v>0</v>
      </c>
      <c r="C161" s="9" t="str">
        <f>IF(H161="","",H161)</f>
        <v/>
      </c>
      <c r="D161" s="6">
        <f>MAX(I161:BD161)</f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>IF(COUNTIF(I161:XFD161,"&gt;"&amp;0)=0,,(E161/F161)^(1/MIN(COUNTIF(I161:XFD161,"&gt;"&amp;0)-1,$F$1)))</f>
        <v>0</v>
      </c>
    </row>
    <row r="162" spans="1:7" x14ac:dyDescent="0.25">
      <c r="A162" s="9">
        <f>A161+1</f>
        <v>161</v>
      </c>
      <c r="B162" s="9">
        <f t="array" ref="B162">IF(C162="",0,IF(OR(C162=Country_Comparison!$S$10:$S$29),1,0))</f>
        <v>0</v>
      </c>
      <c r="C162" s="9" t="str">
        <f>IF(H162="","",H162)</f>
        <v/>
      </c>
      <c r="D162" s="6">
        <f>MAX(I162:BD162)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>IF(COUNTIF(I162:XFD162,"&gt;"&amp;0)=0,,(E162/F162)^(1/MIN(COUNTIF(I162:XFD162,"&gt;"&amp;0)-1,$F$1)))</f>
        <v>0</v>
      </c>
    </row>
    <row r="163" spans="1:7" x14ac:dyDescent="0.25">
      <c r="A163" s="9">
        <f>A162+1</f>
        <v>162</v>
      </c>
      <c r="B163" s="9">
        <f t="array" ref="B163">IF(C163="",0,IF(OR(C163=Country_Comparison!$S$10:$S$29),1,0))</f>
        <v>0</v>
      </c>
      <c r="C163" s="9" t="str">
        <f>IF(H163="","",H163)</f>
        <v/>
      </c>
      <c r="D163" s="6">
        <f>MAX(I163:BD163)</f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>IF(COUNTIF(I163:XFD163,"&gt;"&amp;0)=0,,(E163/F163)^(1/MIN(COUNTIF(I163:XFD163,"&gt;"&amp;0)-1,$F$1)))</f>
        <v>0</v>
      </c>
    </row>
    <row r="164" spans="1:7" x14ac:dyDescent="0.25">
      <c r="A164" s="9">
        <f>A163+1</f>
        <v>163</v>
      </c>
      <c r="B164" s="9">
        <f t="array" ref="B164">IF(C164="",0,IF(OR(C164=Country_Comparison!$S$10:$S$29),1,0))</f>
        <v>0</v>
      </c>
      <c r="C164" s="9" t="str">
        <f>IF(H164="","",H164)</f>
        <v/>
      </c>
      <c r="D164" s="6">
        <f>MAX(I164:BD164)</f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>IF(COUNTIF(I164:XFD164,"&gt;"&amp;0)=0,,(E164/F164)^(1/MIN(COUNTIF(I164:XFD164,"&gt;"&amp;0)-1,$F$1)))</f>
        <v>0</v>
      </c>
    </row>
    <row r="165" spans="1:7" x14ac:dyDescent="0.25">
      <c r="A165" s="9">
        <f>A164+1</f>
        <v>164</v>
      </c>
      <c r="B165" s="9">
        <f t="array" ref="B165">IF(C165="",0,IF(OR(C165=Country_Comparison!$S$10:$S$29),1,0))</f>
        <v>0</v>
      </c>
      <c r="C165" s="9" t="str">
        <f>IF(H165="","",H165)</f>
        <v/>
      </c>
      <c r="D165" s="6">
        <f>MAX(I165:BD165)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>IF(COUNTIF(I165:XFD165,"&gt;"&amp;0)=0,,(E165/F165)^(1/MIN(COUNTIF(I165:XFD165,"&gt;"&amp;0)-1,$F$1)))</f>
        <v>0</v>
      </c>
    </row>
    <row r="166" spans="1:7" x14ac:dyDescent="0.25">
      <c r="A166" s="9">
        <f>A165+1</f>
        <v>165</v>
      </c>
      <c r="B166" s="9">
        <f t="array" ref="B166">IF(C166="",0,IF(OR(C166=Country_Comparison!$S$10:$S$29),1,0))</f>
        <v>0</v>
      </c>
      <c r="C166" s="9" t="str">
        <f>IF(H166="","",H166)</f>
        <v/>
      </c>
      <c r="D166" s="6">
        <f>MAX(I166:BD166)</f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>IF(COUNTIF(I166:XFD166,"&gt;"&amp;0)=0,,(E166/F166)^(1/MIN(COUNTIF(I166:XFD166,"&gt;"&amp;0)-1,$F$1)))</f>
        <v>0</v>
      </c>
    </row>
    <row r="167" spans="1:7" x14ac:dyDescent="0.25">
      <c r="A167" s="9">
        <f>A166+1</f>
        <v>166</v>
      </c>
      <c r="B167" s="9">
        <f t="array" ref="B167">IF(C167="",0,IF(OR(C167=Country_Comparison!$S$10:$S$29),1,0))</f>
        <v>0</v>
      </c>
      <c r="C167" s="9" t="str">
        <f>IF(H167="","",H167)</f>
        <v/>
      </c>
      <c r="D167" s="6">
        <f>MAX(I167:BD167)</f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>IF(COUNTIF(I167:XFD167,"&gt;"&amp;0)=0,,(E167/F167)^(1/MIN(COUNTIF(I167:XFD167,"&gt;"&amp;0)-1,$F$1)))</f>
        <v>0</v>
      </c>
    </row>
    <row r="168" spans="1:7" x14ac:dyDescent="0.25">
      <c r="A168" s="9">
        <f>A167+1</f>
        <v>167</v>
      </c>
      <c r="B168" s="9">
        <f t="array" ref="B168">IF(C168="",0,IF(OR(C168=Country_Comparison!$S$10:$S$29),1,0))</f>
        <v>0</v>
      </c>
      <c r="C168" s="9" t="str">
        <f>IF(H168="","",H168)</f>
        <v/>
      </c>
      <c r="D168" s="6">
        <f>MAX(I168:BD168)</f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>IF(COUNTIF(I168:XFD168,"&gt;"&amp;0)=0,,(E168/F168)^(1/MIN(COUNTIF(I168:XFD168,"&gt;"&amp;0)-1,$F$1)))</f>
        <v>0</v>
      </c>
    </row>
    <row r="169" spans="1:7" x14ac:dyDescent="0.25">
      <c r="A169" s="9">
        <f>A168+1</f>
        <v>168</v>
      </c>
      <c r="B169" s="9">
        <f t="array" ref="B169">IF(C169="",0,IF(OR(C169=Country_Comparison!$S$10:$S$29),1,0))</f>
        <v>0</v>
      </c>
      <c r="C169" s="9" t="str">
        <f>IF(H169="","",H169)</f>
        <v/>
      </c>
      <c r="D169" s="6">
        <f>MAX(I169:BD169)</f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>IF(COUNTIF(I169:XFD169,"&gt;"&amp;0)=0,,(E169/F169)^(1/MIN(COUNTIF(I169:XFD169,"&gt;"&amp;0)-1,$F$1)))</f>
        <v>0</v>
      </c>
    </row>
    <row r="170" spans="1:7" x14ac:dyDescent="0.25">
      <c r="A170" s="9">
        <f>A169+1</f>
        <v>169</v>
      </c>
      <c r="B170" s="9">
        <f t="array" ref="B170">IF(C170="",0,IF(OR(C170=Country_Comparison!$S$10:$S$29),1,0))</f>
        <v>0</v>
      </c>
      <c r="C170" s="9" t="str">
        <f>IF(H170="","",H170)</f>
        <v/>
      </c>
      <c r="D170" s="6">
        <f>MAX(I170:BD170)</f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>IF(COUNTIF(I170:XFD170,"&gt;"&amp;0)=0,,(E170/F170)^(1/MIN(COUNTIF(I170:XFD170,"&gt;"&amp;0)-1,$F$1)))</f>
        <v>0</v>
      </c>
    </row>
    <row r="171" spans="1:7" x14ac:dyDescent="0.25">
      <c r="A171" s="9">
        <f>A170+1</f>
        <v>170</v>
      </c>
      <c r="B171" s="9">
        <f t="array" ref="B171">IF(C171="",0,IF(OR(C171=Country_Comparison!$S$10:$S$29),1,0))</f>
        <v>0</v>
      </c>
      <c r="C171" s="9" t="str">
        <f>IF(H171="","",H171)</f>
        <v/>
      </c>
      <c r="D171" s="6">
        <f>MAX(I171:BD171)</f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>IF(COUNTIF(I171:XFD171,"&gt;"&amp;0)=0,,(E171/F171)^(1/MIN(COUNTIF(I171:XFD171,"&gt;"&amp;0)-1,$F$1)))</f>
        <v>0</v>
      </c>
    </row>
    <row r="172" spans="1:7" x14ac:dyDescent="0.25">
      <c r="A172" s="9">
        <f>A171+1</f>
        <v>171</v>
      </c>
      <c r="B172" s="9">
        <f t="array" ref="B172">IF(C172="",0,IF(OR(C172=Country_Comparison!$S$10:$S$29),1,0))</f>
        <v>0</v>
      </c>
      <c r="C172" s="9" t="str">
        <f>IF(H172="","",H172)</f>
        <v/>
      </c>
      <c r="D172" s="6">
        <f>MAX(I172:BD172)</f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>IF(COUNTIF(I172:XFD172,"&gt;"&amp;0)=0,,(E172/F172)^(1/MIN(COUNTIF(I172:XFD172,"&gt;"&amp;0)-1,$F$1)))</f>
        <v>0</v>
      </c>
    </row>
    <row r="173" spans="1:7" x14ac:dyDescent="0.25">
      <c r="A173" s="9">
        <f>A172+1</f>
        <v>172</v>
      </c>
      <c r="B173" s="9">
        <f t="array" ref="B173">IF(C173="",0,IF(OR(C173=Country_Comparison!$S$10:$S$29),1,0))</f>
        <v>0</v>
      </c>
      <c r="C173" s="9" t="str">
        <f>IF(H173="","",H173)</f>
        <v/>
      </c>
      <c r="D173" s="6">
        <f>MAX(I173:BD173)</f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>IF(COUNTIF(I173:XFD173,"&gt;"&amp;0)=0,,(E173/F173)^(1/MIN(COUNTIF(I173:XFD173,"&gt;"&amp;0)-1,$F$1)))</f>
        <v>0</v>
      </c>
    </row>
    <row r="174" spans="1:7" x14ac:dyDescent="0.25">
      <c r="A174" s="9">
        <f>A173+1</f>
        <v>173</v>
      </c>
      <c r="B174" s="9">
        <f t="array" ref="B174">IF(C174="",0,IF(OR(C174=Country_Comparison!$S$10:$S$29),1,0))</f>
        <v>0</v>
      </c>
      <c r="C174" s="9" t="str">
        <f>IF(H174="","",H174)</f>
        <v/>
      </c>
      <c r="D174" s="6">
        <f>MAX(I174:BD174)</f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>IF(COUNTIF(I174:XFD174,"&gt;"&amp;0)=0,,(E174/F174)^(1/MIN(COUNTIF(I174:XFD174,"&gt;"&amp;0)-1,$F$1)))</f>
        <v>0</v>
      </c>
    </row>
    <row r="175" spans="1:7" x14ac:dyDescent="0.25">
      <c r="A175" s="9">
        <f>A174+1</f>
        <v>174</v>
      </c>
      <c r="B175" s="9">
        <f t="array" ref="B175">IF(C175="",0,IF(OR(C175=Country_Comparison!$S$10:$S$29),1,0))</f>
        <v>0</v>
      </c>
      <c r="C175" s="9" t="str">
        <f>IF(H175="","",H175)</f>
        <v/>
      </c>
      <c r="D175" s="6">
        <f>MAX(I175:BD175)</f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>IF(COUNTIF(I175:XFD175,"&gt;"&amp;0)=0,,(E175/F175)^(1/MIN(COUNTIF(I175:XFD175,"&gt;"&amp;0)-1,$F$1)))</f>
        <v>0</v>
      </c>
    </row>
    <row r="176" spans="1:7" x14ac:dyDescent="0.25">
      <c r="A176" s="9">
        <f>A175+1</f>
        <v>175</v>
      </c>
      <c r="B176" s="9">
        <f t="array" ref="B176">IF(C176="",0,IF(OR(C176=Country_Comparison!$S$10:$S$29),1,0))</f>
        <v>0</v>
      </c>
      <c r="C176" s="9" t="str">
        <f>IF(H176="","",H176)</f>
        <v/>
      </c>
      <c r="D176" s="6">
        <f>MAX(I176:BD176)</f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>IF(COUNTIF(I176:XFD176,"&gt;"&amp;0)=0,,(E176/F176)^(1/MIN(COUNTIF(I176:XFD176,"&gt;"&amp;0)-1,$F$1)))</f>
        <v>0</v>
      </c>
    </row>
    <row r="177" spans="1:7" x14ac:dyDescent="0.25">
      <c r="A177" s="9">
        <f>A176+1</f>
        <v>176</v>
      </c>
      <c r="B177" s="9">
        <f t="array" ref="B177">IF(C177="",0,IF(OR(C177=Country_Comparison!$S$10:$S$29),1,0))</f>
        <v>0</v>
      </c>
      <c r="C177" s="9" t="str">
        <f>IF(H177="","",H177)</f>
        <v/>
      </c>
      <c r="D177" s="6">
        <f>MAX(I177:BD177)</f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>IF(COUNTIF(I177:XFD177,"&gt;"&amp;0)=0,,(E177/F177)^(1/MIN(COUNTIF(I177:XFD177,"&gt;"&amp;0)-1,$F$1)))</f>
        <v>0</v>
      </c>
    </row>
    <row r="178" spans="1:7" x14ac:dyDescent="0.25">
      <c r="A178" s="9">
        <f>A177+1</f>
        <v>177</v>
      </c>
      <c r="B178" s="9">
        <f t="array" ref="B178">IF(C178="",0,IF(OR(C178=Country_Comparison!$S$10:$S$29),1,0))</f>
        <v>0</v>
      </c>
      <c r="C178" s="9" t="str">
        <f>IF(H178="","",H178)</f>
        <v/>
      </c>
      <c r="D178" s="6">
        <f>MAX(I178:BD178)</f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>IF(COUNTIF(I178:XFD178,"&gt;"&amp;0)=0,,(E178/F178)^(1/MIN(COUNTIF(I178:XFD178,"&gt;"&amp;0)-1,$F$1)))</f>
        <v>0</v>
      </c>
    </row>
    <row r="179" spans="1:7" x14ac:dyDescent="0.25">
      <c r="A179" s="9">
        <f>A178+1</f>
        <v>178</v>
      </c>
      <c r="B179" s="9">
        <f t="array" ref="B179">IF(C179="",0,IF(OR(C179=Country_Comparison!$S$10:$S$29),1,0))</f>
        <v>0</v>
      </c>
      <c r="C179" s="9" t="str">
        <f>IF(H179="","",H179)</f>
        <v/>
      </c>
      <c r="D179" s="6">
        <f>MAX(I179:BD179)</f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>IF(COUNTIF(I179:XFD179,"&gt;"&amp;0)=0,,(E179/F179)^(1/MIN(COUNTIF(I179:XFD179,"&gt;"&amp;0)-1,$F$1)))</f>
        <v>0</v>
      </c>
    </row>
    <row r="180" spans="1:7" x14ac:dyDescent="0.25">
      <c r="A180" s="9">
        <f>A179+1</f>
        <v>179</v>
      </c>
      <c r="B180" s="9">
        <f t="array" ref="B180">IF(C180="",0,IF(OR(C180=Country_Comparison!$S$10:$S$29),1,0))</f>
        <v>0</v>
      </c>
      <c r="C180" s="9" t="str">
        <f>IF(H180="","",H180)</f>
        <v/>
      </c>
      <c r="D180" s="6">
        <f>MAX(I180:BD180)</f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>IF(COUNTIF(I180:XFD180,"&gt;"&amp;0)=0,,(E180/F180)^(1/MIN(COUNTIF(I180:XFD180,"&gt;"&amp;0)-1,$F$1)))</f>
        <v>0</v>
      </c>
    </row>
    <row r="181" spans="1:7" x14ac:dyDescent="0.25">
      <c r="A181" s="9">
        <f>A180+1</f>
        <v>180</v>
      </c>
      <c r="B181" s="9">
        <f t="array" ref="B181">IF(C181="",0,IF(OR(C181=Country_Comparison!$S$10:$S$29),1,0))</f>
        <v>0</v>
      </c>
      <c r="C181" s="9" t="str">
        <f>IF(H181="","",H181)</f>
        <v/>
      </c>
      <c r="D181" s="6">
        <f>MAX(I181:BD181)</f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>IF(COUNTIF(I181:XFD181,"&gt;"&amp;0)=0,,(E181/F181)^(1/MIN(COUNTIF(I181:XFD181,"&gt;"&amp;0)-1,$F$1)))</f>
        <v>0</v>
      </c>
    </row>
    <row r="182" spans="1:7" x14ac:dyDescent="0.25">
      <c r="A182" s="9">
        <f>A181+1</f>
        <v>181</v>
      </c>
      <c r="B182" s="9">
        <f t="array" ref="B182">IF(C182="",0,IF(OR(C182=Country_Comparison!$S$10:$S$29),1,0))</f>
        <v>0</v>
      </c>
      <c r="C182" s="9" t="str">
        <f>IF(H182="","",H182)</f>
        <v/>
      </c>
      <c r="D182" s="6">
        <f>MAX(I182:BD182)</f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>IF(COUNTIF(I182:XFD182,"&gt;"&amp;0)=0,,(E182/F182)^(1/MIN(COUNTIF(I182:XFD182,"&gt;"&amp;0)-1,$F$1)))</f>
        <v>0</v>
      </c>
    </row>
    <row r="183" spans="1:7" x14ac:dyDescent="0.25">
      <c r="A183" s="9">
        <f>A182+1</f>
        <v>182</v>
      </c>
      <c r="B183" s="9">
        <f t="array" ref="B183">IF(C183="",0,IF(OR(C183=Country_Comparison!$S$10:$S$29),1,0))</f>
        <v>0</v>
      </c>
      <c r="C183" s="9" t="str">
        <f>IF(H183="","",H183)</f>
        <v/>
      </c>
      <c r="D183" s="6">
        <f>MAX(I183:BD183)</f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>IF(COUNTIF(I183:XFD183,"&gt;"&amp;0)=0,,(E183/F183)^(1/MIN(COUNTIF(I183:XFD183,"&gt;"&amp;0)-1,$F$1)))</f>
        <v>0</v>
      </c>
    </row>
    <row r="184" spans="1:7" x14ac:dyDescent="0.25">
      <c r="A184" s="9">
        <f>A183+1</f>
        <v>183</v>
      </c>
      <c r="B184" s="9">
        <f t="array" ref="B184">IF(C184="",0,IF(OR(C184=Country_Comparison!$S$10:$S$29),1,0))</f>
        <v>0</v>
      </c>
      <c r="C184" s="9" t="str">
        <f>IF(H184="","",H184)</f>
        <v/>
      </c>
      <c r="D184" s="6">
        <f>MAX(I184:BD184)</f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>IF(COUNTIF(I184:XFD184,"&gt;"&amp;0)=0,,(E184/F184)^(1/MIN(COUNTIF(I184:XFD184,"&gt;"&amp;0)-1,$F$1)))</f>
        <v>0</v>
      </c>
    </row>
    <row r="185" spans="1:7" x14ac:dyDescent="0.25">
      <c r="A185" s="9">
        <f>A184+1</f>
        <v>184</v>
      </c>
      <c r="B185" s="9">
        <f t="array" ref="B185">IF(C185="",0,IF(OR(C185=Country_Comparison!$S$10:$S$29),1,0))</f>
        <v>0</v>
      </c>
      <c r="C185" s="9" t="str">
        <f>IF(H185="","",H185)</f>
        <v/>
      </c>
      <c r="D185" s="6">
        <f>MAX(I185:BD185)</f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>IF(COUNTIF(I185:XFD185,"&gt;"&amp;0)=0,,(E185/F185)^(1/MIN(COUNTIF(I185:XFD185,"&gt;"&amp;0)-1,$F$1)))</f>
        <v>0</v>
      </c>
    </row>
    <row r="186" spans="1:7" x14ac:dyDescent="0.25">
      <c r="A186" s="9">
        <f>A185+1</f>
        <v>185</v>
      </c>
      <c r="B186" s="9">
        <f t="array" ref="B186">IF(C186="",0,IF(OR(C186=Country_Comparison!$S$10:$S$29),1,0))</f>
        <v>0</v>
      </c>
      <c r="C186" s="9" t="str">
        <f>IF(H186="","",H186)</f>
        <v/>
      </c>
      <c r="D186" s="6">
        <f>MAX(I186:BD186)</f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>IF(COUNTIF(I186:XFD186,"&gt;"&amp;0)=0,,(E186/F186)^(1/MIN(COUNTIF(I186:XFD186,"&gt;"&amp;0)-1,$F$1)))</f>
        <v>0</v>
      </c>
    </row>
    <row r="187" spans="1:7" x14ac:dyDescent="0.25">
      <c r="A187" s="9">
        <f>A186+1</f>
        <v>186</v>
      </c>
      <c r="B187" s="9">
        <f t="array" ref="B187">IF(C187="",0,IF(OR(C187=Country_Comparison!$S$10:$S$29),1,0))</f>
        <v>0</v>
      </c>
      <c r="C187" s="9" t="str">
        <f>IF(H187="","",H187)</f>
        <v/>
      </c>
      <c r="D187" s="6">
        <f>MAX(I187:BD187)</f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>IF(COUNTIF(I187:XFD187,"&gt;"&amp;0)=0,,(E187/F187)^(1/MIN(COUNTIF(I187:XFD187,"&gt;"&amp;0)-1,$F$1)))</f>
        <v>0</v>
      </c>
    </row>
    <row r="188" spans="1:7" x14ac:dyDescent="0.25">
      <c r="A188" s="9">
        <f>A187+1</f>
        <v>187</v>
      </c>
      <c r="B188" s="9">
        <f t="array" ref="B188">IF(C188="",0,IF(OR(C188=Country_Comparison!$S$10:$S$29),1,0))</f>
        <v>0</v>
      </c>
      <c r="C188" s="9" t="str">
        <f>IF(H188="","",H188)</f>
        <v/>
      </c>
      <c r="D188" s="6">
        <f>MAX(I188:BD188)</f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>IF(COUNTIF(I188:XFD188,"&gt;"&amp;0)=0,,(E188/F188)^(1/MIN(COUNTIF(I188:XFD188,"&gt;"&amp;0)-1,$F$1)))</f>
        <v>0</v>
      </c>
    </row>
    <row r="189" spans="1:7" x14ac:dyDescent="0.25">
      <c r="A189" s="9">
        <f>A188+1</f>
        <v>188</v>
      </c>
      <c r="B189" s="9">
        <f t="array" ref="B189">IF(C189="",0,IF(OR(C189=Country_Comparison!$S$10:$S$29),1,0))</f>
        <v>0</v>
      </c>
      <c r="C189" s="9" t="str">
        <f>IF(H189="","",H189)</f>
        <v/>
      </c>
      <c r="D189" s="6">
        <f>MAX(I189:BD189)</f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>IF(COUNTIF(I189:XFD189,"&gt;"&amp;0)=0,,(E189/F189)^(1/MIN(COUNTIF(I189:XFD189,"&gt;"&amp;0)-1,$F$1)))</f>
        <v>0</v>
      </c>
    </row>
    <row r="190" spans="1:7" x14ac:dyDescent="0.25">
      <c r="A190" s="9">
        <f>A189+1</f>
        <v>189</v>
      </c>
      <c r="B190" s="9">
        <f t="array" ref="B190">IF(C190="",0,IF(OR(C190=Country_Comparison!$S$10:$S$29),1,0))</f>
        <v>0</v>
      </c>
      <c r="C190" s="9" t="str">
        <f>IF(H190="","",H190)</f>
        <v/>
      </c>
      <c r="D190" s="6">
        <f>MAX(I190:BD190)</f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>IF(COUNTIF(I190:XFD190,"&gt;"&amp;0)=0,,(E190/F190)^(1/MIN(COUNTIF(I190:XFD190,"&gt;"&amp;0)-1,$F$1)))</f>
        <v>0</v>
      </c>
    </row>
    <row r="191" spans="1:7" x14ac:dyDescent="0.25">
      <c r="A191" s="9">
        <f>A190+1</f>
        <v>190</v>
      </c>
      <c r="B191" s="9">
        <f t="array" ref="B191">IF(C191="",0,IF(OR(C191=Country_Comparison!$S$10:$S$29),1,0))</f>
        <v>0</v>
      </c>
      <c r="C191" s="9" t="str">
        <f>IF(H191="","",H191)</f>
        <v/>
      </c>
      <c r="D191" s="6">
        <f>MAX(I191:BD191)</f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>IF(COUNTIF(I191:XFD191,"&gt;"&amp;0)=0,,(E191/F191)^(1/MIN(COUNTIF(I191:XFD191,"&gt;"&amp;0)-1,$F$1)))</f>
        <v>0</v>
      </c>
    </row>
    <row r="192" spans="1:7" x14ac:dyDescent="0.25">
      <c r="A192" s="9">
        <f>A191+1</f>
        <v>191</v>
      </c>
      <c r="B192" s="9">
        <f t="array" ref="B192">IF(C192="",0,IF(OR(C192=Country_Comparison!$S$10:$S$29),1,0))</f>
        <v>0</v>
      </c>
      <c r="C192" s="9" t="str">
        <f>IF(H192="","",H192)</f>
        <v/>
      </c>
      <c r="D192" s="6">
        <f>MAX(I192:BD192)</f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>IF(COUNTIF(I192:XFD192,"&gt;"&amp;0)=0,,(E192/F192)^(1/MIN(COUNTIF(I192:XFD192,"&gt;"&amp;0)-1,$F$1)))</f>
        <v>0</v>
      </c>
    </row>
    <row r="193" spans="1:7" x14ac:dyDescent="0.25">
      <c r="A193" s="9">
        <f>A192+1</f>
        <v>192</v>
      </c>
      <c r="B193" s="9">
        <f t="array" ref="B193">IF(C193="",0,IF(OR(C193=Country_Comparison!$S$10:$S$29),1,0))</f>
        <v>0</v>
      </c>
      <c r="C193" s="9" t="str">
        <f>IF(H193="","",H193)</f>
        <v/>
      </c>
      <c r="D193" s="6">
        <f>MAX(I193:BD193)</f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>IF(COUNTIF(I193:XFD193,"&gt;"&amp;0)=0,,(E193/F193)^(1/MIN(COUNTIF(I193:XFD193,"&gt;"&amp;0)-1,$F$1)))</f>
        <v>0</v>
      </c>
    </row>
    <row r="194" spans="1:7" x14ac:dyDescent="0.25">
      <c r="A194" s="9">
        <f>A193+1</f>
        <v>193</v>
      </c>
      <c r="B194" s="9">
        <f t="array" ref="B194">IF(C194="",0,IF(OR(C194=Country_Comparison!$S$10:$S$29),1,0))</f>
        <v>0</v>
      </c>
      <c r="C194" s="9" t="str">
        <f>IF(H194="","",H194)</f>
        <v/>
      </c>
      <c r="D194" s="6">
        <f>MAX(I194:BD194)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>IF(COUNTIF(I194:XFD194,"&gt;"&amp;0)=0,,(E194/F194)^(1/MIN(COUNTIF(I194:XFD194,"&gt;"&amp;0)-1,$F$1)))</f>
        <v>0</v>
      </c>
    </row>
    <row r="195" spans="1:7" x14ac:dyDescent="0.25">
      <c r="A195" s="9">
        <f>A194+1</f>
        <v>194</v>
      </c>
      <c r="B195" s="9">
        <f t="array" ref="B195">IF(C195="",0,IF(OR(C195=Country_Comparison!$S$10:$S$29),1,0))</f>
        <v>0</v>
      </c>
      <c r="C195" s="9" t="str">
        <f>IF(H195="","",H195)</f>
        <v/>
      </c>
      <c r="D195" s="6">
        <f>MAX(I195:BD195)</f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>IF(COUNTIF(I195:XFD195,"&gt;"&amp;0)=0,,(E195/F195)^(1/MIN(COUNTIF(I195:XFD195,"&gt;"&amp;0)-1,$F$1)))</f>
        <v>0</v>
      </c>
    </row>
    <row r="196" spans="1:7" x14ac:dyDescent="0.25">
      <c r="A196" s="9">
        <f>A195+1</f>
        <v>195</v>
      </c>
      <c r="B196" s="9">
        <f t="array" ref="B196">IF(C196="",0,IF(OR(C196=Country_Comparison!$S$10:$S$29),1,0))</f>
        <v>0</v>
      </c>
      <c r="C196" s="9" t="str">
        <f>IF(H196="","",H196)</f>
        <v/>
      </c>
      <c r="D196" s="6">
        <f>MAX(I196:BD196)</f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>IF(COUNTIF(I196:XFD196,"&gt;"&amp;0)=0,,(E196/F196)^(1/MIN(COUNTIF(I196:XFD196,"&gt;"&amp;0)-1,$F$1)))</f>
        <v>0</v>
      </c>
    </row>
    <row r="197" spans="1:7" x14ac:dyDescent="0.25">
      <c r="A197" s="9">
        <f>A196+1</f>
        <v>196</v>
      </c>
      <c r="B197" s="9">
        <f t="array" ref="B197">IF(C197="",0,IF(OR(C197=Country_Comparison!$S$10:$S$29),1,0))</f>
        <v>0</v>
      </c>
      <c r="C197" s="9" t="str">
        <f>IF(H197="","",H197)</f>
        <v/>
      </c>
      <c r="D197" s="6">
        <f>MAX(I197:BD197)</f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>IF(COUNTIF(I197:XFD197,"&gt;"&amp;0)=0,,(E197/F197)^(1/MIN(COUNTIF(I197:XFD197,"&gt;"&amp;0)-1,$F$1)))</f>
        <v>0</v>
      </c>
    </row>
    <row r="198" spans="1:7" x14ac:dyDescent="0.25">
      <c r="A198" s="9">
        <f>A197+1</f>
        <v>197</v>
      </c>
      <c r="B198" s="9">
        <f t="array" ref="B198">IF(C198="",0,IF(OR(C198=Country_Comparison!$S$10:$S$29),1,0))</f>
        <v>0</v>
      </c>
      <c r="C198" s="9" t="str">
        <f>IF(H198="","",H198)</f>
        <v/>
      </c>
      <c r="D198" s="6">
        <f>MAX(I198:BD198)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>IF(COUNTIF(I198:XFD198,"&gt;"&amp;0)=0,,(E198/F198)^(1/MIN(COUNTIF(I198:XFD198,"&gt;"&amp;0)-1,$F$1)))</f>
        <v>0</v>
      </c>
    </row>
    <row r="199" spans="1:7" x14ac:dyDescent="0.25">
      <c r="A199" s="9">
        <f>A198+1</f>
        <v>198</v>
      </c>
      <c r="B199" s="9">
        <f t="array" ref="B199">IF(C199="",0,IF(OR(C199=Country_Comparison!$S$10:$S$29),1,0))</f>
        <v>0</v>
      </c>
      <c r="C199" s="9" t="str">
        <f>IF(H199="","",H199)</f>
        <v/>
      </c>
      <c r="D199" s="6">
        <f>MAX(I199:BD199)</f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>IF(COUNTIF(I199:XFD199,"&gt;"&amp;0)=0,,(E199/F199)^(1/MIN(COUNTIF(I199:XFD199,"&gt;"&amp;0)-1,$F$1)))</f>
        <v>0</v>
      </c>
    </row>
    <row r="200" spans="1:7" x14ac:dyDescent="0.25">
      <c r="A200" s="9">
        <f>A199+1</f>
        <v>199</v>
      </c>
      <c r="B200" s="9">
        <f t="array" ref="B200">IF(C200="",0,IF(OR(C200=Country_Comparison!$S$10:$S$29),1,0))</f>
        <v>0</v>
      </c>
      <c r="C200" s="9" t="str">
        <f>IF(H200="","",H200)</f>
        <v/>
      </c>
      <c r="D200" s="6">
        <f>MAX(I200:BD200)</f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>IF(COUNTIF(I200:XFD200,"&gt;"&amp;0)=0,,(E200/F200)^(1/MIN(COUNTIF(I200:XFD200,"&gt;"&amp;0)-1,$F$1)))</f>
        <v>0</v>
      </c>
    </row>
  </sheetData>
  <autoFilter ref="A1:KU1" xr:uid="{4F235B05-73C8-43FB-A2BA-76D993DAF46A}">
    <sortState xmlns:xlrd2="http://schemas.microsoft.com/office/spreadsheetml/2017/richdata2" ref="A2:KU200">
      <sortCondition descending="1" ref="B1:B100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topLeftCell="A126" workbookViewId="0">
      <selection activeCell="J128" sqref="J128:J133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477</v>
      </c>
      <c r="D1" s="52">
        <v>100</v>
      </c>
      <c r="E1" s="52" t="s">
        <v>487</v>
      </c>
      <c r="F1" s="52" t="s">
        <v>450</v>
      </c>
      <c r="G1" s="52" t="s">
        <v>509</v>
      </c>
      <c r="H1" s="52" t="s">
        <v>504</v>
      </c>
      <c r="I1" s="52" t="s">
        <v>501</v>
      </c>
      <c r="J1" s="41" t="s">
        <v>571</v>
      </c>
      <c r="K1" s="52" t="s">
        <v>513</v>
      </c>
      <c r="L1" s="52" t="s">
        <v>465</v>
      </c>
      <c r="M1" s="52" t="s">
        <v>517</v>
      </c>
      <c r="N1" s="52">
        <v>10</v>
      </c>
      <c r="O1" s="52" t="s">
        <v>572</v>
      </c>
      <c r="P1" s="52" t="s">
        <v>573</v>
      </c>
      <c r="Q1" s="52" t="s">
        <v>607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81782</v>
      </c>
      <c r="G2" s="41">
        <f>MAX(CumulativeDead!2:2)</f>
        <v>3291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4.0241128854760215E-2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608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80589</v>
      </c>
      <c r="G3" s="41">
        <f>MAX(CumulativeDead!3:3)</f>
        <v>8215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0.10193698891908325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609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29406</v>
      </c>
      <c r="G4" s="41">
        <f>MAX(CumulativeDead!4:4)</f>
        <v>2234</v>
      </c>
      <c r="J4" s="41">
        <v>83992949</v>
      </c>
      <c r="K4" s="52">
        <v>0</v>
      </c>
      <c r="L4" s="41">
        <v>0</v>
      </c>
      <c r="M4" s="69">
        <f t="shared" si="0"/>
        <v>7.5970890294497717E-2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610</v>
      </c>
    </row>
    <row r="5" spans="1:17" x14ac:dyDescent="0.3">
      <c r="A5" s="52">
        <v>4</v>
      </c>
      <c r="B5" s="55" t="s">
        <v>476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9241</v>
      </c>
      <c r="G5" s="41">
        <f>MAX(CumulativeDead!5:5)</f>
        <v>131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1.4175954983226923E-2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608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57786</v>
      </c>
      <c r="G6" s="41">
        <f>MAX(CumulativeDead!6:6)</f>
        <v>4365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7.5537327380334335E-2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609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43938</v>
      </c>
      <c r="G7" s="41">
        <f>MAX(CumulativeDead!7:7)</f>
        <v>267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6.0767445036187355E-3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609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29551</v>
      </c>
      <c r="G8" s="41">
        <f>MAX(CumulativeDead!8:8)</f>
        <v>1698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5.7459984433690908E-2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609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83836</v>
      </c>
      <c r="G9" s="41">
        <f>MAX(CumulativeDead!9:9)</f>
        <v>1209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1.4421012452884203E-2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611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11811</v>
      </c>
      <c r="G10" s="41">
        <f>MAX(CumulativeDead!10:10)</f>
        <v>191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1.6171365676064687E-2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609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3369</v>
      </c>
      <c r="G11" s="41">
        <f>MAX(CumulativeDead!11:11)</f>
        <v>14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4.1555357672899973E-3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609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2840</v>
      </c>
      <c r="G12" s="41">
        <f>MAX(CumulativeDead!12:12)</f>
        <v>77</v>
      </c>
      <c r="J12" s="41">
        <v>10099265</v>
      </c>
      <c r="K12" s="52">
        <v>5.8</v>
      </c>
      <c r="L12" s="41">
        <v>585.75736999999992</v>
      </c>
      <c r="M12" s="69">
        <f t="shared" si="0"/>
        <v>2.7112676056338027E-2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609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2023</v>
      </c>
      <c r="G13" s="41">
        <f>MAX(CumulativeDead!13:13)</f>
        <v>41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2.0266930301532378E-2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609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7468</v>
      </c>
      <c r="G14" s="41">
        <f>MAX(CumulativeDead!14:14)</f>
        <v>435</v>
      </c>
      <c r="J14" s="41">
        <v>17134872</v>
      </c>
      <c r="K14" s="52">
        <v>0</v>
      </c>
      <c r="L14" s="41">
        <v>0</v>
      </c>
      <c r="M14" s="69">
        <f t="shared" si="0"/>
        <v>5.8248527048741297E-2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609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11812</v>
      </c>
      <c r="G15" s="41">
        <f>MAX(CumulativeDead!15:15)</f>
        <v>580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4.9102607517778528E-2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609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1387</v>
      </c>
      <c r="G16" s="41">
        <f>MAX(CumulativeDead!16:16)</f>
        <v>47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3.3886085075702954E-2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608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6235</v>
      </c>
      <c r="G18" s="41">
        <f>MAX(CumulativeDead!18:18)</f>
        <v>220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3.5284683239775461E-2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609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6909</v>
      </c>
      <c r="G19" s="41">
        <f>MAX(CumulativeDead!19:19)</f>
        <v>49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7.0921985815602835E-3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609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549</v>
      </c>
      <c r="G20" s="41">
        <f>MAX(CumulativeDead!20:20)</f>
        <v>0</v>
      </c>
      <c r="J20" s="41">
        <v>2881053</v>
      </c>
      <c r="K20" s="52">
        <v>0</v>
      </c>
      <c r="L20" s="41">
        <v>0</v>
      </c>
      <c r="M20" s="69">
        <f t="shared" si="0"/>
        <v>0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610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2810</v>
      </c>
      <c r="G21" s="41">
        <f>MAX(CumulativeDead!21:21)</f>
        <v>13</v>
      </c>
      <c r="J21" s="41">
        <v>25499884</v>
      </c>
      <c r="K21" s="52">
        <v>0</v>
      </c>
      <c r="L21" s="41">
        <v>0</v>
      </c>
      <c r="M21" s="69">
        <f t="shared" si="0"/>
        <v>4.6263345195729534E-3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614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683</v>
      </c>
      <c r="G22" s="41">
        <f>MAX(CumulativeDead!22:22)</f>
        <v>2</v>
      </c>
      <c r="J22" s="41">
        <v>5850342</v>
      </c>
      <c r="K22" s="52">
        <v>0</v>
      </c>
      <c r="L22" s="41">
        <v>0</v>
      </c>
      <c r="M22" s="69">
        <f t="shared" si="0"/>
        <v>2.9282576866764276E-3</v>
      </c>
      <c r="N22" s="52" t="e">
        <f>VLOOKUP(C22,Deaths_since_10!H:I,2,FALSE)</f>
        <v>#N/A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608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2031</v>
      </c>
      <c r="G23" s="41">
        <f>MAX(CumulativeDead!23:23)</f>
        <v>23</v>
      </c>
      <c r="J23" s="41">
        <v>32365999</v>
      </c>
      <c r="K23" s="52">
        <v>0</v>
      </c>
      <c r="L23" s="41">
        <v>0</v>
      </c>
      <c r="M23" s="69">
        <f t="shared" si="0"/>
        <v>1.1324470704086657E-2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608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4042</v>
      </c>
      <c r="G24" s="41">
        <f>MAX(CumulativeDead!24:24)</f>
        <v>38</v>
      </c>
      <c r="J24" s="41">
        <v>37742154</v>
      </c>
      <c r="K24" s="52">
        <v>0</v>
      </c>
      <c r="L24" s="41">
        <v>0</v>
      </c>
      <c r="M24" s="69">
        <f t="shared" si="0"/>
        <v>9.4012864918357249E-3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611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892</v>
      </c>
      <c r="G25" s="41">
        <f>MAX(CumulativeDead!25:25)</f>
        <v>26</v>
      </c>
      <c r="J25" s="41">
        <v>10423054</v>
      </c>
      <c r="K25" s="52">
        <v>6</v>
      </c>
      <c r="L25" s="41">
        <v>625.38324</v>
      </c>
      <c r="M25" s="69">
        <f t="shared" si="0"/>
        <v>2.914798206278027E-2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609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458</v>
      </c>
      <c r="G26" s="41">
        <f>MAX(CumulativeDead!26:26)</f>
        <v>4</v>
      </c>
      <c r="J26" s="41">
        <v>1701575</v>
      </c>
      <c r="K26" s="52">
        <v>0</v>
      </c>
      <c r="L26" s="41">
        <v>0</v>
      </c>
      <c r="M26" s="69">
        <f t="shared" si="0"/>
        <v>8.7336244541484712E-3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610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2693</v>
      </c>
      <c r="G27" s="41">
        <f>MAX(CumulativeDead!27:27)</f>
        <v>8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2.9706646862235424E-3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610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958</v>
      </c>
      <c r="G28" s="41">
        <f>MAX(CumulativeDead!28:28)</f>
        <v>5</v>
      </c>
      <c r="J28" s="41">
        <v>5540720</v>
      </c>
      <c r="K28" s="52">
        <v>6.1</v>
      </c>
      <c r="L28" s="41">
        <v>337.98392000000001</v>
      </c>
      <c r="M28" s="69">
        <f t="shared" si="0"/>
        <v>5.2192066805845511E-3</v>
      </c>
      <c r="N28" s="52" t="e">
        <f>VLOOKUP(C28,Deaths_since_10!H:I,2,FALSE)</f>
        <v>#N/A</v>
      </c>
      <c r="O28" s="56" t="e">
        <f ca="1">OFFSET(CumulativeDead!B28,-A28,MATCH(Country_Data!N28,CumulativeDead!C28:BU28,0))</f>
        <v>#N/A</v>
      </c>
      <c r="P28" s="52" t="e">
        <f t="shared" ca="1" si="1"/>
        <v>#N/A</v>
      </c>
      <c r="Q28" s="52" t="s">
        <v>609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2985</v>
      </c>
      <c r="G29" s="41">
        <f>MAX(CumulativeDead!29:29)</f>
        <v>77</v>
      </c>
      <c r="J29" s="41">
        <v>212559417</v>
      </c>
      <c r="K29" s="52">
        <v>0</v>
      </c>
      <c r="L29" s="41">
        <v>0</v>
      </c>
      <c r="M29" s="69">
        <f t="shared" si="0"/>
        <v>2.579564489112228E-2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612</v>
      </c>
    </row>
    <row r="30" spans="1:17" x14ac:dyDescent="0.3">
      <c r="A30" s="52">
        <v>29</v>
      </c>
      <c r="B30" s="55" t="s">
        <v>479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1925</v>
      </c>
      <c r="G30" s="41">
        <f>MAX(CumulativeDead!30:30)</f>
        <v>9</v>
      </c>
      <c r="J30" s="41">
        <v>10708981</v>
      </c>
      <c r="K30" s="52">
        <v>11.6</v>
      </c>
      <c r="L30" s="41">
        <v>1242.241796</v>
      </c>
      <c r="M30" s="69">
        <f t="shared" si="0"/>
        <v>4.6753246753246753E-3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609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562</v>
      </c>
      <c r="G31" s="41">
        <f>MAX(CumulativeDead!31:31)</f>
        <v>6</v>
      </c>
      <c r="J31" s="41">
        <v>2078938</v>
      </c>
      <c r="K31" s="52">
        <v>6.4</v>
      </c>
      <c r="L31" s="41">
        <v>133.05203200000003</v>
      </c>
      <c r="M31" s="69">
        <f t="shared" si="0"/>
        <v>1.0676156583629894E-2</v>
      </c>
      <c r="N31" s="52" t="e">
        <f>VLOOKUP(C31,Deaths_since_10!H:I,2,FALSE)</f>
        <v>#N/A</v>
      </c>
      <c r="O31" s="56" t="e">
        <f ca="1">OFFSET(CumulativeDead!B31,-A31,MATCH(Country_Data!N31,CumulativeDead!C31:BU31,0))</f>
        <v>#N/A</v>
      </c>
      <c r="P31" s="52" t="e">
        <f t="shared" ca="1" si="1"/>
        <v>#N/A</v>
      </c>
      <c r="Q31" s="52" t="s">
        <v>609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802</v>
      </c>
      <c r="G32" s="41">
        <f>MAX(CumulativeDead!32:32)</f>
        <v>5</v>
      </c>
      <c r="J32" s="41">
        <v>341243</v>
      </c>
      <c r="K32" s="52">
        <v>0</v>
      </c>
      <c r="L32" s="41">
        <v>0</v>
      </c>
      <c r="M32" s="69">
        <f t="shared" si="0"/>
        <v>6.2344139650872821E-3</v>
      </c>
      <c r="N32" s="52" t="e">
        <f>VLOOKUP(C32,Deaths_since_10!H:I,2,FALSE)</f>
        <v>#N/A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609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3544</v>
      </c>
      <c r="G33" s="41">
        <f>MAX(CumulativeDead!33:33)</f>
        <v>60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1.6930022573363433E-2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609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382</v>
      </c>
      <c r="G34" s="41">
        <f>MAX(CumulativeDead!34:34)</f>
        <v>36</v>
      </c>
      <c r="J34" s="41">
        <v>40222493</v>
      </c>
      <c r="K34" s="52">
        <v>0</v>
      </c>
      <c r="L34" s="41">
        <v>0</v>
      </c>
      <c r="M34" s="69">
        <f t="shared" ref="M34:M65" si="2">G34/F34</f>
        <v>9.4240837696335081E-2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610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1819</v>
      </c>
      <c r="G35" s="41">
        <f>MAX(CumulativeDead!35:35)</f>
        <v>19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1.0445299615173173E-2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609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1029</v>
      </c>
      <c r="G36" s="41">
        <f>MAX(CumulativeDead!36:36)</f>
        <v>23</v>
      </c>
      <c r="J36" s="41">
        <v>19237691</v>
      </c>
      <c r="K36" s="52">
        <v>21.4</v>
      </c>
      <c r="L36" s="41">
        <v>4116.8658740000001</v>
      </c>
      <c r="M36" s="69">
        <f t="shared" si="2"/>
        <v>2.2351797862001945E-2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609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1012</v>
      </c>
      <c r="G37" s="41">
        <f>MAX(CumulativeDead!37:37)</f>
        <v>3</v>
      </c>
      <c r="J37" s="41">
        <v>34813871</v>
      </c>
      <c r="K37" s="52">
        <v>0</v>
      </c>
      <c r="L37" s="41">
        <v>0</v>
      </c>
      <c r="M37" s="69">
        <f t="shared" si="2"/>
        <v>2.9644268774703555E-3</v>
      </c>
      <c r="N37" s="52" t="e">
        <f>VLOOKUP(C37,Deaths_since_10!H:I,2,FALSE)</f>
        <v>#N/A</v>
      </c>
      <c r="O37" s="56" t="e">
        <f ca="1">OFFSET(CumulativeDead!B37,-A37,MATCH(Country_Data!N37,CumulativeDead!C37:BU37,0))</f>
        <v>#N/A</v>
      </c>
      <c r="P37" s="52" t="e">
        <f t="shared" ca="1" si="3"/>
        <v>#N/A</v>
      </c>
      <c r="Q37" s="52" t="s">
        <v>610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333</v>
      </c>
      <c r="G38" s="41">
        <f>MAX(CumulativeDead!38:38)</f>
        <v>2</v>
      </c>
      <c r="J38" s="41">
        <v>9890402</v>
      </c>
      <c r="K38" s="52">
        <v>0</v>
      </c>
      <c r="L38" s="41">
        <v>0</v>
      </c>
      <c r="M38" s="69">
        <f t="shared" si="2"/>
        <v>6.006006006006006E-3</v>
      </c>
      <c r="N38" s="52" t="e">
        <f>VLOOKUP(C38,Deaths_since_10!H:I,2,FALSE)</f>
        <v>#N/A</v>
      </c>
      <c r="O38" s="56" t="e">
        <f ca="1">OFFSET(CumulativeDead!B38,-A38,MATCH(Country_Data!N38,CumulativeDead!C38:BU38,0))</f>
        <v>#N/A</v>
      </c>
      <c r="P38" s="52" t="e">
        <f t="shared" ca="1" si="3"/>
        <v>#N/A</v>
      </c>
      <c r="Q38" s="52" t="s">
        <v>610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727</v>
      </c>
      <c r="G39" s="41">
        <f>MAX(CumulativeDead!39:39)</f>
        <v>20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2.7510316368638238E-2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608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495</v>
      </c>
      <c r="G40" s="41">
        <f>MAX(CumulativeDead!40:40)</f>
        <v>24</v>
      </c>
      <c r="J40" s="41">
        <v>102334404</v>
      </c>
      <c r="K40" s="52">
        <v>0</v>
      </c>
      <c r="L40" s="41">
        <v>0</v>
      </c>
      <c r="M40" s="69">
        <f t="shared" si="2"/>
        <v>4.8484848484848485E-2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613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208</v>
      </c>
      <c r="G41" s="41">
        <f>MAX(CumulativeDead!41:41)</f>
        <v>0</v>
      </c>
      <c r="J41" s="41">
        <v>4270571</v>
      </c>
      <c r="K41" s="52">
        <v>0</v>
      </c>
      <c r="L41" s="41">
        <v>0</v>
      </c>
      <c r="M41" s="69">
        <f t="shared" si="2"/>
        <v>0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610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208</v>
      </c>
      <c r="G42" s="41">
        <f>MAX(CumulativeDead!42:42)</f>
        <v>21</v>
      </c>
      <c r="J42" s="41">
        <v>33931</v>
      </c>
      <c r="K42" s="52">
        <v>0</v>
      </c>
      <c r="L42" s="41">
        <v>0</v>
      </c>
      <c r="M42" s="69">
        <f t="shared" si="2"/>
        <v>0.10096153846153846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609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538</v>
      </c>
      <c r="G43" s="41">
        <f>MAX(CumulativeDead!43:43)</f>
        <v>1</v>
      </c>
      <c r="J43" s="41">
        <v>1326535</v>
      </c>
      <c r="K43" s="52">
        <v>14.6</v>
      </c>
      <c r="L43" s="41">
        <v>193.67410999999998</v>
      </c>
      <c r="M43" s="69">
        <f t="shared" si="2"/>
        <v>1.8587360594795538E-3</v>
      </c>
      <c r="N43" s="52" t="e">
        <f>VLOOKUP(C43,Deaths_since_10!H:I,2,FALSE)</f>
        <v>#N/A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609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368</v>
      </c>
      <c r="G44" s="41">
        <f>MAX(CumulativeDead!44:44)</f>
        <v>6</v>
      </c>
      <c r="J44" s="41">
        <v>6825445</v>
      </c>
      <c r="K44" s="52">
        <v>0</v>
      </c>
      <c r="L44" s="41">
        <v>0</v>
      </c>
      <c r="M44" s="69">
        <f t="shared" si="2"/>
        <v>1.6304347826086956E-2</v>
      </c>
      <c r="N44" s="52" t="e">
        <f>VLOOKUP(C44,Deaths_since_10!H:I,2,FALSE)</f>
        <v>#N/A</v>
      </c>
      <c r="O44" s="56" t="e">
        <f ca="1">OFFSET(CumulativeDead!B44,-A44,MATCH(Country_Data!N44,CumulativeDead!C44:BU44,0))</f>
        <v>#N/A</v>
      </c>
      <c r="P44" s="52" t="e">
        <f t="shared" ca="1" si="3"/>
        <v>#N/A</v>
      </c>
      <c r="Q44" s="52" t="s">
        <v>610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1045</v>
      </c>
      <c r="G45" s="41">
        <f>MAX(CumulativeDead!45:45)</f>
        <v>4</v>
      </c>
      <c r="J45" s="41">
        <v>69799978</v>
      </c>
      <c r="K45" s="52">
        <v>0</v>
      </c>
      <c r="L45" s="41">
        <v>0</v>
      </c>
      <c r="M45" s="69">
        <f t="shared" si="2"/>
        <v>3.8277511961722489E-3</v>
      </c>
      <c r="N45" s="52" t="e">
        <f>VLOOKUP(C45,Deaths_since_10!H:I,2,FALSE)</f>
        <v>#N/A</v>
      </c>
      <c r="O45" s="56" t="e">
        <f ca="1">OFFSET(CumulativeDead!B45,-A45,MATCH(Country_Data!N45,CumulativeDead!C45:BU45,0))</f>
        <v>#N/A</v>
      </c>
      <c r="P45" s="52" t="e">
        <f t="shared" ca="1" si="3"/>
        <v>#N/A</v>
      </c>
      <c r="Q45" s="52" t="s">
        <v>608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893</v>
      </c>
      <c r="G46" s="41">
        <f>MAX(CumulativeDead!46:46)</f>
        <v>78</v>
      </c>
      <c r="J46" s="41">
        <v>273523615</v>
      </c>
      <c r="K46" s="52">
        <v>0</v>
      </c>
      <c r="L46" s="41">
        <v>0</v>
      </c>
      <c r="M46" s="69">
        <f t="shared" si="2"/>
        <v>8.7346024636058228E-2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608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1221</v>
      </c>
      <c r="G47" s="41">
        <f>MAX(CumulativeDead!47:47)</f>
        <v>16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1.3104013104013105E-2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609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707</v>
      </c>
      <c r="G48" s="41">
        <f>MAX(CumulativeDead!48:48)</f>
        <v>45</v>
      </c>
      <c r="J48" s="41">
        <v>109581078</v>
      </c>
      <c r="K48" s="52">
        <v>0</v>
      </c>
      <c r="L48" s="41">
        <v>0</v>
      </c>
      <c r="M48" s="69">
        <f t="shared" si="2"/>
        <v>6.3649222065063654E-2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608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252</v>
      </c>
      <c r="G49" s="41">
        <f>MAX(CumulativeDead!49:49)</f>
        <v>2</v>
      </c>
      <c r="J49" s="41">
        <v>23816775</v>
      </c>
      <c r="K49" s="52">
        <v>0</v>
      </c>
      <c r="L49" s="41">
        <v>0</v>
      </c>
      <c r="M49" s="69">
        <f t="shared" si="2"/>
        <v>7.9365079365079361E-3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608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153</v>
      </c>
      <c r="G50" s="41">
        <f>MAX(CumulativeDead!50:50)</f>
        <v>0</v>
      </c>
      <c r="J50" s="41">
        <v>97338579</v>
      </c>
      <c r="K50" s="52" t="s">
        <v>512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608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840</v>
      </c>
      <c r="G51" s="41">
        <f>MAX(CumulativeDead!51:51)</f>
        <v>3</v>
      </c>
      <c r="J51" s="41">
        <v>145934462</v>
      </c>
      <c r="K51" s="52">
        <v>0</v>
      </c>
      <c r="L51" s="41">
        <v>0</v>
      </c>
      <c r="M51" s="69">
        <f t="shared" si="2"/>
        <v>3.5714285714285713E-3</v>
      </c>
      <c r="N51" s="52" t="e">
        <f>VLOOKUP(C51,Deaths_since_10!H:I,2,FALSE)</f>
        <v>#N/A</v>
      </c>
      <c r="O51" s="56" t="e">
        <f ca="1">OFFSET(CumulativeDead!B51,-A51,MATCH(Country_Data!N51,CumulativeDead!C51:BU51,0))</f>
        <v>#N/A</v>
      </c>
      <c r="P51" s="52" t="e">
        <f t="shared" ca="1" si="3"/>
        <v>#N/A</v>
      </c>
      <c r="Q51" s="52" t="s">
        <v>608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1306</v>
      </c>
      <c r="G52" s="41">
        <f>MAX(CumulativeDead!52:52)</f>
        <v>4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3.0627871362940277E-3</v>
      </c>
      <c r="N52" s="52" t="e">
        <f>VLOOKUP(C52,Deaths_since_10!H:I,2,FALSE)</f>
        <v>#N/A</v>
      </c>
      <c r="O52" s="56" t="e">
        <f ca="1">OFFSET(CumulativeDead!B52,-A52,MATCH(Country_Data!N52,CumulativeDead!C52:BU52,0))</f>
        <v>#N/A</v>
      </c>
      <c r="P52" s="52" t="e">
        <f t="shared" ca="1" si="3"/>
        <v>#N/A</v>
      </c>
      <c r="Q52" s="52" t="s">
        <v>612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114</v>
      </c>
      <c r="G53" s="41">
        <f>MAX(CumulativeDead!53:53)</f>
        <v>0</v>
      </c>
      <c r="J53" s="41">
        <v>437479</v>
      </c>
      <c r="K53" s="52" t="s">
        <v>512</v>
      </c>
      <c r="L53" s="41" t="e">
        <v>#VALUE!</v>
      </c>
      <c r="M53" s="69">
        <f t="shared" si="2"/>
        <v>0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608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384</v>
      </c>
      <c r="G54" s="41">
        <f>MAX(CumulativeDead!54:54)</f>
        <v>4</v>
      </c>
      <c r="J54" s="41">
        <v>8737371</v>
      </c>
      <c r="K54" s="52" t="s">
        <v>512</v>
      </c>
      <c r="L54" s="41" t="e">
        <v>#VALUE!</v>
      </c>
      <c r="M54" s="69">
        <f t="shared" si="2"/>
        <v>1.0416666666666666E-2</v>
      </c>
      <c r="N54" s="52" t="e">
        <f>VLOOKUP(C54,Deaths_since_10!H:I,2,FALSE)</f>
        <v>#N/A</v>
      </c>
      <c r="O54" s="56" t="e">
        <f ca="1">OFFSET(CumulativeDead!B54,-A54,MATCH(Country_Data!N54,CumulativeDead!C54:BU54,0))</f>
        <v>#N/A</v>
      </c>
      <c r="P54" s="52" t="e">
        <f t="shared" ca="1" si="3"/>
        <v>#N/A</v>
      </c>
      <c r="Q54" s="52" t="s">
        <v>609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1453</v>
      </c>
      <c r="G55" s="41">
        <f>MAX(CumulativeDead!55:55)</f>
        <v>9</v>
      </c>
      <c r="J55" s="41">
        <v>625978</v>
      </c>
      <c r="K55" s="52">
        <v>24.8</v>
      </c>
      <c r="L55" s="41">
        <v>155.24254400000001</v>
      </c>
      <c r="M55" s="69">
        <f t="shared" si="2"/>
        <v>6.1940812112869928E-3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609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174</v>
      </c>
      <c r="G56" s="41">
        <f>MAX(CumulativeDead!56:56)</f>
        <v>6</v>
      </c>
      <c r="J56" s="41">
        <v>2877797</v>
      </c>
      <c r="K56" s="52" t="s">
        <v>512</v>
      </c>
      <c r="L56" s="41" t="e">
        <v>#VALUE!</v>
      </c>
      <c r="M56" s="69">
        <f t="shared" si="2"/>
        <v>3.4482758620689655E-2</v>
      </c>
      <c r="N56" s="52" t="e">
        <f>VLOOKUP(C56,Deaths_since_10!H:I,2,FALSE)</f>
        <v>#N/A</v>
      </c>
      <c r="O56" s="56" t="e">
        <f ca="1">OFFSET(CumulativeDead!B56,-A56,MATCH(Country_Data!N56,CumulativeDead!C56:BU56,0))</f>
        <v>#N/A</v>
      </c>
      <c r="P56" s="52" t="e">
        <f t="shared" ca="1" si="3"/>
        <v>#N/A</v>
      </c>
      <c r="Q56" s="52" t="s">
        <v>609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495</v>
      </c>
      <c r="G57" s="41">
        <f>MAX(CumulativeDead!57:57)</f>
        <v>3</v>
      </c>
      <c r="J57" s="41">
        <v>4105267</v>
      </c>
      <c r="K57" s="52">
        <v>14.7</v>
      </c>
      <c r="L57" s="41">
        <v>603.47424899999999</v>
      </c>
      <c r="M57" s="69">
        <f t="shared" si="2"/>
        <v>6.0606060606060606E-3</v>
      </c>
      <c r="N57" s="52" t="e">
        <f>VLOOKUP(C57,Deaths_since_10!H:I,2,FALSE)</f>
        <v>#N/A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609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226</v>
      </c>
      <c r="G58" s="41">
        <f>MAX(CumulativeDead!58:58)</f>
        <v>1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4.4247787610619468E-3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609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502</v>
      </c>
      <c r="G59" s="41">
        <f>MAX(CumulativeDead!59:59)</f>
        <v>9</v>
      </c>
      <c r="J59" s="41">
        <v>45195774</v>
      </c>
      <c r="K59" s="52" t="s">
        <v>512</v>
      </c>
      <c r="L59" s="41" t="e">
        <v>#VALUE!</v>
      </c>
      <c r="M59" s="69">
        <f t="shared" si="2"/>
        <v>1.7928286852589643E-2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612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1201</v>
      </c>
      <c r="G60" s="41">
        <f>MAX(CumulativeDead!60:60)</f>
        <v>9</v>
      </c>
      <c r="J60" s="41">
        <v>220892340</v>
      </c>
      <c r="K60" s="52">
        <v>0</v>
      </c>
      <c r="L60" s="41">
        <v>0</v>
      </c>
      <c r="M60" s="69">
        <f t="shared" si="2"/>
        <v>7.4937552039966698E-3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608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580</v>
      </c>
      <c r="G61" s="41">
        <f>MAX(CumulativeDead!61:61)</f>
        <v>9</v>
      </c>
      <c r="J61" s="41">
        <v>32971854</v>
      </c>
      <c r="K61" s="52">
        <v>0</v>
      </c>
      <c r="L61" s="41">
        <v>0</v>
      </c>
      <c r="M61" s="69">
        <f t="shared" si="2"/>
        <v>1.5517241379310345E-2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612</v>
      </c>
    </row>
    <row r="62" spans="1:17" x14ac:dyDescent="0.3">
      <c r="A62" s="52">
        <v>61</v>
      </c>
      <c r="B62" s="55" t="s">
        <v>91</v>
      </c>
      <c r="C62" s="55" t="s">
        <v>91</v>
      </c>
      <c r="D62" s="52" t="e">
        <f>VLOOKUP(C62,Days_Since_100!H:I,2,FALSE)</f>
        <v>#N/A</v>
      </c>
      <c r="E62" s="56" t="e">
        <f ca="1">OFFSET(CumulativeConfirmed!A62,-A62,MATCH(Country_Data!D62,CumulativeConfirmed!B62:BU62,0))</f>
        <v>#N/A</v>
      </c>
      <c r="F62" s="41">
        <f>MAX(CumulativeConfirmed!62:62)</f>
        <v>86</v>
      </c>
      <c r="G62" s="41">
        <f>MAX(CumulativeDead!62:62)</f>
        <v>0</v>
      </c>
      <c r="J62" s="41">
        <v>9449323</v>
      </c>
      <c r="K62" s="52" t="s">
        <v>512</v>
      </c>
      <c r="L62" s="41" t="e">
        <v>#VALUE!</v>
      </c>
      <c r="M62" s="69">
        <f t="shared" si="2"/>
        <v>0</v>
      </c>
      <c r="N62" s="52" t="e">
        <f>VLOOKUP(C62,Deaths_since_10!H:I,2,FALSE)</f>
        <v>#N/A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609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558</v>
      </c>
      <c r="G63" s="41">
        <f>MAX(CumulativeDead!63:63)</f>
        <v>8</v>
      </c>
      <c r="J63" s="41">
        <v>4314767</v>
      </c>
      <c r="K63" s="52" t="s">
        <v>512</v>
      </c>
      <c r="L63" s="41" t="e">
        <v>#VALUE!</v>
      </c>
      <c r="M63" s="69">
        <f t="shared" si="2"/>
        <v>1.4336917562724014E-2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611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367</v>
      </c>
      <c r="G64" s="41">
        <f>MAX(CumulativeDead!64:64)</f>
        <v>25</v>
      </c>
      <c r="J64" s="41">
        <v>43851044</v>
      </c>
      <c r="K64" s="52" t="s">
        <v>512</v>
      </c>
      <c r="L64" s="41" t="e">
        <v>#VALUE!</v>
      </c>
      <c r="M64" s="69">
        <f t="shared" si="2"/>
        <v>6.8119891008174394E-2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613</v>
      </c>
    </row>
    <row r="65" spans="1:17" x14ac:dyDescent="0.3">
      <c r="A65" s="52">
        <v>64</v>
      </c>
      <c r="B65" s="55" t="s">
        <v>82</v>
      </c>
      <c r="C65" s="55" t="s">
        <v>82</v>
      </c>
      <c r="D65" s="52" t="e">
        <f>VLOOKUP(C65,Days_Since_100!H:I,2,FALSE)</f>
        <v>#N/A</v>
      </c>
      <c r="E65" s="56" t="e">
        <f ca="1">OFFSET(CumulativeConfirmed!A65,-A65,MATCH(Country_Data!D65,CumulativeConfirmed!B65:BU65,0))</f>
        <v>#N/A</v>
      </c>
      <c r="F65" s="41">
        <f>MAX(CumulativeConfirmed!65:65)</f>
        <v>79</v>
      </c>
      <c r="G65" s="41">
        <f>MAX(CumulativeDead!65:65)</f>
        <v>0</v>
      </c>
      <c r="J65" s="41">
        <v>3989167</v>
      </c>
      <c r="K65" s="52" t="s">
        <v>512</v>
      </c>
      <c r="L65" s="41" t="e">
        <v>#VALUE!</v>
      </c>
      <c r="M65" s="69">
        <f t="shared" si="2"/>
        <v>0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609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927</v>
      </c>
      <c r="G66" s="41">
        <f>MAX(CumulativeDead!66:66)</f>
        <v>0</v>
      </c>
      <c r="J66" s="41">
        <v>59308690</v>
      </c>
      <c r="K66" s="52">
        <v>0</v>
      </c>
      <c r="L66" s="41">
        <v>0</v>
      </c>
      <c r="M66" s="69">
        <f t="shared" ref="M66:M97" si="4">G66/F66</f>
        <v>0</v>
      </c>
      <c r="N66" s="52" t="e">
        <f>VLOOKUP(C66,Deaths_since_10!H:I,2,FALSE)</f>
        <v>#N/A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613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264</v>
      </c>
      <c r="G67" s="41">
        <f>MAX(CumulativeDead!67:67)</f>
        <v>3</v>
      </c>
      <c r="J67" s="41">
        <v>6948445</v>
      </c>
      <c r="K67" s="52">
        <v>12.2</v>
      </c>
      <c r="L67" s="41">
        <v>847.71028999999987</v>
      </c>
      <c r="M67" s="69">
        <f t="shared" si="4"/>
        <v>1.1363636363636364E-2</v>
      </c>
      <c r="N67" s="52" t="e">
        <f>VLOOKUP(C67,Deaths_since_10!H:I,2,FALSE)</f>
        <v>#N/A</v>
      </c>
      <c r="O67" s="56" t="e">
        <f ca="1">OFFSET(CumulativeDead!B67,-A67,MATCH(Country_Data!N67,CumulativeDead!C67:BU67,0))</f>
        <v>#N/A</v>
      </c>
      <c r="P67" s="52" t="e">
        <f t="shared" ca="1" si="5"/>
        <v>#N/A</v>
      </c>
      <c r="Q67" s="52" t="s">
        <v>609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231</v>
      </c>
      <c r="G68" s="41">
        <f>MAX(CumulativeDead!68:68)</f>
        <v>2</v>
      </c>
      <c r="J68" s="41">
        <v>5094118</v>
      </c>
      <c r="K68" s="52" t="s">
        <v>512</v>
      </c>
      <c r="L68" s="41" t="e">
        <v>#VALUE!</v>
      </c>
      <c r="M68" s="69">
        <f t="shared" si="4"/>
        <v>8.658008658008658E-3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611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261</v>
      </c>
      <c r="G69" s="41">
        <f>MAX(CumulativeDead!69:69)</f>
        <v>10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3.8314176245210725E-2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609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109</v>
      </c>
      <c r="G70" s="41">
        <f>MAX(CumulativeDead!70:70)</f>
        <v>0</v>
      </c>
      <c r="J70" s="41">
        <v>5106626</v>
      </c>
      <c r="K70" s="52" t="s">
        <v>512</v>
      </c>
      <c r="L70" s="41" t="e">
        <v>#VALUE!</v>
      </c>
      <c r="M70" s="69">
        <f t="shared" si="4"/>
        <v>0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610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1403</v>
      </c>
      <c r="G71" s="41">
        <f>MAX(CumulativeDead!71:71)</f>
        <v>34</v>
      </c>
      <c r="J71" s="41">
        <v>17643054</v>
      </c>
      <c r="K71" s="52">
        <v>0</v>
      </c>
      <c r="L71" s="41">
        <v>0</v>
      </c>
      <c r="M71" s="69">
        <f t="shared" si="4"/>
        <v>2.4233784746970778E-2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612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244</v>
      </c>
      <c r="G72" s="41">
        <f>MAX(CumulativeDead!72:72)</f>
        <v>0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0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609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197</v>
      </c>
      <c r="G73" s="41">
        <f>MAX(CumulativeDead!73:73)</f>
        <v>6</v>
      </c>
      <c r="J73" s="41">
        <v>11818619</v>
      </c>
      <c r="K73" s="52" t="s">
        <v>512</v>
      </c>
      <c r="L73" s="41" t="e">
        <v>#VALUE!</v>
      </c>
      <c r="M73" s="69">
        <f t="shared" si="4"/>
        <v>3.0456852791878174E-2</v>
      </c>
      <c r="N73" s="52" t="e">
        <f>VLOOKUP(C73,Deaths_since_10!H:I,2,FALSE)</f>
        <v>#N/A</v>
      </c>
      <c r="O73" s="56" t="e">
        <f ca="1">OFFSET(CumulativeDead!B73,-A73,MATCH(Country_Data!N73,CumulativeDead!C73:BU73,0))</f>
        <v>#N/A</v>
      </c>
      <c r="P73" s="52" t="e">
        <f t="shared" ca="1" si="5"/>
        <v>#N/A</v>
      </c>
      <c r="Q73" s="52" t="s">
        <v>613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122</v>
      </c>
      <c r="G74" s="41">
        <f>MAX(CumulativeDead!74:74)</f>
        <v>3</v>
      </c>
      <c r="J74" s="41">
        <v>10139177</v>
      </c>
      <c r="K74" s="52" t="s">
        <v>512</v>
      </c>
      <c r="L74" s="41" t="e">
        <v>#VALUE!</v>
      </c>
      <c r="M74" s="69">
        <f t="shared" si="4"/>
        <v>2.4590163934426229E-2</v>
      </c>
      <c r="N74" s="52" t="e">
        <f>VLOOKUP(C74,Deaths_since_10!H:I,2,FALSE)</f>
        <v>#N/A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608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146</v>
      </c>
      <c r="G75" s="41">
        <f>MAX(CumulativeDead!75:75)</f>
        <v>3</v>
      </c>
      <c r="J75" s="41">
        <v>1207359</v>
      </c>
      <c r="K75" s="52">
        <v>11.4</v>
      </c>
      <c r="L75" s="41">
        <v>137.638926</v>
      </c>
      <c r="M75" s="69">
        <f t="shared" si="4"/>
        <v>2.0547945205479451E-2</v>
      </c>
      <c r="N75" s="52" t="e">
        <f>VLOOKUP(C75,Deaths_since_10!H:I,2,FALSE)</f>
        <v>#N/A</v>
      </c>
      <c r="O75" s="56" t="e">
        <f ca="1">OFFSET(CumulativeDead!B75,-A75,MATCH(Country_Data!N75,CumulativeDead!C75:BU75,0))</f>
        <v>#N/A</v>
      </c>
      <c r="P75" s="52" t="e">
        <f t="shared" ca="1" si="5"/>
        <v>#N/A</v>
      </c>
      <c r="Q75" s="52" t="s">
        <v>609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201</v>
      </c>
      <c r="G76" s="41">
        <f>MAX(CumulativeDead!76:76)</f>
        <v>3</v>
      </c>
      <c r="J76" s="41">
        <v>2083374</v>
      </c>
      <c r="K76" s="52" t="s">
        <v>512</v>
      </c>
      <c r="L76" s="41" t="e">
        <v>#VALUE!</v>
      </c>
      <c r="M76" s="69">
        <f t="shared" si="4"/>
        <v>1.4925373134328358E-2</v>
      </c>
      <c r="N76" s="52" t="e">
        <f>VLOOKUP(C76,Deaths_since_10!H:I,2,FALSE)</f>
        <v>#N/A</v>
      </c>
      <c r="O76" s="56" t="e">
        <f ca="1">OFFSET(CumulativeDead!B76,-A76,MATCH(Country_Data!N76,CumulativeDead!C76:BU76,0))</f>
        <v>#N/A</v>
      </c>
      <c r="P76" s="52" t="e">
        <f t="shared" ca="1" si="5"/>
        <v>#N/A</v>
      </c>
      <c r="Q76" s="52" t="s">
        <v>609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191</v>
      </c>
      <c r="G77" s="41">
        <f>MAX(CumulativeDead!77:77)</f>
        <v>3</v>
      </c>
      <c r="J77" s="41">
        <v>3280819</v>
      </c>
      <c r="K77" s="52" t="s">
        <v>512</v>
      </c>
      <c r="L77" s="41" t="e">
        <v>#VALUE!</v>
      </c>
      <c r="M77" s="69">
        <f t="shared" si="4"/>
        <v>1.5706806282722512E-2</v>
      </c>
      <c r="N77" s="52" t="e">
        <f>VLOOKUP(C77,Deaths_since_10!H:I,2,FALSE)</f>
        <v>#N/A</v>
      </c>
      <c r="O77" s="56" t="e">
        <f ca="1">OFFSET(CumulativeDead!B77,-A77,MATCH(Country_Data!N77,CumulativeDead!C77:BU77,0))</f>
        <v>#N/A</v>
      </c>
      <c r="P77" s="52" t="e">
        <f t="shared" ca="1" si="5"/>
        <v>#N/A</v>
      </c>
      <c r="Q77" s="52" t="s">
        <v>609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491</v>
      </c>
      <c r="G78" s="41">
        <f>MAX(CumulativeDead!78:78)</f>
        <v>6</v>
      </c>
      <c r="J78" s="41">
        <v>50882891</v>
      </c>
      <c r="K78" s="52" t="s">
        <v>512</v>
      </c>
      <c r="L78" s="41" t="e">
        <v>#VALUE!</v>
      </c>
      <c r="M78" s="69">
        <f t="shared" si="4"/>
        <v>1.2219959266802444E-2</v>
      </c>
      <c r="N78" s="52" t="e">
        <f>VLOOKUP(C78,Deaths_since_10!H:I,2,FALSE)</f>
        <v>#N/A</v>
      </c>
      <c r="O78" s="56" t="e">
        <f ca="1">OFFSET(CumulativeDead!B78,-A78,MATCH(Country_Data!N78,CumulativeDead!C78:BU78,0))</f>
        <v>#N/A</v>
      </c>
      <c r="P78" s="52" t="e">
        <f t="shared" ca="1" si="5"/>
        <v>#N/A</v>
      </c>
      <c r="Q78" s="52" t="s">
        <v>612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134</v>
      </c>
      <c r="G79" s="41">
        <f>MAX(CumulativeDead!79:79)</f>
        <v>0</v>
      </c>
      <c r="J79" s="41">
        <v>441543</v>
      </c>
      <c r="K79" s="52" t="s">
        <v>512</v>
      </c>
      <c r="L79" s="41" t="e">
        <v>#VALUE!</v>
      </c>
      <c r="M79" s="69">
        <f t="shared" si="4"/>
        <v>0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609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43909</v>
      </c>
      <c r="F80" s="41">
        <f>MAX(CumulativeConfirmed!80:80)</f>
        <v>475</v>
      </c>
      <c r="G80" s="41">
        <f>MAX(CumulativeDead!80:80)</f>
        <v>6</v>
      </c>
      <c r="J80" s="41">
        <v>128932753</v>
      </c>
      <c r="K80" s="52" t="s">
        <v>512</v>
      </c>
      <c r="L80" s="41" t="e">
        <v>#VALUE!</v>
      </c>
      <c r="M80" s="69">
        <f t="shared" si="4"/>
        <v>1.2631578947368421E-2</v>
      </c>
      <c r="N80" s="52" t="e">
        <f>VLOOKUP(C80,Deaths_since_10!H:I,2,FALSE)</f>
        <v>#N/A</v>
      </c>
      <c r="O80" s="56" t="e">
        <f ca="1">OFFSET(CumulativeDead!B80,-A80,MATCH(Country_Data!N80,CumulativeDead!C80:BU80,0))</f>
        <v>#N/A</v>
      </c>
      <c r="P80" s="52" t="e">
        <f t="shared" ca="1" si="5"/>
        <v>#N/A</v>
      </c>
      <c r="Q80" s="52" t="s">
        <v>611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105</v>
      </c>
      <c r="G81" s="41">
        <f>MAX(CumulativeDead!81:81)</f>
        <v>0</v>
      </c>
      <c r="J81" s="41">
        <v>16743927</v>
      </c>
      <c r="K81" s="52" t="s">
        <v>512</v>
      </c>
      <c r="L81" s="41" t="e">
        <v>#VALUE!</v>
      </c>
      <c r="M81" s="69">
        <f t="shared" si="4"/>
        <v>0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613</v>
      </c>
    </row>
    <row r="82" spans="1:17" x14ac:dyDescent="0.3">
      <c r="A82" s="52">
        <v>81</v>
      </c>
      <c r="B82" s="55" t="s">
        <v>200</v>
      </c>
      <c r="C82" s="55" t="s">
        <v>200</v>
      </c>
      <c r="D82" s="52" t="e">
        <f>VLOOKUP(C82,Days_Since_100!H:I,2,FALSE)</f>
        <v>#N/A</v>
      </c>
      <c r="E82" s="56" t="e">
        <f ca="1">OFFSET(CumulativeConfirmed!A82,-A82,MATCH(Country_Data!D82,CumulativeConfirmed!B82:BU82,0))</f>
        <v>#N/A</v>
      </c>
      <c r="F82" s="41">
        <f>MAX(CumulativeConfirmed!82:82)</f>
        <v>13</v>
      </c>
      <c r="G82" s="41">
        <f>MAX(CumulativeDead!82:82)</f>
        <v>0</v>
      </c>
      <c r="J82" s="41">
        <v>540544</v>
      </c>
      <c r="K82" s="52" t="s">
        <v>512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608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290</v>
      </c>
      <c r="G83" s="41">
        <f>MAX(CumulativeDead!83:83)</f>
        <v>1</v>
      </c>
      <c r="J83" s="41">
        <v>2963243</v>
      </c>
      <c r="K83" s="52" t="s">
        <v>512</v>
      </c>
      <c r="L83" s="41" t="e">
        <v>#VALUE!</v>
      </c>
      <c r="M83" s="69">
        <f t="shared" si="4"/>
        <v>3.4482758620689655E-3</v>
      </c>
      <c r="N83" s="52" t="e">
        <f>VLOOKUP(C83,Deaths_since_10!H:I,2,FALSE)</f>
        <v>#N/A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609</v>
      </c>
    </row>
    <row r="84" spans="1:17" x14ac:dyDescent="0.3">
      <c r="A84" s="52">
        <v>83</v>
      </c>
      <c r="B84" s="55" t="s">
        <v>353</v>
      </c>
      <c r="C84" s="55" t="s">
        <v>353</v>
      </c>
      <c r="D84" s="52" t="e">
        <f>VLOOKUP(C84,Days_Since_100!H:I,2,FALSE)</f>
        <v>#N/A</v>
      </c>
      <c r="E84" s="56" t="e">
        <f ca="1">OFFSET(CumulativeConfirmed!A84,-A84,MATCH(Country_Data!D84,CumulativeConfirmed!B84:BU84,0))</f>
        <v>#N/A</v>
      </c>
      <c r="F84" s="41">
        <f>MAX(CumulativeConfirmed!84:84)</f>
        <v>26</v>
      </c>
      <c r="G84" s="41">
        <f>MAX(CumulativeDead!84:84)</f>
        <v>1</v>
      </c>
      <c r="J84" s="41">
        <v>2961167</v>
      </c>
      <c r="K84" s="52" t="s">
        <v>512</v>
      </c>
      <c r="L84" s="41" t="e">
        <v>#VALUE!</v>
      </c>
      <c r="M84" s="69">
        <f t="shared" si="4"/>
        <v>3.8461538461538464E-2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611</v>
      </c>
    </row>
    <row r="85" spans="1:17" x14ac:dyDescent="0.3">
      <c r="A85" s="52">
        <v>84</v>
      </c>
      <c r="B85" s="55" t="s">
        <v>72</v>
      </c>
      <c r="C85" s="55" t="s">
        <v>72</v>
      </c>
      <c r="D85" s="52" t="e">
        <f>VLOOKUP(C85,Days_Since_100!H:I,2,FALSE)</f>
        <v>#N/A</v>
      </c>
      <c r="E85" s="56" t="e">
        <f ca="1">OFFSET(CumulativeConfirmed!A85,-A85,MATCH(Country_Data!D85,CumulativeConfirmed!B85:BU85,0))</f>
        <v>#N/A</v>
      </c>
      <c r="F85" s="41">
        <f>MAX(CumulativeConfirmed!85:85)</f>
        <v>94</v>
      </c>
      <c r="G85" s="41">
        <f>MAX(CumulativeDead!85:85)</f>
        <v>4</v>
      </c>
      <c r="J85" s="41">
        <v>38928346</v>
      </c>
      <c r="K85" s="52" t="s">
        <v>512</v>
      </c>
      <c r="L85" s="41" t="e">
        <v>#VALUE!</v>
      </c>
      <c r="M85" s="69">
        <f t="shared" si="4"/>
        <v>4.2553191489361701E-2</v>
      </c>
      <c r="N85" s="52" t="e">
        <f>VLOOKUP(C85,Deaths_since_10!H:I,2,FALSE)</f>
        <v>#N/A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610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275</v>
      </c>
      <c r="G86" s="41">
        <f>MAX(CumulativeDead!86:86)</f>
        <v>11</v>
      </c>
      <c r="J86" s="41">
        <v>36910560</v>
      </c>
      <c r="K86" s="52" t="s">
        <v>512</v>
      </c>
      <c r="L86" s="41" t="e">
        <v>#VALUE!</v>
      </c>
      <c r="M86" s="69">
        <f t="shared" si="4"/>
        <v>0.04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613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299</v>
      </c>
      <c r="G87" s="41">
        <f>MAX(CumulativeDead!87:87)</f>
        <v>4</v>
      </c>
      <c r="J87" s="41">
        <v>2722289</v>
      </c>
      <c r="K87" s="52">
        <v>15.5</v>
      </c>
      <c r="L87" s="41">
        <v>421.95479499999999</v>
      </c>
      <c r="M87" s="69">
        <f t="shared" si="4"/>
        <v>1.3377926421404682E-2</v>
      </c>
      <c r="N87" s="52" t="e">
        <f>VLOOKUP(C87,Deaths_since_10!H:I,2,FALSE)</f>
        <v>#N/A</v>
      </c>
      <c r="O87" s="56" t="e">
        <f ca="1">OFFSET(CumulativeDead!B87,-A87,MATCH(Country_Data!N87,CumulativeDead!C87:BU87,0))</f>
        <v>#N/A</v>
      </c>
      <c r="P87" s="52" t="e">
        <f t="shared" ca="1" si="5"/>
        <v>#N/A</v>
      </c>
      <c r="Q87" s="52" t="s">
        <v>609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177</v>
      </c>
      <c r="G88" s="41">
        <f>MAX(CumulativeDead!88:88)</f>
        <v>1</v>
      </c>
      <c r="J88" s="41">
        <v>4033963</v>
      </c>
      <c r="K88" s="52" t="s">
        <v>512</v>
      </c>
      <c r="L88" s="41" t="e">
        <v>#VALUE!</v>
      </c>
      <c r="M88" s="69">
        <f t="shared" si="4"/>
        <v>5.6497175141242938E-3</v>
      </c>
      <c r="N88" s="52" t="e">
        <f>VLOOKUP(C88,Deaths_since_10!H:I,2,FALSE)</f>
        <v>#N/A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609</v>
      </c>
    </row>
    <row r="89" spans="1:17" x14ac:dyDescent="0.3">
      <c r="A89" s="52">
        <v>88</v>
      </c>
      <c r="B89" s="55" t="s">
        <v>206</v>
      </c>
      <c r="C89" s="55" t="s">
        <v>206</v>
      </c>
      <c r="D89" s="52" t="e">
        <f>VLOOKUP(C89,Days_Since_100!H:I,2,FALSE)</f>
        <v>#N/A</v>
      </c>
      <c r="E89" s="56" t="e">
        <f ca="1">OFFSET(CumulativeConfirmed!A89,-A89,MATCH(Country_Data!D89,CumulativeConfirmed!B89:BU89,0))</f>
        <v>#N/A</v>
      </c>
      <c r="F89" s="41">
        <f>MAX(CumulativeConfirmed!89:89)</f>
        <v>41</v>
      </c>
      <c r="G89" s="41">
        <f>MAX(CumulativeDead!89:89)</f>
        <v>3</v>
      </c>
      <c r="J89" s="41">
        <v>7132538</v>
      </c>
      <c r="K89" s="52" t="s">
        <v>512</v>
      </c>
      <c r="L89" s="41" t="e">
        <v>#VALUE!</v>
      </c>
      <c r="M89" s="69">
        <f t="shared" si="4"/>
        <v>7.3170731707317069E-2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612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106</v>
      </c>
      <c r="G90" s="41">
        <f>MAX(CumulativeDead!90:90)</f>
        <v>0</v>
      </c>
      <c r="J90" s="41">
        <v>21413249</v>
      </c>
      <c r="K90" s="52" t="s">
        <v>512</v>
      </c>
      <c r="L90" s="41" t="e">
        <v>#VALUE!</v>
      </c>
      <c r="M90" s="69">
        <f t="shared" si="4"/>
        <v>0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608</v>
      </c>
    </row>
    <row r="91" spans="1:17" x14ac:dyDescent="0.3">
      <c r="A91" s="52">
        <v>90</v>
      </c>
      <c r="B91" s="55" t="s">
        <v>51</v>
      </c>
      <c r="C91" s="55" t="s">
        <v>51</v>
      </c>
      <c r="D91" s="52" t="e">
        <f>VLOOKUP(C91,Days_Since_100!H:I,2,FALSE)</f>
        <v>#N/A</v>
      </c>
      <c r="E91" s="56" t="e">
        <f ca="1">OFFSET(CumulativeConfirmed!A91,-A91,MATCH(Country_Data!D91,CumulativeConfirmed!B91:BU91,0))</f>
        <v>#N/A</v>
      </c>
      <c r="F91" s="41">
        <f>MAX(CumulativeConfirmed!91:91)</f>
        <v>96</v>
      </c>
      <c r="G91" s="41">
        <f>MAX(CumulativeDead!91:91)</f>
        <v>0</v>
      </c>
      <c r="J91" s="41">
        <v>16718965</v>
      </c>
      <c r="K91" s="52" t="s">
        <v>512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612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488</v>
      </c>
      <c r="G92" s="41">
        <f>MAX(CumulativeDead!92:92)</f>
        <v>10</v>
      </c>
      <c r="J92" s="41">
        <v>10847910</v>
      </c>
      <c r="K92" s="52" t="s">
        <v>512</v>
      </c>
      <c r="L92" s="41" t="e">
        <v>#VALUE!</v>
      </c>
      <c r="M92" s="69">
        <f t="shared" si="4"/>
        <v>2.0491803278688523E-2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612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512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613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283</v>
      </c>
      <c r="G94" s="41">
        <f>MAX(CumulativeDead!94:94)</f>
        <v>0</v>
      </c>
      <c r="J94" s="41">
        <v>4822233</v>
      </c>
      <c r="K94" s="52" t="s">
        <v>512</v>
      </c>
      <c r="L94" s="41" t="e">
        <v>#VALUE!</v>
      </c>
      <c r="M94" s="69">
        <f t="shared" si="4"/>
        <v>0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614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512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613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3629</v>
      </c>
      <c r="G96" s="41">
        <f>MAX(CumulativeDead!96:96)</f>
        <v>75</v>
      </c>
      <c r="J96" s="41">
        <v>84339067</v>
      </c>
      <c r="K96" s="52" t="s">
        <v>512</v>
      </c>
      <c r="L96" s="41" t="e">
        <v>#VALUE!</v>
      </c>
      <c r="M96" s="69">
        <f t="shared" si="4"/>
        <v>2.0666850372003307E-2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609</v>
      </c>
    </row>
    <row r="97" spans="1:17" x14ac:dyDescent="0.3">
      <c r="A97" s="52">
        <v>96</v>
      </c>
      <c r="B97" s="55" t="s">
        <v>410</v>
      </c>
      <c r="C97" s="55" t="s">
        <v>410</v>
      </c>
      <c r="D97" s="52" t="e">
        <f>VLOOKUP(C97,Days_Since_100!H:I,2,FALSE)</f>
        <v>#N/A</v>
      </c>
      <c r="E97" s="56" t="e">
        <f ca="1">OFFSET(CumulativeConfirmed!A97,-A97,MATCH(Country_Data!D97,CumulativeConfirmed!B97:BU97,0))</f>
        <v>#N/A</v>
      </c>
      <c r="F97" s="41">
        <f>MAX(CumulativeConfirmed!97:97)</f>
        <v>67</v>
      </c>
      <c r="G97" s="41">
        <f>MAX(CumulativeDead!97:97)</f>
        <v>2</v>
      </c>
      <c r="J97" s="41">
        <v>11326616</v>
      </c>
      <c r="K97" s="52" t="s">
        <v>512</v>
      </c>
      <c r="L97" s="41" t="e">
        <v>#VALUE!</v>
      </c>
      <c r="M97" s="69">
        <f t="shared" si="4"/>
        <v>2.9850746268656716E-2</v>
      </c>
      <c r="N97" s="52" t="e">
        <f>VLOOKUP(C97,Deaths_since_10!H:I,2,FALSE)</f>
        <v>#N/A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611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111</v>
      </c>
      <c r="G98" s="41">
        <f>MAX(CumulativeDead!98:98)</f>
        <v>3</v>
      </c>
      <c r="J98" s="41">
        <v>18776707</v>
      </c>
      <c r="K98" s="52" t="s">
        <v>512</v>
      </c>
      <c r="L98" s="41" t="e">
        <v>#VALUE!</v>
      </c>
      <c r="M98" s="69">
        <f t="shared" ref="M98:M127" si="6">G98/F98</f>
        <v>2.7027027027027029E-2</v>
      </c>
      <c r="N98" s="52" t="e">
        <f>VLOOKUP(C98,Deaths_since_10!H:I,2,FALSE)</f>
        <v>#N/A</v>
      </c>
      <c r="O98" s="56" t="e">
        <f ca="1">OFFSET(CumulativeDead!B98,-A98,MATCH(Country_Data!N98,CumulativeDead!C98:BU98,0))</f>
        <v>#N/A</v>
      </c>
      <c r="P98" s="52" t="e">
        <f t="shared" ref="P98:P127" ca="1" si="7">O98-E98</f>
        <v>#N/A</v>
      </c>
      <c r="Q98" s="52" t="s">
        <v>608</v>
      </c>
    </row>
    <row r="99" spans="1:17" x14ac:dyDescent="0.3">
      <c r="A99" s="52">
        <v>98</v>
      </c>
      <c r="B99" s="55" t="s">
        <v>202</v>
      </c>
      <c r="C99" s="55" t="s">
        <v>202</v>
      </c>
      <c r="D99" s="52" t="e">
        <f>VLOOKUP(C99,Days_Since_100!H:I,2,FALSE)</f>
        <v>#N/A</v>
      </c>
      <c r="E99" s="56" t="e">
        <f ca="1">OFFSET(CumulativeConfirmed!A99,-A99,MATCH(Country_Data!D99,CumulativeConfirmed!B99:BU99,0))</f>
        <v>#N/A</v>
      </c>
      <c r="F99" s="41">
        <f>MAX(CumulativeConfirmed!99:99)</f>
        <v>44</v>
      </c>
      <c r="G99" s="41">
        <f>MAX(CumulativeDead!99:99)</f>
        <v>5</v>
      </c>
      <c r="J99" s="41">
        <v>164689383</v>
      </c>
      <c r="K99" s="52" t="s">
        <v>512</v>
      </c>
      <c r="L99" s="41" t="e">
        <v>#VALUE!</v>
      </c>
      <c r="M99" s="69">
        <f t="shared" si="6"/>
        <v>0.11363636363636363</v>
      </c>
      <c r="N99" s="52" t="e">
        <f>VLOOKUP(C99,Deaths_since_10!H:I,2,FALSE)</f>
        <v>#N/A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608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 t="e">
        <f>VLOOKUP(C100,Days_Since_100!H:I,2,FALSE)</f>
        <v>#N/A</v>
      </c>
      <c r="E100" s="56" t="e">
        <f ca="1">OFFSET(CumulativeConfirmed!A100,-A100,MATCH(Country_Data!D100,CumulativeConfirmed!B100:BU100,0))</f>
        <v>#N/A</v>
      </c>
      <c r="F100" s="41">
        <f>MAX(CumulativeConfirmed!100:100)</f>
        <v>43</v>
      </c>
      <c r="G100" s="41">
        <f>MAX(CumulativeDead!100:100)</f>
        <v>0</v>
      </c>
      <c r="J100" s="41">
        <v>11673021</v>
      </c>
      <c r="K100" s="52" t="s">
        <v>512</v>
      </c>
      <c r="L100" s="41" t="e">
        <v>#VALUE!</v>
      </c>
      <c r="M100" s="69">
        <f t="shared" si="6"/>
        <v>0</v>
      </c>
      <c r="N100" s="52" t="e">
        <f>VLOOKUP(C100,Deaths_since_10!H:I,2,FALSE)</f>
        <v>#N/A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612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512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613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196</v>
      </c>
      <c r="G102" s="41">
        <f>MAX(CumulativeDead!102:102)</f>
        <v>5</v>
      </c>
      <c r="J102" s="41">
        <v>43733762</v>
      </c>
      <c r="K102" s="52" t="s">
        <v>512</v>
      </c>
      <c r="L102" s="41" t="e">
        <v>#VALUE!</v>
      </c>
      <c r="M102" s="69">
        <f t="shared" si="6"/>
        <v>2.5510204081632654E-2</v>
      </c>
      <c r="N102" s="52" t="e">
        <f>VLOOKUP(C102,Deaths_since_10!H:I,2,FALSE)</f>
        <v>#N/A</v>
      </c>
      <c r="O102" s="56" t="e">
        <f ca="1">OFFSET(CumulativeDead!B102,-A102,MATCH(Country_Data!N102,CumulativeDead!C102:BU102,0))</f>
        <v>#N/A</v>
      </c>
      <c r="P102" s="52" t="e">
        <f t="shared" ca="1" si="7"/>
        <v>#N/A</v>
      </c>
      <c r="Q102" s="52" t="s">
        <v>609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512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613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152</v>
      </c>
      <c r="G104" s="41">
        <f>MAX(CumulativeDead!104:104)</f>
        <v>7</v>
      </c>
      <c r="J104" s="41">
        <v>20903273</v>
      </c>
      <c r="K104" s="52" t="s">
        <v>512</v>
      </c>
      <c r="L104" s="41" t="e">
        <v>#VALUE!</v>
      </c>
      <c r="M104" s="69">
        <f t="shared" si="6"/>
        <v>4.6052631578947366E-2</v>
      </c>
      <c r="N104" s="52" t="e">
        <f>VLOOKUP(C104,Deaths_since_10!H:I,2,FALSE)</f>
        <v>#N/A</v>
      </c>
      <c r="O104" s="56" t="e">
        <f ca="1">OFFSET(CumulativeDead!B104,-A104,MATCH(Country_Data!N104,CumulativeDead!C104:BU104,0))</f>
        <v>#N/A</v>
      </c>
      <c r="P104" s="52" t="e">
        <f t="shared" ca="1" si="7"/>
        <v>#N/A</v>
      </c>
      <c r="Q104" s="52" t="s">
        <v>613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 t="e">
        <f>VLOOKUP(C105,Days_Since_100!H:I,2,FALSE)</f>
        <v>#N/A</v>
      </c>
      <c r="E105" s="56" t="e">
        <f ca="1">OFFSET(CumulativeConfirmed!A105,-A105,MATCH(Country_Data!D105,CumulativeConfirmed!B105:BU105,0))</f>
        <v>#N/A</v>
      </c>
      <c r="F105" s="41">
        <f>MAX(CumulativeConfirmed!105:105)</f>
        <v>75</v>
      </c>
      <c r="G105" s="41">
        <f>MAX(CumulativeDead!105:105)</f>
        <v>1</v>
      </c>
      <c r="J105" s="41">
        <v>26545863</v>
      </c>
      <c r="K105" s="52" t="s">
        <v>512</v>
      </c>
      <c r="L105" s="41" t="e">
        <v>#VALUE!</v>
      </c>
      <c r="M105" s="69">
        <f t="shared" si="6"/>
        <v>1.3333333333333334E-2</v>
      </c>
      <c r="N105" s="52" t="e">
        <f>VLOOKUP(C105,Deaths_since_10!H:I,2,FALSE)</f>
        <v>#N/A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613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 t="e">
        <f>VLOOKUP(C106,Days_Since_100!H:I,2,FALSE)</f>
        <v>#N/A</v>
      </c>
      <c r="E106" s="56" t="e">
        <f ca="1">OFFSET(CumulativeConfirmed!A106,-A106,MATCH(Country_Data!D106,CumulativeConfirmed!B106:BU106,0))</f>
        <v>#N/A</v>
      </c>
      <c r="F106" s="41">
        <f>MAX(CumulativeConfirmed!106:106)</f>
        <v>51</v>
      </c>
      <c r="G106" s="41">
        <f>MAX(CumulativeDead!106:106)</f>
        <v>3</v>
      </c>
      <c r="K106" s="52" t="s">
        <v>512</v>
      </c>
      <c r="L106" s="41" t="e">
        <v>#N/A</v>
      </c>
      <c r="M106" s="69">
        <f t="shared" si="6"/>
        <v>5.8823529411764705E-2</v>
      </c>
      <c r="N106" s="52" t="e">
        <f>VLOOKUP(C106,Deaths_since_10!H:I,2,FALSE)</f>
        <v>#N/A</v>
      </c>
      <c r="O106" s="56" t="e">
        <f ca="1">OFFSET(CumulativeDead!B106,-A106,MATCH(Country_Data!N106,CumulativeDead!C106:BU106,0))</f>
        <v>#N/A</v>
      </c>
      <c r="P106" s="52" t="e">
        <f t="shared" ca="1" si="7"/>
        <v>#N/A</v>
      </c>
      <c r="Q106" s="52" t="s">
        <v>613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 t="e">
        <f>VLOOKUP(C107,Days_Since_100!H:I,2,FALSE)</f>
        <v>#N/A</v>
      </c>
      <c r="E107" s="56" t="e">
        <f ca="1">OFFSET(CumulativeConfirmed!A107,-A107,MATCH(Country_Data!D107,CumulativeConfirmed!B107:BU107,0))</f>
        <v>#N/A</v>
      </c>
      <c r="F107" s="41">
        <f>MAX(CumulativeConfirmed!107:107)</f>
        <v>52</v>
      </c>
      <c r="G107" s="41">
        <f>MAX(CumulativeDead!107:107)</f>
        <v>1</v>
      </c>
      <c r="J107" s="41">
        <v>9904607</v>
      </c>
      <c r="K107" s="52" t="s">
        <v>512</v>
      </c>
      <c r="L107" s="41" t="e">
        <v>#VALUE!</v>
      </c>
      <c r="M107" s="69">
        <f t="shared" si="6"/>
        <v>1.9230769230769232E-2</v>
      </c>
      <c r="N107" s="52" t="e">
        <f>VLOOKUP(C107,Deaths_since_10!H:I,2,FALSE)</f>
        <v>#N/A</v>
      </c>
      <c r="O107" s="56" t="e">
        <f ca="1">OFFSET(CumulativeDead!B107,-A107,MATCH(Country_Data!N107,CumulativeDead!C107:BU107,0))</f>
        <v>#N/A</v>
      </c>
      <c r="P107" s="52" t="e">
        <f t="shared" ca="1" si="7"/>
        <v>#N/A</v>
      </c>
      <c r="Q107" s="52" t="s">
        <v>612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33</v>
      </c>
      <c r="G108" s="41">
        <f>MAX(CumulativeDead!108:108)</f>
        <v>0</v>
      </c>
      <c r="J108" s="41">
        <v>39242</v>
      </c>
      <c r="K108" s="52" t="s">
        <v>512</v>
      </c>
      <c r="L108" s="41" t="e">
        <v>#VALUE!</v>
      </c>
      <c r="M108" s="69">
        <f t="shared" si="6"/>
        <v>0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609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 t="e">
        <f>VLOOKUP(C109,Days_Since_100!H:I,2,FALSE)</f>
        <v>#N/A</v>
      </c>
      <c r="E109" s="56" t="e">
        <f ca="1">OFFSET(CumulativeConfirmed!A109,-A109,MATCH(Country_Data!D109,CumulativeConfirmed!B109:BU109,0))</f>
        <v>#N/A</v>
      </c>
      <c r="F109" s="41">
        <f>MAX(CumulativeConfirmed!109:109)</f>
        <v>65</v>
      </c>
      <c r="G109" s="41">
        <f>MAX(CumulativeDead!109:109)</f>
        <v>1</v>
      </c>
      <c r="J109" s="41">
        <v>206139589</v>
      </c>
      <c r="K109" s="52" t="s">
        <v>512</v>
      </c>
      <c r="L109" s="41" t="e">
        <v>#VALUE!</v>
      </c>
      <c r="M109" s="69">
        <f t="shared" si="6"/>
        <v>1.5384615384615385E-2</v>
      </c>
      <c r="N109" s="52" t="e">
        <f>VLOOKUP(C109,Deaths_since_10!H:I,2,FALSE)</f>
        <v>#N/A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613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224</v>
      </c>
      <c r="G110" s="41">
        <f>MAX(CumulativeDead!110:110)</f>
        <v>3</v>
      </c>
      <c r="J110" s="41">
        <v>77265</v>
      </c>
      <c r="K110" s="52" t="s">
        <v>512</v>
      </c>
      <c r="L110" s="41" t="e">
        <v>#VALUE!</v>
      </c>
      <c r="M110" s="69">
        <f t="shared" si="6"/>
        <v>1.3392857142857142E-2</v>
      </c>
      <c r="N110" s="52" t="e">
        <f>VLOOKUP(C110,Deaths_since_10!H:I,2,FALSE)</f>
        <v>#N/A</v>
      </c>
      <c r="O110" s="56" t="e">
        <f ca="1">OFFSET(CumulativeDead!B110,-A110,MATCH(Country_Data!N110,CumulativeDead!C110:BU110,0))</f>
        <v>#N/A</v>
      </c>
      <c r="P110" s="52" t="e">
        <f t="shared" ca="1" si="7"/>
        <v>#N/A</v>
      </c>
      <c r="Q110" s="52" t="s">
        <v>609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7</v>
      </c>
      <c r="G111" s="41">
        <f>MAX(CumulativeDead!111:111)</f>
        <v>0</v>
      </c>
      <c r="J111" s="41">
        <v>97929</v>
      </c>
      <c r="K111" s="52" t="s">
        <v>512</v>
      </c>
      <c r="L111" s="41" t="e">
        <v>#VALUE!</v>
      </c>
      <c r="M111" s="69">
        <f t="shared" si="6"/>
        <v>0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611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2</v>
      </c>
      <c r="G112" s="41">
        <f>MAX(CumulativeDead!112:112)</f>
        <v>0</v>
      </c>
      <c r="J112" s="41">
        <v>771608</v>
      </c>
      <c r="K112" s="52" t="s">
        <v>512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608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512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611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 t="e">
        <f>VLOOKUP(C114,Days_Since_100!H:I,2,FALSE)</f>
        <v>#N/A</v>
      </c>
      <c r="E114" s="56" t="e">
        <f ca="1">OFFSET(CumulativeConfirmed!A114,-A114,MATCH(Country_Data!D114,CumulativeConfirmed!B114:BU114,0))</f>
        <v>#N/A</v>
      </c>
      <c r="F114" s="41">
        <f>MAX(CumulativeConfirmed!114:114)</f>
        <v>96</v>
      </c>
      <c r="G114" s="41">
        <f>MAX(CumulativeDead!114:114)</f>
        <v>0</v>
      </c>
      <c r="K114" s="52" t="s">
        <v>512</v>
      </c>
      <c r="L114" s="41" t="e">
        <v>#N/A</v>
      </c>
      <c r="M114" s="69">
        <f t="shared" si="6"/>
        <v>0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613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 t="e">
        <f>VLOOKUP(C115,Days_Since_100!H:I,2,FALSE)</f>
        <v>#N/A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12</v>
      </c>
      <c r="G115" s="41">
        <f>MAX(CumulativeDead!115:115)</f>
        <v>0</v>
      </c>
      <c r="J115" s="41">
        <v>114963588</v>
      </c>
      <c r="K115" s="52" t="s">
        <v>512</v>
      </c>
      <c r="L115" s="41" t="e">
        <v>#VALUE!</v>
      </c>
      <c r="M115" s="69">
        <f t="shared" si="6"/>
        <v>0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613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512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612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 t="e">
        <f>VLOOKUP(C117,Days_Since_100!H:I,2,FALSE)</f>
        <v>#N/A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4</v>
      </c>
      <c r="G117" s="41">
        <f>MAX(CumulativeDead!117:117)</f>
        <v>0</v>
      </c>
      <c r="J117" s="41">
        <v>13132795</v>
      </c>
      <c r="K117" s="52" t="s">
        <v>512</v>
      </c>
      <c r="L117" s="41" t="e">
        <v>#VALUE!</v>
      </c>
      <c r="M117" s="69">
        <f t="shared" si="6"/>
        <v>0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613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20</v>
      </c>
      <c r="G118" s="41">
        <f>MAX(CumulativeDead!118:118)</f>
        <v>1</v>
      </c>
      <c r="J118" s="41">
        <v>786552</v>
      </c>
      <c r="K118" s="52" t="s">
        <v>512</v>
      </c>
      <c r="L118" s="41" t="e">
        <v>#VALUE!</v>
      </c>
      <c r="M118" s="69">
        <f t="shared" si="6"/>
        <v>0.05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612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4</v>
      </c>
      <c r="G119" s="41">
        <f>MAX(CumulativeDead!119:119)</f>
        <v>0</v>
      </c>
      <c r="J119" s="41">
        <v>801</v>
      </c>
      <c r="K119" s="52" t="s">
        <v>512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609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212</v>
      </c>
      <c r="G120" s="41">
        <f>MAX(CumulativeDead!120:120)</f>
        <v>0</v>
      </c>
      <c r="J120" s="41">
        <v>10203134</v>
      </c>
      <c r="K120" s="52" t="s">
        <v>512</v>
      </c>
      <c r="L120" s="41" t="e">
        <v>#VALUE!</v>
      </c>
      <c r="M120" s="69">
        <f t="shared" si="6"/>
        <v>0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610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 t="e">
        <f>VLOOKUP(C121,Days_Since_100!H:I,2,FALSE)</f>
        <v>#N/A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31</v>
      </c>
      <c r="G121" s="41">
        <f>MAX(CumulativeDead!121:121)</f>
        <v>1</v>
      </c>
      <c r="J121" s="41">
        <v>53771296</v>
      </c>
      <c r="K121" s="52" t="s">
        <v>512</v>
      </c>
      <c r="L121" s="41" t="e">
        <v>#VALUE!</v>
      </c>
      <c r="M121" s="69">
        <f t="shared" si="6"/>
        <v>3.2258064516129031E-2</v>
      </c>
      <c r="N121" s="52" t="e">
        <f>VLOOKUP(C121,Deaths_since_10!H:I,2,FALSE)</f>
        <v>#N/A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613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56</v>
      </c>
      <c r="G122" s="41">
        <f>MAX(CumulativeDead!122:122)</f>
        <v>0</v>
      </c>
      <c r="J122" s="41">
        <v>38128</v>
      </c>
      <c r="K122" s="52" t="s">
        <v>512</v>
      </c>
      <c r="L122" s="41" t="e">
        <v>#VALUE!</v>
      </c>
      <c r="M122" s="69">
        <f t="shared" si="6"/>
        <v>0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609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11</v>
      </c>
      <c r="G123" s="41">
        <f>MAX(CumulativeDead!123:123)</f>
        <v>0</v>
      </c>
      <c r="J123" s="41">
        <v>3278290</v>
      </c>
      <c r="K123" s="52" t="s">
        <v>512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608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3</v>
      </c>
      <c r="G124" s="41">
        <f>MAX(CumulativeDead!124:124)</f>
        <v>0</v>
      </c>
      <c r="J124" s="41">
        <v>29136808</v>
      </c>
      <c r="K124" s="52" t="s">
        <v>512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608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 t="e">
        <f>VLOOKUP(C125,Days_Since_100!H:I,2,FALSE)</f>
        <v>#N/A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3</v>
      </c>
      <c r="G125" s="41">
        <f>MAX(CumulativeDead!125:125)</f>
        <v>1</v>
      </c>
      <c r="J125" s="41">
        <v>43849260</v>
      </c>
      <c r="K125" s="52" t="s">
        <v>512</v>
      </c>
      <c r="L125" s="41" t="e">
        <v>#VALUE!</v>
      </c>
      <c r="M125" s="69">
        <f t="shared" si="6"/>
        <v>0.33333333333333331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613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0</v>
      </c>
      <c r="J126" s="41">
        <v>8278724</v>
      </c>
      <c r="K126" s="52" t="s">
        <v>512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613</v>
      </c>
    </row>
    <row r="127" spans="1:17" x14ac:dyDescent="0.3">
      <c r="A127" s="52">
        <v>126</v>
      </c>
      <c r="B127" s="2" t="s">
        <v>606</v>
      </c>
      <c r="C127" s="2" t="s">
        <v>606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23944</v>
      </c>
      <c r="J127" s="41">
        <f>SUM(J2:J126)</f>
        <v>6913108351</v>
      </c>
      <c r="K127" s="52" t="s">
        <v>512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608</v>
      </c>
      <c r="C128" s="2" t="s">
        <v>608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3664</v>
      </c>
      <c r="J128" s="41">
        <f>SUMIFS($J$2:$J$126,$Q$2:$Q$126,B128)</f>
        <v>4225360220</v>
      </c>
      <c r="K128" s="52" t="s">
        <v>512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609</v>
      </c>
      <c r="C129" s="2" t="s">
        <v>609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16470</v>
      </c>
      <c r="J129" s="41">
        <f t="shared" ref="J129:J133" si="10">SUMIFS($J$2:$J$126,$Q$2:$Q$126,B129)</f>
        <v>693230884</v>
      </c>
      <c r="K129" s="52" t="s">
        <v>512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611</v>
      </c>
      <c r="C130" s="2" t="s">
        <v>611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1266</v>
      </c>
      <c r="J130" s="41">
        <f t="shared" si="10"/>
        <v>521537877</v>
      </c>
      <c r="K130" s="52" t="s">
        <v>512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612</v>
      </c>
      <c r="C131" s="2" t="s">
        <v>612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154</v>
      </c>
      <c r="J131" s="41">
        <f t="shared" si="10"/>
        <v>435832908</v>
      </c>
      <c r="K131" s="52" t="s">
        <v>512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613</v>
      </c>
      <c r="C132" s="2" t="s">
        <v>613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80</v>
      </c>
      <c r="J132" s="41">
        <f t="shared" si="10"/>
        <v>759332345</v>
      </c>
      <c r="K132" s="52" t="s">
        <v>512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610</v>
      </c>
      <c r="C133" s="2" t="s">
        <v>610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2297</v>
      </c>
      <c r="J133" s="41">
        <f t="shared" si="10"/>
        <v>247492000</v>
      </c>
      <c r="K133" s="52" t="s">
        <v>512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23944</v>
      </c>
    </row>
  </sheetData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U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1" activeCellId="1" sqref="B127:BU133 B1:C1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73" ht="15" thickBot="1" x14ac:dyDescent="0.35">
      <c r="A1" s="2" t="s">
        <v>607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</row>
    <row r="2" spans="1:73" ht="15" thickBot="1" x14ac:dyDescent="0.35">
      <c r="A2" s="168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0</v>
      </c>
      <c r="BQ2">
        <f>SUMIF(ConfirmedRaw!$B:$B,$B2,ConfirmedRaw!BS:BS)</f>
        <v>0</v>
      </c>
      <c r="BR2">
        <f>SUMIF(ConfirmedRaw!$B:$B,$B2,ConfirmedRaw!BT:BT)</f>
        <v>0</v>
      </c>
      <c r="BS2">
        <f>SUMIF(ConfirmedRaw!$B:$B,$B2,ConfirmedRaw!BU:BU)</f>
        <v>0</v>
      </c>
      <c r="BT2">
        <f>SUMIF(ConfirmedRaw!$B:$B,$B2,ConfirmedRaw!BV:BV)</f>
        <v>0</v>
      </c>
      <c r="BU2">
        <f>SUMIF(ConfirmedRaw!$B:$B,$B2,ConfirmedRaw!BW:BW)</f>
        <v>0</v>
      </c>
    </row>
    <row r="3" spans="1:73" ht="15" thickBot="1" x14ac:dyDescent="0.35">
      <c r="A3" s="168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0</v>
      </c>
      <c r="BQ3">
        <f>SUMIF(ConfirmedRaw!$B:$B,$B3,ConfirmedRaw!BS:BS)</f>
        <v>0</v>
      </c>
      <c r="BR3">
        <f>SUMIF(ConfirmedRaw!$B:$B,$B3,ConfirmedRaw!BT:BT)</f>
        <v>0</v>
      </c>
      <c r="BS3">
        <f>SUMIF(ConfirmedRaw!$B:$B,$B3,ConfirmedRaw!BU:BU)</f>
        <v>0</v>
      </c>
      <c r="BT3">
        <f>SUMIF(ConfirmedRaw!$B:$B,$B3,ConfirmedRaw!BV:BV)</f>
        <v>0</v>
      </c>
      <c r="BU3">
        <f>SUMIF(ConfirmedRaw!$B:$B,$B3,ConfirmedRaw!BW:BW)</f>
        <v>0</v>
      </c>
    </row>
    <row r="4" spans="1:73" ht="15" thickBot="1" x14ac:dyDescent="0.35">
      <c r="A4" s="168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0</v>
      </c>
      <c r="BQ4">
        <f>SUMIF(ConfirmedRaw!$B:$B,$B4,ConfirmedRaw!BS:BS)</f>
        <v>0</v>
      </c>
      <c r="BR4">
        <f>SUMIF(ConfirmedRaw!$B:$B,$B4,ConfirmedRaw!BT:BT)</f>
        <v>0</v>
      </c>
      <c r="BS4">
        <f>SUMIF(ConfirmedRaw!$B:$B,$B4,ConfirmedRaw!BU:BU)</f>
        <v>0</v>
      </c>
      <c r="BT4">
        <f>SUMIF(ConfirmedRaw!$B:$B,$B4,ConfirmedRaw!BV:BV)</f>
        <v>0</v>
      </c>
      <c r="BU4">
        <f>SUMIF(ConfirmedRaw!$B:$B,$B4,ConfirmedRaw!BW:BW)</f>
        <v>0</v>
      </c>
    </row>
    <row r="5" spans="1:73" ht="15" thickBot="1" x14ac:dyDescent="0.35">
      <c r="A5" s="168" t="s">
        <v>608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0</v>
      </c>
      <c r="BQ5">
        <f>SUMIF(ConfirmedRaw!$B:$B,$B5,ConfirmedRaw!BS:BS)</f>
        <v>0</v>
      </c>
      <c r="BR5">
        <f>SUMIF(ConfirmedRaw!$B:$B,$B5,ConfirmedRaw!BT:BT)</f>
        <v>0</v>
      </c>
      <c r="BS5">
        <f>SUMIF(ConfirmedRaw!$B:$B,$B5,ConfirmedRaw!BU:BU)</f>
        <v>0</v>
      </c>
      <c r="BT5">
        <f>SUMIF(ConfirmedRaw!$B:$B,$B5,ConfirmedRaw!BV:BV)</f>
        <v>0</v>
      </c>
      <c r="BU5">
        <f>SUMIF(ConfirmedRaw!$B:$B,$B5,ConfirmedRaw!BW:BW)</f>
        <v>0</v>
      </c>
    </row>
    <row r="6" spans="1:73" ht="15" thickBot="1" x14ac:dyDescent="0.35">
      <c r="A6" s="168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0</v>
      </c>
      <c r="BQ6">
        <f>SUMIF(ConfirmedRaw!$B:$B,$B6,ConfirmedRaw!BS:BS)</f>
        <v>0</v>
      </c>
      <c r="BR6">
        <f>SUMIF(ConfirmedRaw!$B:$B,$B6,ConfirmedRaw!BT:BT)</f>
        <v>0</v>
      </c>
      <c r="BS6">
        <f>SUMIF(ConfirmedRaw!$B:$B,$B6,ConfirmedRaw!BU:BU)</f>
        <v>0</v>
      </c>
      <c r="BT6">
        <f>SUMIF(ConfirmedRaw!$B:$B,$B6,ConfirmedRaw!BV:BV)</f>
        <v>0</v>
      </c>
      <c r="BU6">
        <f>SUMIF(ConfirmedRaw!$B:$B,$B6,ConfirmedRaw!BW:BW)</f>
        <v>0</v>
      </c>
    </row>
    <row r="7" spans="1:73" ht="15" thickBot="1" x14ac:dyDescent="0.35">
      <c r="A7" s="168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0</v>
      </c>
      <c r="BQ7">
        <f>SUMIF(ConfirmedRaw!$B:$B,$B7,ConfirmedRaw!BS:BS)</f>
        <v>0</v>
      </c>
      <c r="BR7">
        <f>SUMIF(ConfirmedRaw!$B:$B,$B7,ConfirmedRaw!BT:BT)</f>
        <v>0</v>
      </c>
      <c r="BS7">
        <f>SUMIF(ConfirmedRaw!$B:$B,$B7,ConfirmedRaw!BU:BU)</f>
        <v>0</v>
      </c>
      <c r="BT7">
        <f>SUMIF(ConfirmedRaw!$B:$B,$B7,ConfirmedRaw!BV:BV)</f>
        <v>0</v>
      </c>
      <c r="BU7">
        <f>SUMIF(ConfirmedRaw!$B:$B,$B7,ConfirmedRaw!BW:BW)</f>
        <v>0</v>
      </c>
    </row>
    <row r="8" spans="1:73" ht="15" thickBot="1" x14ac:dyDescent="0.35">
      <c r="A8" s="168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0</v>
      </c>
      <c r="BQ8">
        <f>SUMIF(ConfirmedRaw!$B:$B,$B8,ConfirmedRaw!BS:BS)</f>
        <v>0</v>
      </c>
      <c r="BR8">
        <f>SUMIF(ConfirmedRaw!$B:$B,$B8,ConfirmedRaw!BT:BT)</f>
        <v>0</v>
      </c>
      <c r="BS8">
        <f>SUMIF(ConfirmedRaw!$B:$B,$B8,ConfirmedRaw!BU:BU)</f>
        <v>0</v>
      </c>
      <c r="BT8">
        <f>SUMIF(ConfirmedRaw!$B:$B,$B8,ConfirmedRaw!BV:BV)</f>
        <v>0</v>
      </c>
      <c r="BU8">
        <f>SUMIF(ConfirmedRaw!$B:$B,$B8,ConfirmedRaw!BW:BW)</f>
        <v>0</v>
      </c>
    </row>
    <row r="9" spans="1:73" ht="15" thickBot="1" x14ac:dyDescent="0.35">
      <c r="A9" s="168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13677</v>
      </c>
      <c r="BI9">
        <f>SUMIF(ConfirmedRaw!$B:$B,$B9,ConfirmedRaw!BK:BK)</f>
        <v>19100</v>
      </c>
      <c r="BJ9">
        <f>SUMIF(ConfirmedRaw!$B:$B,$B9,ConfirmedRaw!BL:BL)</f>
        <v>25489</v>
      </c>
      <c r="BK9">
        <f>SUMIF(ConfirmedRaw!$B:$B,$B9,ConfirmedRaw!BM:BM)</f>
        <v>33276</v>
      </c>
      <c r="BL9">
        <f>SUMIF(ConfirmedRaw!$B:$B,$B9,ConfirmedRaw!BN:BN)</f>
        <v>43847</v>
      </c>
      <c r="BM9">
        <f>SUMIF(ConfirmedRaw!$B:$B,$B9,ConfirmedRaw!BO:BO)</f>
        <v>53740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0</v>
      </c>
      <c r="BQ9">
        <f>SUMIF(ConfirmedRaw!$B:$B,$B9,ConfirmedRaw!BS:BS)</f>
        <v>0</v>
      </c>
      <c r="BR9">
        <f>SUMIF(ConfirmedRaw!$B:$B,$B9,ConfirmedRaw!BT:BT)</f>
        <v>0</v>
      </c>
      <c r="BS9">
        <f>SUMIF(ConfirmedRaw!$B:$B,$B9,ConfirmedRaw!BU:BU)</f>
        <v>0</v>
      </c>
      <c r="BT9">
        <f>SUMIF(ConfirmedRaw!$B:$B,$B9,ConfirmedRaw!BV:BV)</f>
        <v>0</v>
      </c>
      <c r="BU9">
        <f>SUMIF(ConfirmedRaw!$B:$B,$B9,ConfirmedRaw!BW:BW)</f>
        <v>0</v>
      </c>
    </row>
    <row r="10" spans="1:73" ht="15" thickBot="1" x14ac:dyDescent="0.35">
      <c r="A10" s="168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0</v>
      </c>
      <c r="BQ10">
        <f>SUMIF(ConfirmedRaw!$B:$B,$B10,ConfirmedRaw!BS:BS)</f>
        <v>0</v>
      </c>
      <c r="BR10">
        <f>SUMIF(ConfirmedRaw!$B:$B,$B10,ConfirmedRaw!BT:BT)</f>
        <v>0</v>
      </c>
      <c r="BS10">
        <f>SUMIF(ConfirmedRaw!$B:$B,$B10,ConfirmedRaw!BU:BU)</f>
        <v>0</v>
      </c>
      <c r="BT10">
        <f>SUMIF(ConfirmedRaw!$B:$B,$B10,ConfirmedRaw!BV:BV)</f>
        <v>0</v>
      </c>
      <c r="BU10">
        <f>SUMIF(ConfirmedRaw!$B:$B,$B10,ConfirmedRaw!BW:BW)</f>
        <v>0</v>
      </c>
    </row>
    <row r="11" spans="1:73" ht="15" thickBot="1" x14ac:dyDescent="0.35">
      <c r="A11" s="168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0</v>
      </c>
      <c r="BQ11">
        <f>SUMIF(ConfirmedRaw!$B:$B,$B11,ConfirmedRaw!BS:BS)</f>
        <v>0</v>
      </c>
      <c r="BR11">
        <f>SUMIF(ConfirmedRaw!$B:$B,$B11,ConfirmedRaw!BT:BT)</f>
        <v>0</v>
      </c>
      <c r="BS11">
        <f>SUMIF(ConfirmedRaw!$B:$B,$B11,ConfirmedRaw!BU:BU)</f>
        <v>0</v>
      </c>
      <c r="BT11">
        <f>SUMIF(ConfirmedRaw!$B:$B,$B11,ConfirmedRaw!BV:BV)</f>
        <v>0</v>
      </c>
      <c r="BU11">
        <f>SUMIF(ConfirmedRaw!$B:$B,$B11,ConfirmedRaw!BW:BW)</f>
        <v>0</v>
      </c>
    </row>
    <row r="12" spans="1:73" ht="15" thickBot="1" x14ac:dyDescent="0.35">
      <c r="A12" s="168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0</v>
      </c>
      <c r="BQ12">
        <f>SUMIF(ConfirmedRaw!$B:$B,$B12,ConfirmedRaw!BS:BS)</f>
        <v>0</v>
      </c>
      <c r="BR12">
        <f>SUMIF(ConfirmedRaw!$B:$B,$B12,ConfirmedRaw!BT:BT)</f>
        <v>0</v>
      </c>
      <c r="BS12">
        <f>SUMIF(ConfirmedRaw!$B:$B,$B12,ConfirmedRaw!BU:BU)</f>
        <v>0</v>
      </c>
      <c r="BT12">
        <f>SUMIF(ConfirmedRaw!$B:$B,$B12,ConfirmedRaw!BV:BV)</f>
        <v>0</v>
      </c>
      <c r="BU12">
        <f>SUMIF(ConfirmedRaw!$B:$B,$B12,ConfirmedRaw!BW:BW)</f>
        <v>0</v>
      </c>
    </row>
    <row r="13" spans="1:73" ht="15" thickBot="1" x14ac:dyDescent="0.35">
      <c r="A13" s="168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0</v>
      </c>
      <c r="BQ13">
        <f>SUMIF(ConfirmedRaw!$B:$B,$B13,ConfirmedRaw!BS:BS)</f>
        <v>0</v>
      </c>
      <c r="BR13">
        <f>SUMIF(ConfirmedRaw!$B:$B,$B13,ConfirmedRaw!BT:BT)</f>
        <v>0</v>
      </c>
      <c r="BS13">
        <f>SUMIF(ConfirmedRaw!$B:$B,$B13,ConfirmedRaw!BU:BU)</f>
        <v>0</v>
      </c>
      <c r="BT13">
        <f>SUMIF(ConfirmedRaw!$B:$B,$B13,ConfirmedRaw!BV:BV)</f>
        <v>0</v>
      </c>
      <c r="BU13">
        <f>SUMIF(ConfirmedRaw!$B:$B,$B13,ConfirmedRaw!BW:BW)</f>
        <v>0</v>
      </c>
    </row>
    <row r="14" spans="1:73" ht="15" thickBot="1" x14ac:dyDescent="0.35">
      <c r="A14" s="168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0</v>
      </c>
      <c r="BQ14">
        <f>SUMIF(ConfirmedRaw!$B:$B,$B14,ConfirmedRaw!BS:BS)</f>
        <v>0</v>
      </c>
      <c r="BR14">
        <f>SUMIF(ConfirmedRaw!$B:$B,$B14,ConfirmedRaw!BT:BT)</f>
        <v>0</v>
      </c>
      <c r="BS14">
        <f>SUMIF(ConfirmedRaw!$B:$B,$B14,ConfirmedRaw!BU:BU)</f>
        <v>0</v>
      </c>
      <c r="BT14">
        <f>SUMIF(ConfirmedRaw!$B:$B,$B14,ConfirmedRaw!BV:BV)</f>
        <v>0</v>
      </c>
      <c r="BU14">
        <f>SUMIF(ConfirmedRaw!$B:$B,$B14,ConfirmedRaw!BW:BW)</f>
        <v>0</v>
      </c>
    </row>
    <row r="15" spans="1:73" ht="15" thickBot="1" x14ac:dyDescent="0.35">
      <c r="A15" s="168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f>SUMIF(ConfirmedRaw!$B:$B,$B15,ConfirmedRaw!BJ:BJ)</f>
        <v>2716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0</v>
      </c>
      <c r="BQ15">
        <f>SUMIF(ConfirmedRaw!$B:$B,$B15,ConfirmedRaw!BS:BS)</f>
        <v>0</v>
      </c>
      <c r="BR15">
        <f>SUMIF(ConfirmedRaw!$B:$B,$B15,ConfirmedRaw!BT:BT)</f>
        <v>0</v>
      </c>
      <c r="BS15">
        <f>SUMIF(ConfirmedRaw!$B:$B,$B15,ConfirmedRaw!BU:BU)</f>
        <v>0</v>
      </c>
      <c r="BT15">
        <f>SUMIF(ConfirmedRaw!$B:$B,$B15,ConfirmedRaw!BV:BV)</f>
        <v>0</v>
      </c>
      <c r="BU15">
        <f>SUMIF(ConfirmedRaw!$B:$B,$B15,ConfirmedRaw!BW:BW)</f>
        <v>0</v>
      </c>
    </row>
    <row r="16" spans="1:73" ht="15" thickBot="1" x14ac:dyDescent="0.35">
      <c r="A16" s="168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0</v>
      </c>
      <c r="BQ16">
        <f>SUMIF(ConfirmedRaw!$B:$B,$B16,ConfirmedRaw!BS:BS)</f>
        <v>0</v>
      </c>
      <c r="BR16">
        <f>SUMIF(ConfirmedRaw!$B:$B,$B16,ConfirmedRaw!BT:BT)</f>
        <v>0</v>
      </c>
      <c r="BS16">
        <f>SUMIF(ConfirmedRaw!$B:$B,$B16,ConfirmedRaw!BU:BU)</f>
        <v>0</v>
      </c>
      <c r="BT16">
        <f>SUMIF(ConfirmedRaw!$B:$B,$B16,ConfirmedRaw!BV:BV)</f>
        <v>0</v>
      </c>
      <c r="BU16">
        <f>SUMIF(ConfirmedRaw!$B:$B,$B16,ConfirmedRaw!BW:BW)</f>
        <v>0</v>
      </c>
    </row>
    <row r="17" spans="1:73" ht="15" thickBot="1" x14ac:dyDescent="0.35">
      <c r="A17" s="168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</row>
    <row r="18" spans="1:73" ht="15" thickBot="1" x14ac:dyDescent="0.35">
      <c r="A18" s="168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0</v>
      </c>
      <c r="BQ18">
        <f>SUMIF(ConfirmedRaw!$B:$B,$B18,ConfirmedRaw!BS:BS)</f>
        <v>0</v>
      </c>
      <c r="BR18">
        <f>SUMIF(ConfirmedRaw!$B:$B,$B18,ConfirmedRaw!BT:BT)</f>
        <v>0</v>
      </c>
      <c r="BS18">
        <f>SUMIF(ConfirmedRaw!$B:$B,$B18,ConfirmedRaw!BU:BU)</f>
        <v>0</v>
      </c>
      <c r="BT18">
        <f>SUMIF(ConfirmedRaw!$B:$B,$B18,ConfirmedRaw!BV:BV)</f>
        <v>0</v>
      </c>
      <c r="BU18">
        <f>SUMIF(ConfirmedRaw!$B:$B,$B18,ConfirmedRaw!BW:BW)</f>
        <v>0</v>
      </c>
    </row>
    <row r="19" spans="1:73" ht="15" thickBot="1" x14ac:dyDescent="0.35">
      <c r="A19" s="168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0</v>
      </c>
      <c r="BQ19">
        <f>SUMIF(ConfirmedRaw!$B:$B,$B19,ConfirmedRaw!BS:BS)</f>
        <v>0</v>
      </c>
      <c r="BR19">
        <f>SUMIF(ConfirmedRaw!$B:$B,$B19,ConfirmedRaw!BT:BT)</f>
        <v>0</v>
      </c>
      <c r="BS19">
        <f>SUMIF(ConfirmedRaw!$B:$B,$B19,ConfirmedRaw!BU:BU)</f>
        <v>0</v>
      </c>
      <c r="BT19">
        <f>SUMIF(ConfirmedRaw!$B:$B,$B19,ConfirmedRaw!BV:BV)</f>
        <v>0</v>
      </c>
      <c r="BU19">
        <f>SUMIF(ConfirmedRaw!$B:$B,$B19,ConfirmedRaw!BW:BW)</f>
        <v>0</v>
      </c>
    </row>
    <row r="20" spans="1:73" ht="15" thickBot="1" x14ac:dyDescent="0.35">
      <c r="A20" s="168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0</v>
      </c>
      <c r="BQ20">
        <f>SUMIF(ConfirmedRaw!$B:$B,$B20,ConfirmedRaw!BS:BS)</f>
        <v>0</v>
      </c>
      <c r="BR20">
        <f>SUMIF(ConfirmedRaw!$B:$B,$B20,ConfirmedRaw!BT:BT)</f>
        <v>0</v>
      </c>
      <c r="BS20">
        <f>SUMIF(ConfirmedRaw!$B:$B,$B20,ConfirmedRaw!BU:BU)</f>
        <v>0</v>
      </c>
      <c r="BT20">
        <f>SUMIF(ConfirmedRaw!$B:$B,$B20,ConfirmedRaw!BV:BV)</f>
        <v>0</v>
      </c>
      <c r="BU20">
        <f>SUMIF(ConfirmedRaw!$B:$B,$B20,ConfirmedRaw!BW:BW)</f>
        <v>0</v>
      </c>
    </row>
    <row r="21" spans="1:73" ht="15" thickBot="1" x14ac:dyDescent="0.35">
      <c r="A21" s="168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0</v>
      </c>
      <c r="BQ21">
        <f>SUMIF(ConfirmedRaw!$B:$B,$B21,ConfirmedRaw!BS:BS)</f>
        <v>0</v>
      </c>
      <c r="BR21">
        <f>SUMIF(ConfirmedRaw!$B:$B,$B21,ConfirmedRaw!BT:BT)</f>
        <v>0</v>
      </c>
      <c r="BS21">
        <f>SUMIF(ConfirmedRaw!$B:$B,$B21,ConfirmedRaw!BU:BU)</f>
        <v>0</v>
      </c>
      <c r="BT21">
        <f>SUMIF(ConfirmedRaw!$B:$B,$B21,ConfirmedRaw!BV:BV)</f>
        <v>0</v>
      </c>
      <c r="BU21">
        <f>SUMIF(ConfirmedRaw!$B:$B,$B21,ConfirmedRaw!BW:BW)</f>
        <v>0</v>
      </c>
    </row>
    <row r="22" spans="1:73" ht="15" thickBot="1" x14ac:dyDescent="0.35">
      <c r="A22" s="168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0</v>
      </c>
      <c r="BQ22">
        <f>SUMIF(ConfirmedRaw!$B:$B,$B22,ConfirmedRaw!BS:BS)</f>
        <v>0</v>
      </c>
      <c r="BR22">
        <f>SUMIF(ConfirmedRaw!$B:$B,$B22,ConfirmedRaw!BT:BT)</f>
        <v>0</v>
      </c>
      <c r="BS22">
        <f>SUMIF(ConfirmedRaw!$B:$B,$B22,ConfirmedRaw!BU:BU)</f>
        <v>0</v>
      </c>
      <c r="BT22">
        <f>SUMIF(ConfirmedRaw!$B:$B,$B22,ConfirmedRaw!BV:BV)</f>
        <v>0</v>
      </c>
      <c r="BU22">
        <f>SUMIF(ConfirmedRaw!$B:$B,$B22,ConfirmedRaw!BW:BW)</f>
        <v>0</v>
      </c>
    </row>
    <row r="23" spans="1:73" ht="15" thickBot="1" x14ac:dyDescent="0.35">
      <c r="A23" s="168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0</v>
      </c>
      <c r="BQ23">
        <f>SUMIF(ConfirmedRaw!$B:$B,$B23,ConfirmedRaw!BS:BS)</f>
        <v>0</v>
      </c>
      <c r="BR23">
        <f>SUMIF(ConfirmedRaw!$B:$B,$B23,ConfirmedRaw!BT:BT)</f>
        <v>0</v>
      </c>
      <c r="BS23">
        <f>SUMIF(ConfirmedRaw!$B:$B,$B23,ConfirmedRaw!BU:BU)</f>
        <v>0</v>
      </c>
      <c r="BT23">
        <f>SUMIF(ConfirmedRaw!$B:$B,$B23,ConfirmedRaw!BV:BV)</f>
        <v>0</v>
      </c>
      <c r="BU23">
        <f>SUMIF(ConfirmedRaw!$B:$B,$B23,ConfirmedRaw!BW:BW)</f>
        <v>0</v>
      </c>
    </row>
    <row r="24" spans="1:73" ht="15" thickBot="1" x14ac:dyDescent="0.35">
      <c r="A24" s="168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0</v>
      </c>
      <c r="BQ24">
        <f>SUMIF(ConfirmedRaw!$B:$B,$B24,ConfirmedRaw!BS:BS)</f>
        <v>0</v>
      </c>
      <c r="BR24">
        <f>SUMIF(ConfirmedRaw!$B:$B,$B24,ConfirmedRaw!BT:BT)</f>
        <v>0</v>
      </c>
      <c r="BS24">
        <f>SUMIF(ConfirmedRaw!$B:$B,$B24,ConfirmedRaw!BU:BU)</f>
        <v>0</v>
      </c>
      <c r="BT24">
        <f>SUMIF(ConfirmedRaw!$B:$B,$B24,ConfirmedRaw!BV:BV)</f>
        <v>0</v>
      </c>
      <c r="BU24">
        <f>SUMIF(ConfirmedRaw!$B:$B,$B24,ConfirmedRaw!BW:BW)</f>
        <v>0</v>
      </c>
    </row>
    <row r="25" spans="1:73" ht="15" thickBot="1" x14ac:dyDescent="0.35">
      <c r="A25" s="168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0</v>
      </c>
      <c r="BQ25">
        <f>SUMIF(ConfirmedRaw!$B:$B,$B25,ConfirmedRaw!BS:BS)</f>
        <v>0</v>
      </c>
      <c r="BR25">
        <f>SUMIF(ConfirmedRaw!$B:$B,$B25,ConfirmedRaw!BT:BT)</f>
        <v>0</v>
      </c>
      <c r="BS25">
        <f>SUMIF(ConfirmedRaw!$B:$B,$B25,ConfirmedRaw!BU:BU)</f>
        <v>0</v>
      </c>
      <c r="BT25">
        <f>SUMIF(ConfirmedRaw!$B:$B,$B25,ConfirmedRaw!BV:BV)</f>
        <v>0</v>
      </c>
      <c r="BU25">
        <f>SUMIF(ConfirmedRaw!$B:$B,$B25,ConfirmedRaw!BW:BW)</f>
        <v>0</v>
      </c>
    </row>
    <row r="26" spans="1:73" ht="15" thickBot="1" x14ac:dyDescent="0.35">
      <c r="A26" s="168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0</v>
      </c>
      <c r="BQ26">
        <f>SUMIF(ConfirmedRaw!$B:$B,$B26,ConfirmedRaw!BS:BS)</f>
        <v>0</v>
      </c>
      <c r="BR26">
        <f>SUMIF(ConfirmedRaw!$B:$B,$B26,ConfirmedRaw!BT:BT)</f>
        <v>0</v>
      </c>
      <c r="BS26">
        <f>SUMIF(ConfirmedRaw!$B:$B,$B26,ConfirmedRaw!BU:BU)</f>
        <v>0</v>
      </c>
      <c r="BT26">
        <f>SUMIF(ConfirmedRaw!$B:$B,$B26,ConfirmedRaw!BV:BV)</f>
        <v>0</v>
      </c>
      <c r="BU26">
        <f>SUMIF(ConfirmedRaw!$B:$B,$B26,ConfirmedRaw!BW:BW)</f>
        <v>0</v>
      </c>
    </row>
    <row r="27" spans="1:73" ht="15" thickBot="1" x14ac:dyDescent="0.35">
      <c r="A27" s="168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0</v>
      </c>
      <c r="BQ27">
        <f>SUMIF(ConfirmedRaw!$B:$B,$B27,ConfirmedRaw!BS:BS)</f>
        <v>0</v>
      </c>
      <c r="BR27">
        <f>SUMIF(ConfirmedRaw!$B:$B,$B27,ConfirmedRaw!BT:BT)</f>
        <v>0</v>
      </c>
      <c r="BS27">
        <f>SUMIF(ConfirmedRaw!$B:$B,$B27,ConfirmedRaw!BU:BU)</f>
        <v>0</v>
      </c>
      <c r="BT27">
        <f>SUMIF(ConfirmedRaw!$B:$B,$B27,ConfirmedRaw!BV:BV)</f>
        <v>0</v>
      </c>
      <c r="BU27">
        <f>SUMIF(ConfirmedRaw!$B:$B,$B27,ConfirmedRaw!BW:BW)</f>
        <v>0</v>
      </c>
    </row>
    <row r="28" spans="1:73" ht="15" thickBot="1" x14ac:dyDescent="0.35">
      <c r="A28" s="168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0</v>
      </c>
      <c r="BQ28">
        <f>SUMIF(ConfirmedRaw!$B:$B,$B28,ConfirmedRaw!BS:BS)</f>
        <v>0</v>
      </c>
      <c r="BR28">
        <f>SUMIF(ConfirmedRaw!$B:$B,$B28,ConfirmedRaw!BT:BT)</f>
        <v>0</v>
      </c>
      <c r="BS28">
        <f>SUMIF(ConfirmedRaw!$B:$B,$B28,ConfirmedRaw!BU:BU)</f>
        <v>0</v>
      </c>
      <c r="BT28">
        <f>SUMIF(ConfirmedRaw!$B:$B,$B28,ConfirmedRaw!BV:BV)</f>
        <v>0</v>
      </c>
      <c r="BU28">
        <f>SUMIF(ConfirmedRaw!$B:$B,$B28,ConfirmedRaw!BW:BW)</f>
        <v>0</v>
      </c>
    </row>
    <row r="29" spans="1:73" ht="15" thickBot="1" x14ac:dyDescent="0.35">
      <c r="A29" s="168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0</v>
      </c>
      <c r="BQ29">
        <f>SUMIF(ConfirmedRaw!$B:$B,$B29,ConfirmedRaw!BS:BS)</f>
        <v>0</v>
      </c>
      <c r="BR29">
        <f>SUMIF(ConfirmedRaw!$B:$B,$B29,ConfirmedRaw!BT:BT)</f>
        <v>0</v>
      </c>
      <c r="BS29">
        <f>SUMIF(ConfirmedRaw!$B:$B,$B29,ConfirmedRaw!BU:BU)</f>
        <v>0</v>
      </c>
      <c r="BT29">
        <f>SUMIF(ConfirmedRaw!$B:$B,$B29,ConfirmedRaw!BV:BV)</f>
        <v>0</v>
      </c>
      <c r="BU29">
        <f>SUMIF(ConfirmedRaw!$B:$B,$B29,ConfirmedRaw!BW:BW)</f>
        <v>0</v>
      </c>
    </row>
    <row r="30" spans="1:73" ht="15" thickBot="1" x14ac:dyDescent="0.35">
      <c r="A30" s="168" t="s">
        <v>609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0</v>
      </c>
      <c r="BQ30">
        <f>SUMIF(ConfirmedRaw!$B:$B,$B30,ConfirmedRaw!BS:BS)</f>
        <v>0</v>
      </c>
      <c r="BR30">
        <f>SUMIF(ConfirmedRaw!$B:$B,$B30,ConfirmedRaw!BT:BT)</f>
        <v>0</v>
      </c>
      <c r="BS30">
        <f>SUMIF(ConfirmedRaw!$B:$B,$B30,ConfirmedRaw!BU:BU)</f>
        <v>0</v>
      </c>
      <c r="BT30">
        <f>SUMIF(ConfirmedRaw!$B:$B,$B30,ConfirmedRaw!BV:BV)</f>
        <v>0</v>
      </c>
      <c r="BU30">
        <f>SUMIF(ConfirmedRaw!$B:$B,$B30,ConfirmedRaw!BW:BW)</f>
        <v>0</v>
      </c>
    </row>
    <row r="31" spans="1:73" ht="15" thickBot="1" x14ac:dyDescent="0.35">
      <c r="A31" s="168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0</v>
      </c>
      <c r="BQ31">
        <f>SUMIF(ConfirmedRaw!$B:$B,$B31,ConfirmedRaw!BS:BS)</f>
        <v>0</v>
      </c>
      <c r="BR31">
        <f>SUMIF(ConfirmedRaw!$B:$B,$B31,ConfirmedRaw!BT:BT)</f>
        <v>0</v>
      </c>
      <c r="BS31">
        <f>SUMIF(ConfirmedRaw!$B:$B,$B31,ConfirmedRaw!BU:BU)</f>
        <v>0</v>
      </c>
      <c r="BT31">
        <f>SUMIF(ConfirmedRaw!$B:$B,$B31,ConfirmedRaw!BV:BV)</f>
        <v>0</v>
      </c>
      <c r="BU31">
        <f>SUMIF(ConfirmedRaw!$B:$B,$B31,ConfirmedRaw!BW:BW)</f>
        <v>0</v>
      </c>
    </row>
    <row r="32" spans="1:73" ht="15" thickBot="1" x14ac:dyDescent="0.35">
      <c r="A32" s="168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0</v>
      </c>
      <c r="BQ32">
        <f>SUMIF(ConfirmedRaw!$B:$B,$B32,ConfirmedRaw!BS:BS)</f>
        <v>0</v>
      </c>
      <c r="BR32">
        <f>SUMIF(ConfirmedRaw!$B:$B,$B32,ConfirmedRaw!BT:BT)</f>
        <v>0</v>
      </c>
      <c r="BS32">
        <f>SUMIF(ConfirmedRaw!$B:$B,$B32,ConfirmedRaw!BU:BU)</f>
        <v>0</v>
      </c>
      <c r="BT32">
        <f>SUMIF(ConfirmedRaw!$B:$B,$B32,ConfirmedRaw!BV:BV)</f>
        <v>0</v>
      </c>
      <c r="BU32">
        <f>SUMIF(ConfirmedRaw!$B:$B,$B32,ConfirmedRaw!BW:BW)</f>
        <v>0</v>
      </c>
    </row>
    <row r="33" spans="1:73" ht="15" thickBot="1" x14ac:dyDescent="0.35">
      <c r="A33" s="168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0</v>
      </c>
      <c r="BQ33">
        <f>SUMIF(ConfirmedRaw!$B:$B,$B33,ConfirmedRaw!BS:BS)</f>
        <v>0</v>
      </c>
      <c r="BR33">
        <f>SUMIF(ConfirmedRaw!$B:$B,$B33,ConfirmedRaw!BT:BT)</f>
        <v>0</v>
      </c>
      <c r="BS33">
        <f>SUMIF(ConfirmedRaw!$B:$B,$B33,ConfirmedRaw!BU:BU)</f>
        <v>0</v>
      </c>
      <c r="BT33">
        <f>SUMIF(ConfirmedRaw!$B:$B,$B33,ConfirmedRaw!BV:BV)</f>
        <v>0</v>
      </c>
      <c r="BU33">
        <f>SUMIF(ConfirmedRaw!$B:$B,$B33,ConfirmedRaw!BW:BW)</f>
        <v>0</v>
      </c>
    </row>
    <row r="34" spans="1:73" ht="15" thickBot="1" x14ac:dyDescent="0.35">
      <c r="A34" s="168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0</v>
      </c>
      <c r="BQ34">
        <f>SUMIF(ConfirmedRaw!$B:$B,$B34,ConfirmedRaw!BS:BS)</f>
        <v>0</v>
      </c>
      <c r="BR34">
        <f>SUMIF(ConfirmedRaw!$B:$B,$B34,ConfirmedRaw!BT:BT)</f>
        <v>0</v>
      </c>
      <c r="BS34">
        <f>SUMIF(ConfirmedRaw!$B:$B,$B34,ConfirmedRaw!BU:BU)</f>
        <v>0</v>
      </c>
      <c r="BT34">
        <f>SUMIF(ConfirmedRaw!$B:$B,$B34,ConfirmedRaw!BV:BV)</f>
        <v>0</v>
      </c>
      <c r="BU34">
        <f>SUMIF(ConfirmedRaw!$B:$B,$B34,ConfirmedRaw!BW:BW)</f>
        <v>0</v>
      </c>
    </row>
    <row r="35" spans="1:73" ht="15" thickBot="1" x14ac:dyDescent="0.35">
      <c r="A35" s="168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0</v>
      </c>
      <c r="BQ35">
        <f>SUMIF(ConfirmedRaw!$B:$B,$B35,ConfirmedRaw!BS:BS)</f>
        <v>0</v>
      </c>
      <c r="BR35">
        <f>SUMIF(ConfirmedRaw!$B:$B,$B35,ConfirmedRaw!BT:BT)</f>
        <v>0</v>
      </c>
      <c r="BS35">
        <f>SUMIF(ConfirmedRaw!$B:$B,$B35,ConfirmedRaw!BU:BU)</f>
        <v>0</v>
      </c>
      <c r="BT35">
        <f>SUMIF(ConfirmedRaw!$B:$B,$B35,ConfirmedRaw!BV:BV)</f>
        <v>0</v>
      </c>
      <c r="BU35">
        <f>SUMIF(ConfirmedRaw!$B:$B,$B35,ConfirmedRaw!BW:BW)</f>
        <v>0</v>
      </c>
    </row>
    <row r="36" spans="1:73" ht="15" thickBot="1" x14ac:dyDescent="0.35">
      <c r="A36" s="168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0</v>
      </c>
      <c r="BQ36">
        <f>SUMIF(ConfirmedRaw!$B:$B,$B36,ConfirmedRaw!BS:BS)</f>
        <v>0</v>
      </c>
      <c r="BR36">
        <f>SUMIF(ConfirmedRaw!$B:$B,$B36,ConfirmedRaw!BT:BT)</f>
        <v>0</v>
      </c>
      <c r="BS36">
        <f>SUMIF(ConfirmedRaw!$B:$B,$B36,ConfirmedRaw!BU:BU)</f>
        <v>0</v>
      </c>
      <c r="BT36">
        <f>SUMIF(ConfirmedRaw!$B:$B,$B36,ConfirmedRaw!BV:BV)</f>
        <v>0</v>
      </c>
      <c r="BU36">
        <f>SUMIF(ConfirmedRaw!$B:$B,$B36,ConfirmedRaw!BW:BW)</f>
        <v>0</v>
      </c>
    </row>
    <row r="37" spans="1:73" ht="15" thickBot="1" x14ac:dyDescent="0.35">
      <c r="A37" s="168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0</v>
      </c>
      <c r="BQ37">
        <f>SUMIF(ConfirmedRaw!$B:$B,$B37,ConfirmedRaw!BS:BS)</f>
        <v>0</v>
      </c>
      <c r="BR37">
        <f>SUMIF(ConfirmedRaw!$B:$B,$B37,ConfirmedRaw!BT:BT)</f>
        <v>0</v>
      </c>
      <c r="BS37">
        <f>SUMIF(ConfirmedRaw!$B:$B,$B37,ConfirmedRaw!BU:BU)</f>
        <v>0</v>
      </c>
      <c r="BT37">
        <f>SUMIF(ConfirmedRaw!$B:$B,$B37,ConfirmedRaw!BV:BV)</f>
        <v>0</v>
      </c>
      <c r="BU37">
        <f>SUMIF(ConfirmedRaw!$B:$B,$B37,ConfirmedRaw!BW:BW)</f>
        <v>0</v>
      </c>
    </row>
    <row r="38" spans="1:73" ht="15" thickBot="1" x14ac:dyDescent="0.35">
      <c r="A38" s="168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0</v>
      </c>
      <c r="BQ38">
        <f>SUMIF(ConfirmedRaw!$B:$B,$B38,ConfirmedRaw!BS:BS)</f>
        <v>0</v>
      </c>
      <c r="BR38">
        <f>SUMIF(ConfirmedRaw!$B:$B,$B38,ConfirmedRaw!BT:BT)</f>
        <v>0</v>
      </c>
      <c r="BS38">
        <f>SUMIF(ConfirmedRaw!$B:$B,$B38,ConfirmedRaw!BU:BU)</f>
        <v>0</v>
      </c>
      <c r="BT38">
        <f>SUMIF(ConfirmedRaw!$B:$B,$B38,ConfirmedRaw!BV:BV)</f>
        <v>0</v>
      </c>
      <c r="BU38">
        <f>SUMIF(ConfirmedRaw!$B:$B,$B38,ConfirmedRaw!BW:BW)</f>
        <v>0</v>
      </c>
    </row>
    <row r="39" spans="1:73" ht="15" thickBot="1" x14ac:dyDescent="0.35">
      <c r="A39" s="168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0</v>
      </c>
      <c r="BQ39">
        <f>SUMIF(ConfirmedRaw!$B:$B,$B39,ConfirmedRaw!BS:BS)</f>
        <v>0</v>
      </c>
      <c r="BR39">
        <f>SUMIF(ConfirmedRaw!$B:$B,$B39,ConfirmedRaw!BT:BT)</f>
        <v>0</v>
      </c>
      <c r="BS39">
        <f>SUMIF(ConfirmedRaw!$B:$B,$B39,ConfirmedRaw!BU:BU)</f>
        <v>0</v>
      </c>
      <c r="BT39">
        <f>SUMIF(ConfirmedRaw!$B:$B,$B39,ConfirmedRaw!BV:BV)</f>
        <v>0</v>
      </c>
      <c r="BU39">
        <f>SUMIF(ConfirmedRaw!$B:$B,$B39,ConfirmedRaw!BW:BW)</f>
        <v>0</v>
      </c>
    </row>
    <row r="40" spans="1:73" ht="15" thickBot="1" x14ac:dyDescent="0.35">
      <c r="A40" s="168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0</v>
      </c>
      <c r="BQ40">
        <f>SUMIF(ConfirmedRaw!$B:$B,$B40,ConfirmedRaw!BS:BS)</f>
        <v>0</v>
      </c>
      <c r="BR40">
        <f>SUMIF(ConfirmedRaw!$B:$B,$B40,ConfirmedRaw!BT:BT)</f>
        <v>0</v>
      </c>
      <c r="BS40">
        <f>SUMIF(ConfirmedRaw!$B:$B,$B40,ConfirmedRaw!BU:BU)</f>
        <v>0</v>
      </c>
      <c r="BT40">
        <f>SUMIF(ConfirmedRaw!$B:$B,$B40,ConfirmedRaw!BV:BV)</f>
        <v>0</v>
      </c>
      <c r="BU40">
        <f>SUMIF(ConfirmedRaw!$B:$B,$B40,ConfirmedRaw!BW:BW)</f>
        <v>0</v>
      </c>
    </row>
    <row r="41" spans="1:73" ht="15" thickBot="1" x14ac:dyDescent="0.35">
      <c r="A41" s="168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0</v>
      </c>
      <c r="BQ41">
        <f>SUMIF(ConfirmedRaw!$B:$B,$B41,ConfirmedRaw!BS:BS)</f>
        <v>0</v>
      </c>
      <c r="BR41">
        <f>SUMIF(ConfirmedRaw!$B:$B,$B41,ConfirmedRaw!BT:BT)</f>
        <v>0</v>
      </c>
      <c r="BS41">
        <f>SUMIF(ConfirmedRaw!$B:$B,$B41,ConfirmedRaw!BU:BU)</f>
        <v>0</v>
      </c>
      <c r="BT41">
        <f>SUMIF(ConfirmedRaw!$B:$B,$B41,ConfirmedRaw!BV:BV)</f>
        <v>0</v>
      </c>
      <c r="BU41">
        <f>SUMIF(ConfirmedRaw!$B:$B,$B41,ConfirmedRaw!BW:BW)</f>
        <v>0</v>
      </c>
    </row>
    <row r="42" spans="1:73" ht="15" thickBot="1" x14ac:dyDescent="0.35">
      <c r="A42" s="168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0</v>
      </c>
      <c r="BQ42">
        <f>SUMIF(ConfirmedRaw!$B:$B,$B42,ConfirmedRaw!BS:BS)</f>
        <v>0</v>
      </c>
      <c r="BR42">
        <f>SUMIF(ConfirmedRaw!$B:$B,$B42,ConfirmedRaw!BT:BT)</f>
        <v>0</v>
      </c>
      <c r="BS42">
        <f>SUMIF(ConfirmedRaw!$B:$B,$B42,ConfirmedRaw!BU:BU)</f>
        <v>0</v>
      </c>
      <c r="BT42">
        <f>SUMIF(ConfirmedRaw!$B:$B,$B42,ConfirmedRaw!BV:BV)</f>
        <v>0</v>
      </c>
      <c r="BU42">
        <f>SUMIF(ConfirmedRaw!$B:$B,$B42,ConfirmedRaw!BW:BW)</f>
        <v>0</v>
      </c>
    </row>
    <row r="43" spans="1:73" ht="15" thickBot="1" x14ac:dyDescent="0.35">
      <c r="A43" s="168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0</v>
      </c>
      <c r="BQ43">
        <f>SUMIF(ConfirmedRaw!$B:$B,$B43,ConfirmedRaw!BS:BS)</f>
        <v>0</v>
      </c>
      <c r="BR43">
        <f>SUMIF(ConfirmedRaw!$B:$B,$B43,ConfirmedRaw!BT:BT)</f>
        <v>0</v>
      </c>
      <c r="BS43">
        <f>SUMIF(ConfirmedRaw!$B:$B,$B43,ConfirmedRaw!BU:BU)</f>
        <v>0</v>
      </c>
      <c r="BT43">
        <f>SUMIF(ConfirmedRaw!$B:$B,$B43,ConfirmedRaw!BV:BV)</f>
        <v>0</v>
      </c>
      <c r="BU43">
        <f>SUMIF(ConfirmedRaw!$B:$B,$B43,ConfirmedRaw!BW:BW)</f>
        <v>0</v>
      </c>
    </row>
    <row r="44" spans="1:73" ht="15" thickBot="1" x14ac:dyDescent="0.35">
      <c r="A44" s="168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0</v>
      </c>
      <c r="BQ44">
        <f>SUMIF(ConfirmedRaw!$B:$B,$B44,ConfirmedRaw!BS:BS)</f>
        <v>0</v>
      </c>
      <c r="BR44">
        <f>SUMIF(ConfirmedRaw!$B:$B,$B44,ConfirmedRaw!BT:BT)</f>
        <v>0</v>
      </c>
      <c r="BS44">
        <f>SUMIF(ConfirmedRaw!$B:$B,$B44,ConfirmedRaw!BU:BU)</f>
        <v>0</v>
      </c>
      <c r="BT44">
        <f>SUMIF(ConfirmedRaw!$B:$B,$B44,ConfirmedRaw!BV:BV)</f>
        <v>0</v>
      </c>
      <c r="BU44">
        <f>SUMIF(ConfirmedRaw!$B:$B,$B44,ConfirmedRaw!BW:BW)</f>
        <v>0</v>
      </c>
    </row>
    <row r="45" spans="1:73" ht="15" thickBot="1" x14ac:dyDescent="0.35">
      <c r="A45" s="168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0</v>
      </c>
      <c r="BQ45">
        <f>SUMIF(ConfirmedRaw!$B:$B,$B45,ConfirmedRaw!BS:BS)</f>
        <v>0</v>
      </c>
      <c r="BR45">
        <f>SUMIF(ConfirmedRaw!$B:$B,$B45,ConfirmedRaw!BT:BT)</f>
        <v>0</v>
      </c>
      <c r="BS45">
        <f>SUMIF(ConfirmedRaw!$B:$B,$B45,ConfirmedRaw!BU:BU)</f>
        <v>0</v>
      </c>
      <c r="BT45">
        <f>SUMIF(ConfirmedRaw!$B:$B,$B45,ConfirmedRaw!BV:BV)</f>
        <v>0</v>
      </c>
      <c r="BU45">
        <f>SUMIF(ConfirmedRaw!$B:$B,$B45,ConfirmedRaw!BW:BW)</f>
        <v>0</v>
      </c>
    </row>
    <row r="46" spans="1:73" ht="15" thickBot="1" x14ac:dyDescent="0.35">
      <c r="A46" s="168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0</v>
      </c>
      <c r="BQ46">
        <f>SUMIF(ConfirmedRaw!$B:$B,$B46,ConfirmedRaw!BS:BS)</f>
        <v>0</v>
      </c>
      <c r="BR46">
        <f>SUMIF(ConfirmedRaw!$B:$B,$B46,ConfirmedRaw!BT:BT)</f>
        <v>0</v>
      </c>
      <c r="BS46">
        <f>SUMIF(ConfirmedRaw!$B:$B,$B46,ConfirmedRaw!BU:BU)</f>
        <v>0</v>
      </c>
      <c r="BT46">
        <f>SUMIF(ConfirmedRaw!$B:$B,$B46,ConfirmedRaw!BV:BV)</f>
        <v>0</v>
      </c>
      <c r="BU46">
        <f>SUMIF(ConfirmedRaw!$B:$B,$B46,ConfirmedRaw!BW:BW)</f>
        <v>0</v>
      </c>
    </row>
    <row r="47" spans="1:73" ht="15" thickBot="1" x14ac:dyDescent="0.35">
      <c r="A47" s="168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0</v>
      </c>
      <c r="BQ47">
        <f>SUMIF(ConfirmedRaw!$B:$B,$B47,ConfirmedRaw!BS:BS)</f>
        <v>0</v>
      </c>
      <c r="BR47">
        <f>SUMIF(ConfirmedRaw!$B:$B,$B47,ConfirmedRaw!BT:BT)</f>
        <v>0</v>
      </c>
      <c r="BS47">
        <f>SUMIF(ConfirmedRaw!$B:$B,$B47,ConfirmedRaw!BU:BU)</f>
        <v>0</v>
      </c>
      <c r="BT47">
        <f>SUMIF(ConfirmedRaw!$B:$B,$B47,ConfirmedRaw!BV:BV)</f>
        <v>0</v>
      </c>
      <c r="BU47">
        <f>SUMIF(ConfirmedRaw!$B:$B,$B47,ConfirmedRaw!BW:BW)</f>
        <v>0</v>
      </c>
    </row>
    <row r="48" spans="1:73" ht="15" thickBot="1" x14ac:dyDescent="0.35">
      <c r="A48" s="168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0</v>
      </c>
      <c r="BQ48">
        <f>SUMIF(ConfirmedRaw!$B:$B,$B48,ConfirmedRaw!BS:BS)</f>
        <v>0</v>
      </c>
      <c r="BR48">
        <f>SUMIF(ConfirmedRaw!$B:$B,$B48,ConfirmedRaw!BT:BT)</f>
        <v>0</v>
      </c>
      <c r="BS48">
        <f>SUMIF(ConfirmedRaw!$B:$B,$B48,ConfirmedRaw!BU:BU)</f>
        <v>0</v>
      </c>
      <c r="BT48">
        <f>SUMIF(ConfirmedRaw!$B:$B,$B48,ConfirmedRaw!BV:BV)</f>
        <v>0</v>
      </c>
      <c r="BU48">
        <f>SUMIF(ConfirmedRaw!$B:$B,$B48,ConfirmedRaw!BW:BW)</f>
        <v>0</v>
      </c>
    </row>
    <row r="49" spans="1:73" ht="15" thickBot="1" x14ac:dyDescent="0.35">
      <c r="A49" s="168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0</v>
      </c>
      <c r="BQ49">
        <f>SUMIF(ConfirmedRaw!$B:$B,$B49,ConfirmedRaw!BS:BS)</f>
        <v>0</v>
      </c>
      <c r="BR49">
        <f>SUMIF(ConfirmedRaw!$B:$B,$B49,ConfirmedRaw!BT:BT)</f>
        <v>0</v>
      </c>
      <c r="BS49">
        <f>SUMIF(ConfirmedRaw!$B:$B,$B49,ConfirmedRaw!BU:BU)</f>
        <v>0</v>
      </c>
      <c r="BT49">
        <f>SUMIF(ConfirmedRaw!$B:$B,$B49,ConfirmedRaw!BV:BV)</f>
        <v>0</v>
      </c>
      <c r="BU49">
        <f>SUMIF(ConfirmedRaw!$B:$B,$B49,ConfirmedRaw!BW:BW)</f>
        <v>0</v>
      </c>
    </row>
    <row r="50" spans="1:73" ht="15" thickBot="1" x14ac:dyDescent="0.35">
      <c r="A50" s="168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0</v>
      </c>
      <c r="BQ50">
        <f>SUMIF(ConfirmedRaw!$B:$B,$B50,ConfirmedRaw!BS:BS)</f>
        <v>0</v>
      </c>
      <c r="BR50">
        <f>SUMIF(ConfirmedRaw!$B:$B,$B50,ConfirmedRaw!BT:BT)</f>
        <v>0</v>
      </c>
      <c r="BS50">
        <f>SUMIF(ConfirmedRaw!$B:$B,$B50,ConfirmedRaw!BU:BU)</f>
        <v>0</v>
      </c>
      <c r="BT50">
        <f>SUMIF(ConfirmedRaw!$B:$B,$B50,ConfirmedRaw!BV:BV)</f>
        <v>0</v>
      </c>
      <c r="BU50">
        <f>SUMIF(ConfirmedRaw!$B:$B,$B50,ConfirmedRaw!BW:BW)</f>
        <v>0</v>
      </c>
    </row>
    <row r="51" spans="1:73" ht="15" thickBot="1" x14ac:dyDescent="0.35">
      <c r="A51" s="168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0</v>
      </c>
      <c r="BQ51">
        <f>SUMIF(ConfirmedRaw!$B:$B,$B51,ConfirmedRaw!BS:BS)</f>
        <v>0</v>
      </c>
      <c r="BR51">
        <f>SUMIF(ConfirmedRaw!$B:$B,$B51,ConfirmedRaw!BT:BT)</f>
        <v>0</v>
      </c>
      <c r="BS51">
        <f>SUMIF(ConfirmedRaw!$B:$B,$B51,ConfirmedRaw!BU:BU)</f>
        <v>0</v>
      </c>
      <c r="BT51">
        <f>SUMIF(ConfirmedRaw!$B:$B,$B51,ConfirmedRaw!BV:BV)</f>
        <v>0</v>
      </c>
      <c r="BU51">
        <f>SUMIF(ConfirmedRaw!$B:$B,$B51,ConfirmedRaw!BW:BW)</f>
        <v>0</v>
      </c>
    </row>
    <row r="52" spans="1:73" ht="15" thickBot="1" x14ac:dyDescent="0.35">
      <c r="A52" s="168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0</v>
      </c>
      <c r="BQ52">
        <f>SUMIF(ConfirmedRaw!$B:$B,$B52,ConfirmedRaw!BS:BS)</f>
        <v>0</v>
      </c>
      <c r="BR52">
        <f>SUMIF(ConfirmedRaw!$B:$B,$B52,ConfirmedRaw!BT:BT)</f>
        <v>0</v>
      </c>
      <c r="BS52">
        <f>SUMIF(ConfirmedRaw!$B:$B,$B52,ConfirmedRaw!BU:BU)</f>
        <v>0</v>
      </c>
      <c r="BT52">
        <f>SUMIF(ConfirmedRaw!$B:$B,$B52,ConfirmedRaw!BV:BV)</f>
        <v>0</v>
      </c>
      <c r="BU52">
        <f>SUMIF(ConfirmedRaw!$B:$B,$B52,ConfirmedRaw!BW:BW)</f>
        <v>0</v>
      </c>
    </row>
    <row r="53" spans="1:73" ht="15" thickBot="1" x14ac:dyDescent="0.35">
      <c r="A53" s="168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0</v>
      </c>
      <c r="BQ53">
        <f>SUMIF(ConfirmedRaw!$B:$B,$B53,ConfirmedRaw!BS:BS)</f>
        <v>0</v>
      </c>
      <c r="BR53">
        <f>SUMIF(ConfirmedRaw!$B:$B,$B53,ConfirmedRaw!BT:BT)</f>
        <v>0</v>
      </c>
      <c r="BS53">
        <f>SUMIF(ConfirmedRaw!$B:$B,$B53,ConfirmedRaw!BU:BU)</f>
        <v>0</v>
      </c>
      <c r="BT53">
        <f>SUMIF(ConfirmedRaw!$B:$B,$B53,ConfirmedRaw!BV:BV)</f>
        <v>0</v>
      </c>
      <c r="BU53">
        <f>SUMIF(ConfirmedRaw!$B:$B,$B53,ConfirmedRaw!BW:BW)</f>
        <v>0</v>
      </c>
    </row>
    <row r="54" spans="1:73" ht="15" thickBot="1" x14ac:dyDescent="0.35">
      <c r="A54" s="168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0</v>
      </c>
      <c r="BQ54">
        <f>SUMIF(ConfirmedRaw!$B:$B,$B54,ConfirmedRaw!BS:BS)</f>
        <v>0</v>
      </c>
      <c r="BR54">
        <f>SUMIF(ConfirmedRaw!$B:$B,$B54,ConfirmedRaw!BT:BT)</f>
        <v>0</v>
      </c>
      <c r="BS54">
        <f>SUMIF(ConfirmedRaw!$B:$B,$B54,ConfirmedRaw!BU:BU)</f>
        <v>0</v>
      </c>
      <c r="BT54">
        <f>SUMIF(ConfirmedRaw!$B:$B,$B54,ConfirmedRaw!BV:BV)</f>
        <v>0</v>
      </c>
      <c r="BU54">
        <f>SUMIF(ConfirmedRaw!$B:$B,$B54,ConfirmedRaw!BW:BW)</f>
        <v>0</v>
      </c>
    </row>
    <row r="55" spans="1:73" ht="15" thickBot="1" x14ac:dyDescent="0.35">
      <c r="A55" s="168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0</v>
      </c>
      <c r="BQ55">
        <f>SUMIF(ConfirmedRaw!$B:$B,$B55,ConfirmedRaw!BS:BS)</f>
        <v>0</v>
      </c>
      <c r="BR55">
        <f>SUMIF(ConfirmedRaw!$B:$B,$B55,ConfirmedRaw!BT:BT)</f>
        <v>0</v>
      </c>
      <c r="BS55">
        <f>SUMIF(ConfirmedRaw!$B:$B,$B55,ConfirmedRaw!BU:BU)</f>
        <v>0</v>
      </c>
      <c r="BT55">
        <f>SUMIF(ConfirmedRaw!$B:$B,$B55,ConfirmedRaw!BV:BV)</f>
        <v>0</v>
      </c>
      <c r="BU55">
        <f>SUMIF(ConfirmedRaw!$B:$B,$B55,ConfirmedRaw!BW:BW)</f>
        <v>0</v>
      </c>
    </row>
    <row r="56" spans="1:73" ht="15" thickBot="1" x14ac:dyDescent="0.35">
      <c r="A56" s="168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0</v>
      </c>
      <c r="BQ56">
        <f>SUMIF(ConfirmedRaw!$B:$B,$B56,ConfirmedRaw!BS:BS)</f>
        <v>0</v>
      </c>
      <c r="BR56">
        <f>SUMIF(ConfirmedRaw!$B:$B,$B56,ConfirmedRaw!BT:BT)</f>
        <v>0</v>
      </c>
      <c r="BS56">
        <f>SUMIF(ConfirmedRaw!$B:$B,$B56,ConfirmedRaw!BU:BU)</f>
        <v>0</v>
      </c>
      <c r="BT56">
        <f>SUMIF(ConfirmedRaw!$B:$B,$B56,ConfirmedRaw!BV:BV)</f>
        <v>0</v>
      </c>
      <c r="BU56">
        <f>SUMIF(ConfirmedRaw!$B:$B,$B56,ConfirmedRaw!BW:BW)</f>
        <v>0</v>
      </c>
    </row>
    <row r="57" spans="1:73" ht="15" thickBot="1" x14ac:dyDescent="0.35">
      <c r="A57" s="168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0</v>
      </c>
      <c r="BQ57">
        <f>SUMIF(ConfirmedRaw!$B:$B,$B57,ConfirmedRaw!BS:BS)</f>
        <v>0</v>
      </c>
      <c r="BR57">
        <f>SUMIF(ConfirmedRaw!$B:$B,$B57,ConfirmedRaw!BT:BT)</f>
        <v>0</v>
      </c>
      <c r="BS57">
        <f>SUMIF(ConfirmedRaw!$B:$B,$B57,ConfirmedRaw!BU:BU)</f>
        <v>0</v>
      </c>
      <c r="BT57">
        <f>SUMIF(ConfirmedRaw!$B:$B,$B57,ConfirmedRaw!BV:BV)</f>
        <v>0</v>
      </c>
      <c r="BU57">
        <f>SUMIF(ConfirmedRaw!$B:$B,$B57,ConfirmedRaw!BW:BW)</f>
        <v>0</v>
      </c>
    </row>
    <row r="58" spans="1:73" ht="15" thickBot="1" x14ac:dyDescent="0.35">
      <c r="A58" s="168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0</v>
      </c>
      <c r="BQ58">
        <f>SUMIF(ConfirmedRaw!$B:$B,$B58,ConfirmedRaw!BS:BS)</f>
        <v>0</v>
      </c>
      <c r="BR58">
        <f>SUMIF(ConfirmedRaw!$B:$B,$B58,ConfirmedRaw!BT:BT)</f>
        <v>0</v>
      </c>
      <c r="BS58">
        <f>SUMIF(ConfirmedRaw!$B:$B,$B58,ConfirmedRaw!BU:BU)</f>
        <v>0</v>
      </c>
      <c r="BT58">
        <f>SUMIF(ConfirmedRaw!$B:$B,$B58,ConfirmedRaw!BV:BV)</f>
        <v>0</v>
      </c>
      <c r="BU58">
        <f>SUMIF(ConfirmedRaw!$B:$B,$B58,ConfirmedRaw!BW:BW)</f>
        <v>0</v>
      </c>
    </row>
    <row r="59" spans="1:73" ht="15" thickBot="1" x14ac:dyDescent="0.35">
      <c r="A59" s="168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0</v>
      </c>
      <c r="BQ59">
        <f>SUMIF(ConfirmedRaw!$B:$B,$B59,ConfirmedRaw!BS:BS)</f>
        <v>0</v>
      </c>
      <c r="BR59">
        <f>SUMIF(ConfirmedRaw!$B:$B,$B59,ConfirmedRaw!BT:BT)</f>
        <v>0</v>
      </c>
      <c r="BS59">
        <f>SUMIF(ConfirmedRaw!$B:$B,$B59,ConfirmedRaw!BU:BU)</f>
        <v>0</v>
      </c>
      <c r="BT59">
        <f>SUMIF(ConfirmedRaw!$B:$B,$B59,ConfirmedRaw!BV:BV)</f>
        <v>0</v>
      </c>
      <c r="BU59">
        <f>SUMIF(ConfirmedRaw!$B:$B,$B59,ConfirmedRaw!BW:BW)</f>
        <v>0</v>
      </c>
    </row>
    <row r="60" spans="1:73" ht="15" thickBot="1" x14ac:dyDescent="0.35">
      <c r="A60" s="168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0</v>
      </c>
      <c r="BQ60">
        <f>SUMIF(ConfirmedRaw!$B:$B,$B60,ConfirmedRaw!BS:BS)</f>
        <v>0</v>
      </c>
      <c r="BR60">
        <f>SUMIF(ConfirmedRaw!$B:$B,$B60,ConfirmedRaw!BT:BT)</f>
        <v>0</v>
      </c>
      <c r="BS60">
        <f>SUMIF(ConfirmedRaw!$B:$B,$B60,ConfirmedRaw!BU:BU)</f>
        <v>0</v>
      </c>
      <c r="BT60">
        <f>SUMIF(ConfirmedRaw!$B:$B,$B60,ConfirmedRaw!BV:BV)</f>
        <v>0</v>
      </c>
      <c r="BU60">
        <f>SUMIF(ConfirmedRaw!$B:$B,$B60,ConfirmedRaw!BW:BW)</f>
        <v>0</v>
      </c>
    </row>
    <row r="61" spans="1:73" ht="15" thickBot="1" x14ac:dyDescent="0.35">
      <c r="A61" s="168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0</v>
      </c>
      <c r="BQ61">
        <f>SUMIF(ConfirmedRaw!$B:$B,$B61,ConfirmedRaw!BS:BS)</f>
        <v>0</v>
      </c>
      <c r="BR61">
        <f>SUMIF(ConfirmedRaw!$B:$B,$B61,ConfirmedRaw!BT:BT)</f>
        <v>0</v>
      </c>
      <c r="BS61">
        <f>SUMIF(ConfirmedRaw!$B:$B,$B61,ConfirmedRaw!BU:BU)</f>
        <v>0</v>
      </c>
      <c r="BT61">
        <f>SUMIF(ConfirmedRaw!$B:$B,$B61,ConfirmedRaw!BV:BV)</f>
        <v>0</v>
      </c>
      <c r="BU61">
        <f>SUMIF(ConfirmedRaw!$B:$B,$B61,ConfirmedRaw!BW:BW)</f>
        <v>0</v>
      </c>
    </row>
    <row r="62" spans="1:73" ht="15" thickBot="1" x14ac:dyDescent="0.35">
      <c r="A62" s="168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0</v>
      </c>
      <c r="BQ62">
        <f>SUMIF(ConfirmedRaw!$B:$B,$B62,ConfirmedRaw!BS:BS)</f>
        <v>0</v>
      </c>
      <c r="BR62">
        <f>SUMIF(ConfirmedRaw!$B:$B,$B62,ConfirmedRaw!BT:BT)</f>
        <v>0</v>
      </c>
      <c r="BS62">
        <f>SUMIF(ConfirmedRaw!$B:$B,$B62,ConfirmedRaw!BU:BU)</f>
        <v>0</v>
      </c>
      <c r="BT62">
        <f>SUMIF(ConfirmedRaw!$B:$B,$B62,ConfirmedRaw!BV:BV)</f>
        <v>0</v>
      </c>
      <c r="BU62">
        <f>SUMIF(ConfirmedRaw!$B:$B,$B62,ConfirmedRaw!BW:BW)</f>
        <v>0</v>
      </c>
    </row>
    <row r="63" spans="1:73" ht="15" thickBot="1" x14ac:dyDescent="0.35">
      <c r="A63" s="168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0</v>
      </c>
      <c r="BQ63">
        <f>SUMIF(ConfirmedRaw!$B:$B,$B63,ConfirmedRaw!BS:BS)</f>
        <v>0</v>
      </c>
      <c r="BR63">
        <f>SUMIF(ConfirmedRaw!$B:$B,$B63,ConfirmedRaw!BT:BT)</f>
        <v>0</v>
      </c>
      <c r="BS63">
        <f>SUMIF(ConfirmedRaw!$B:$B,$B63,ConfirmedRaw!BU:BU)</f>
        <v>0</v>
      </c>
      <c r="BT63">
        <f>SUMIF(ConfirmedRaw!$B:$B,$B63,ConfirmedRaw!BV:BV)</f>
        <v>0</v>
      </c>
      <c r="BU63">
        <f>SUMIF(ConfirmedRaw!$B:$B,$B63,ConfirmedRaw!BW:BW)</f>
        <v>0</v>
      </c>
    </row>
    <row r="64" spans="1:73" ht="15" thickBot="1" x14ac:dyDescent="0.35">
      <c r="A64" s="168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0</v>
      </c>
      <c r="BQ64">
        <f>SUMIF(ConfirmedRaw!$B:$B,$B64,ConfirmedRaw!BS:BS)</f>
        <v>0</v>
      </c>
      <c r="BR64">
        <f>SUMIF(ConfirmedRaw!$B:$B,$B64,ConfirmedRaw!BT:BT)</f>
        <v>0</v>
      </c>
      <c r="BS64">
        <f>SUMIF(ConfirmedRaw!$B:$B,$B64,ConfirmedRaw!BU:BU)</f>
        <v>0</v>
      </c>
      <c r="BT64">
        <f>SUMIF(ConfirmedRaw!$B:$B,$B64,ConfirmedRaw!BV:BV)</f>
        <v>0</v>
      </c>
      <c r="BU64">
        <f>SUMIF(ConfirmedRaw!$B:$B,$B64,ConfirmedRaw!BW:BW)</f>
        <v>0</v>
      </c>
    </row>
    <row r="65" spans="1:73" ht="15" thickBot="1" x14ac:dyDescent="0.35">
      <c r="A65" s="168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0</v>
      </c>
      <c r="BQ65">
        <f>SUMIF(ConfirmedRaw!$B:$B,$B65,ConfirmedRaw!BS:BS)</f>
        <v>0</v>
      </c>
      <c r="BR65">
        <f>SUMIF(ConfirmedRaw!$B:$B,$B65,ConfirmedRaw!BT:BT)</f>
        <v>0</v>
      </c>
      <c r="BS65">
        <f>SUMIF(ConfirmedRaw!$B:$B,$B65,ConfirmedRaw!BU:BU)</f>
        <v>0</v>
      </c>
      <c r="BT65">
        <f>SUMIF(ConfirmedRaw!$B:$B,$B65,ConfirmedRaw!BV:BV)</f>
        <v>0</v>
      </c>
      <c r="BU65">
        <f>SUMIF(ConfirmedRaw!$B:$B,$B65,ConfirmedRaw!BW:BW)</f>
        <v>0</v>
      </c>
    </row>
    <row r="66" spans="1:73" ht="15" thickBot="1" x14ac:dyDescent="0.35">
      <c r="A66" s="168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0</v>
      </c>
      <c r="BQ66">
        <f>SUMIF(ConfirmedRaw!$B:$B,$B66,ConfirmedRaw!BS:BS)</f>
        <v>0</v>
      </c>
      <c r="BR66">
        <f>SUMIF(ConfirmedRaw!$B:$B,$B66,ConfirmedRaw!BT:BT)</f>
        <v>0</v>
      </c>
      <c r="BS66">
        <f>SUMIF(ConfirmedRaw!$B:$B,$B66,ConfirmedRaw!BU:BU)</f>
        <v>0</v>
      </c>
      <c r="BT66">
        <f>SUMIF(ConfirmedRaw!$B:$B,$B66,ConfirmedRaw!BV:BV)</f>
        <v>0</v>
      </c>
      <c r="BU66">
        <f>SUMIF(ConfirmedRaw!$B:$B,$B66,ConfirmedRaw!BW:BW)</f>
        <v>0</v>
      </c>
    </row>
    <row r="67" spans="1:73" ht="15" thickBot="1" x14ac:dyDescent="0.35">
      <c r="A67" s="168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0</v>
      </c>
      <c r="BQ67">
        <f>SUMIF(ConfirmedRaw!$B:$B,$B67,ConfirmedRaw!BS:BS)</f>
        <v>0</v>
      </c>
      <c r="BR67">
        <f>SUMIF(ConfirmedRaw!$B:$B,$B67,ConfirmedRaw!BT:BT)</f>
        <v>0</v>
      </c>
      <c r="BS67">
        <f>SUMIF(ConfirmedRaw!$B:$B,$B67,ConfirmedRaw!BU:BU)</f>
        <v>0</v>
      </c>
      <c r="BT67">
        <f>SUMIF(ConfirmedRaw!$B:$B,$B67,ConfirmedRaw!BV:BV)</f>
        <v>0</v>
      </c>
      <c r="BU67">
        <f>SUMIF(ConfirmedRaw!$B:$B,$B67,ConfirmedRaw!BW:BW)</f>
        <v>0</v>
      </c>
    </row>
    <row r="68" spans="1:73" ht="15" thickBot="1" x14ac:dyDescent="0.35">
      <c r="A68" s="168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0</v>
      </c>
      <c r="BQ68">
        <f>SUMIF(ConfirmedRaw!$B:$B,$B68,ConfirmedRaw!BS:BS)</f>
        <v>0</v>
      </c>
      <c r="BR68">
        <f>SUMIF(ConfirmedRaw!$B:$B,$B68,ConfirmedRaw!BT:BT)</f>
        <v>0</v>
      </c>
      <c r="BS68">
        <f>SUMIF(ConfirmedRaw!$B:$B,$B68,ConfirmedRaw!BU:BU)</f>
        <v>0</v>
      </c>
      <c r="BT68">
        <f>SUMIF(ConfirmedRaw!$B:$B,$B68,ConfirmedRaw!BV:BV)</f>
        <v>0</v>
      </c>
      <c r="BU68">
        <f>SUMIF(ConfirmedRaw!$B:$B,$B68,ConfirmedRaw!BW:BW)</f>
        <v>0</v>
      </c>
    </row>
    <row r="69" spans="1:73" ht="15" thickBot="1" x14ac:dyDescent="0.35">
      <c r="A69" s="168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0</v>
      </c>
      <c r="BQ69">
        <f>SUMIF(ConfirmedRaw!$B:$B,$B69,ConfirmedRaw!BS:BS)</f>
        <v>0</v>
      </c>
      <c r="BR69">
        <f>SUMIF(ConfirmedRaw!$B:$B,$B69,ConfirmedRaw!BT:BT)</f>
        <v>0</v>
      </c>
      <c r="BS69">
        <f>SUMIF(ConfirmedRaw!$B:$B,$B69,ConfirmedRaw!BU:BU)</f>
        <v>0</v>
      </c>
      <c r="BT69">
        <f>SUMIF(ConfirmedRaw!$B:$B,$B69,ConfirmedRaw!BV:BV)</f>
        <v>0</v>
      </c>
      <c r="BU69">
        <f>SUMIF(ConfirmedRaw!$B:$B,$B69,ConfirmedRaw!BW:BW)</f>
        <v>0</v>
      </c>
    </row>
    <row r="70" spans="1:73" ht="15" thickBot="1" x14ac:dyDescent="0.35">
      <c r="A70" s="168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0</v>
      </c>
      <c r="BQ70">
        <f>SUMIF(ConfirmedRaw!$B:$B,$B70,ConfirmedRaw!BS:BS)</f>
        <v>0</v>
      </c>
      <c r="BR70">
        <f>SUMIF(ConfirmedRaw!$B:$B,$B70,ConfirmedRaw!BT:BT)</f>
        <v>0</v>
      </c>
      <c r="BS70">
        <f>SUMIF(ConfirmedRaw!$B:$B,$B70,ConfirmedRaw!BU:BU)</f>
        <v>0</v>
      </c>
      <c r="BT70">
        <f>SUMIF(ConfirmedRaw!$B:$B,$B70,ConfirmedRaw!BV:BV)</f>
        <v>0</v>
      </c>
      <c r="BU70">
        <f>SUMIF(ConfirmedRaw!$B:$B,$B70,ConfirmedRaw!BW:BW)</f>
        <v>0</v>
      </c>
    </row>
    <row r="71" spans="1:73" ht="15" thickBot="1" x14ac:dyDescent="0.35">
      <c r="A71" s="168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0</v>
      </c>
      <c r="BQ71">
        <f>SUMIF(ConfirmedRaw!$B:$B,$B71,ConfirmedRaw!BS:BS)</f>
        <v>0</v>
      </c>
      <c r="BR71">
        <f>SUMIF(ConfirmedRaw!$B:$B,$B71,ConfirmedRaw!BT:BT)</f>
        <v>0</v>
      </c>
      <c r="BS71">
        <f>SUMIF(ConfirmedRaw!$B:$B,$B71,ConfirmedRaw!BU:BU)</f>
        <v>0</v>
      </c>
      <c r="BT71">
        <f>SUMIF(ConfirmedRaw!$B:$B,$B71,ConfirmedRaw!BV:BV)</f>
        <v>0</v>
      </c>
      <c r="BU71">
        <f>SUMIF(ConfirmedRaw!$B:$B,$B71,ConfirmedRaw!BW:BW)</f>
        <v>0</v>
      </c>
    </row>
    <row r="72" spans="1:73" ht="15" thickBot="1" x14ac:dyDescent="0.35">
      <c r="A72" s="168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0</v>
      </c>
      <c r="BQ72">
        <f>SUMIF(ConfirmedRaw!$B:$B,$B72,ConfirmedRaw!BS:BS)</f>
        <v>0</v>
      </c>
      <c r="BR72">
        <f>SUMIF(ConfirmedRaw!$B:$B,$B72,ConfirmedRaw!BT:BT)</f>
        <v>0</v>
      </c>
      <c r="BS72">
        <f>SUMIF(ConfirmedRaw!$B:$B,$B72,ConfirmedRaw!BU:BU)</f>
        <v>0</v>
      </c>
      <c r="BT72">
        <f>SUMIF(ConfirmedRaw!$B:$B,$B72,ConfirmedRaw!BV:BV)</f>
        <v>0</v>
      </c>
      <c r="BU72">
        <f>SUMIF(ConfirmedRaw!$B:$B,$B72,ConfirmedRaw!BW:BW)</f>
        <v>0</v>
      </c>
    </row>
    <row r="73" spans="1:73" ht="15" thickBot="1" x14ac:dyDescent="0.35">
      <c r="A73" s="168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0</v>
      </c>
      <c r="BQ73">
        <f>SUMIF(ConfirmedRaw!$B:$B,$B73,ConfirmedRaw!BS:BS)</f>
        <v>0</v>
      </c>
      <c r="BR73">
        <f>SUMIF(ConfirmedRaw!$B:$B,$B73,ConfirmedRaw!BT:BT)</f>
        <v>0</v>
      </c>
      <c r="BS73">
        <f>SUMIF(ConfirmedRaw!$B:$B,$B73,ConfirmedRaw!BU:BU)</f>
        <v>0</v>
      </c>
      <c r="BT73">
        <f>SUMIF(ConfirmedRaw!$B:$B,$B73,ConfirmedRaw!BV:BV)</f>
        <v>0</v>
      </c>
      <c r="BU73">
        <f>SUMIF(ConfirmedRaw!$B:$B,$B73,ConfirmedRaw!BW:BW)</f>
        <v>0</v>
      </c>
    </row>
    <row r="74" spans="1:73" ht="15" thickBot="1" x14ac:dyDescent="0.35">
      <c r="A74" s="168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0</v>
      </c>
      <c r="BQ74">
        <f>SUMIF(ConfirmedRaw!$B:$B,$B74,ConfirmedRaw!BS:BS)</f>
        <v>0</v>
      </c>
      <c r="BR74">
        <f>SUMIF(ConfirmedRaw!$B:$B,$B74,ConfirmedRaw!BT:BT)</f>
        <v>0</v>
      </c>
      <c r="BS74">
        <f>SUMIF(ConfirmedRaw!$B:$B,$B74,ConfirmedRaw!BU:BU)</f>
        <v>0</v>
      </c>
      <c r="BT74">
        <f>SUMIF(ConfirmedRaw!$B:$B,$B74,ConfirmedRaw!BV:BV)</f>
        <v>0</v>
      </c>
      <c r="BU74">
        <f>SUMIF(ConfirmedRaw!$B:$B,$B74,ConfirmedRaw!BW:BW)</f>
        <v>0</v>
      </c>
    </row>
    <row r="75" spans="1:73" ht="15" thickBot="1" x14ac:dyDescent="0.35">
      <c r="A75" s="168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0</v>
      </c>
      <c r="BQ75">
        <f>SUMIF(ConfirmedRaw!$B:$B,$B75,ConfirmedRaw!BS:BS)</f>
        <v>0</v>
      </c>
      <c r="BR75">
        <f>SUMIF(ConfirmedRaw!$B:$B,$B75,ConfirmedRaw!BT:BT)</f>
        <v>0</v>
      </c>
      <c r="BS75">
        <f>SUMIF(ConfirmedRaw!$B:$B,$B75,ConfirmedRaw!BU:BU)</f>
        <v>0</v>
      </c>
      <c r="BT75">
        <f>SUMIF(ConfirmedRaw!$B:$B,$B75,ConfirmedRaw!BV:BV)</f>
        <v>0</v>
      </c>
      <c r="BU75">
        <f>SUMIF(ConfirmedRaw!$B:$B,$B75,ConfirmedRaw!BW:BW)</f>
        <v>0</v>
      </c>
    </row>
    <row r="76" spans="1:73" ht="15" thickBot="1" x14ac:dyDescent="0.35">
      <c r="A76" s="168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0</v>
      </c>
      <c r="BQ76">
        <f>SUMIF(ConfirmedRaw!$B:$B,$B76,ConfirmedRaw!BS:BS)</f>
        <v>0</v>
      </c>
      <c r="BR76">
        <f>SUMIF(ConfirmedRaw!$B:$B,$B76,ConfirmedRaw!BT:BT)</f>
        <v>0</v>
      </c>
      <c r="BS76">
        <f>SUMIF(ConfirmedRaw!$B:$B,$B76,ConfirmedRaw!BU:BU)</f>
        <v>0</v>
      </c>
      <c r="BT76">
        <f>SUMIF(ConfirmedRaw!$B:$B,$B76,ConfirmedRaw!BV:BV)</f>
        <v>0</v>
      </c>
      <c r="BU76">
        <f>SUMIF(ConfirmedRaw!$B:$B,$B76,ConfirmedRaw!BW:BW)</f>
        <v>0</v>
      </c>
    </row>
    <row r="77" spans="1:73" ht="15" thickBot="1" x14ac:dyDescent="0.35">
      <c r="A77" s="168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0</v>
      </c>
      <c r="BQ77">
        <f>SUMIF(ConfirmedRaw!$B:$B,$B77,ConfirmedRaw!BS:BS)</f>
        <v>0</v>
      </c>
      <c r="BR77">
        <f>SUMIF(ConfirmedRaw!$B:$B,$B77,ConfirmedRaw!BT:BT)</f>
        <v>0</v>
      </c>
      <c r="BS77">
        <f>SUMIF(ConfirmedRaw!$B:$B,$B77,ConfirmedRaw!BU:BU)</f>
        <v>0</v>
      </c>
      <c r="BT77">
        <f>SUMIF(ConfirmedRaw!$B:$B,$B77,ConfirmedRaw!BV:BV)</f>
        <v>0</v>
      </c>
      <c r="BU77">
        <f>SUMIF(ConfirmedRaw!$B:$B,$B77,ConfirmedRaw!BW:BW)</f>
        <v>0</v>
      </c>
    </row>
    <row r="78" spans="1:73" ht="15" thickBot="1" x14ac:dyDescent="0.35">
      <c r="A78" s="168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0</v>
      </c>
      <c r="BQ78">
        <f>SUMIF(ConfirmedRaw!$B:$B,$B78,ConfirmedRaw!BS:BS)</f>
        <v>0</v>
      </c>
      <c r="BR78">
        <f>SUMIF(ConfirmedRaw!$B:$B,$B78,ConfirmedRaw!BT:BT)</f>
        <v>0</v>
      </c>
      <c r="BS78">
        <f>SUMIF(ConfirmedRaw!$B:$B,$B78,ConfirmedRaw!BU:BU)</f>
        <v>0</v>
      </c>
      <c r="BT78">
        <f>SUMIF(ConfirmedRaw!$B:$B,$B78,ConfirmedRaw!BV:BV)</f>
        <v>0</v>
      </c>
      <c r="BU78">
        <f>SUMIF(ConfirmedRaw!$B:$B,$B78,ConfirmedRaw!BW:BW)</f>
        <v>0</v>
      </c>
    </row>
    <row r="79" spans="1:73" ht="15" thickBot="1" x14ac:dyDescent="0.35">
      <c r="A79" s="168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0</v>
      </c>
      <c r="BQ79">
        <f>SUMIF(ConfirmedRaw!$B:$B,$B79,ConfirmedRaw!BS:BS)</f>
        <v>0</v>
      </c>
      <c r="BR79">
        <f>SUMIF(ConfirmedRaw!$B:$B,$B79,ConfirmedRaw!BT:BT)</f>
        <v>0</v>
      </c>
      <c r="BS79">
        <f>SUMIF(ConfirmedRaw!$B:$B,$B79,ConfirmedRaw!BU:BU)</f>
        <v>0</v>
      </c>
      <c r="BT79">
        <f>SUMIF(ConfirmedRaw!$B:$B,$B79,ConfirmedRaw!BV:BV)</f>
        <v>0</v>
      </c>
      <c r="BU79">
        <f>SUMIF(ConfirmedRaw!$B:$B,$B79,ConfirmedRaw!BW:BW)</f>
        <v>0</v>
      </c>
    </row>
    <row r="80" spans="1:73" ht="15" thickBot="1" x14ac:dyDescent="0.35">
      <c r="A80" s="168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12</v>
      </c>
      <c r="BC80">
        <f>SUMIF(ConfirmedRaw!$B:$B,$B80,ConfirmedRaw!BE:BE)</f>
        <v>26</v>
      </c>
      <c r="BD80">
        <f>SUMIF(ConfirmedRaw!$B:$B,$B80,ConfirmedRaw!BF:BF)</f>
        <v>41</v>
      </c>
      <c r="BE80">
        <f>SUMIF(ConfirmedRaw!$B:$B,$B80,ConfirmedRaw!BG:BG)</f>
        <v>53</v>
      </c>
      <c r="BF80">
        <f>SUMIF(ConfirmedRaw!$B:$B,$B80,ConfirmedRaw!BH:BH)</f>
        <v>82</v>
      </c>
      <c r="BG80">
        <f>SUMIF(ConfirmedRaw!$B:$B,$B80,ConfirmedRaw!BI:BI)</f>
        <v>93</v>
      </c>
      <c r="BH80">
        <f>SUMIF(ConfirmedRaw!$B:$B,$B80,ConfirmedRaw!BJ:BJ)</f>
        <v>118</v>
      </c>
      <c r="BI80">
        <f>SUMIF(ConfirmedRaw!$B:$B,$B80,ConfirmedRaw!BK:BK)</f>
        <v>164</v>
      </c>
      <c r="BJ80">
        <f>SUMIF(ConfirmedRaw!$B:$B,$B80,ConfirmedRaw!BL:BL)</f>
        <v>203</v>
      </c>
      <c r="BK80">
        <f>SUMIF(ConfirmedRaw!$B:$B,$B80,ConfirmedRaw!BM:BM)</f>
        <v>251</v>
      </c>
      <c r="BL80">
        <f>SUMIF(ConfirmedRaw!$B:$B,$B80,ConfirmedRaw!BN:BN)</f>
        <v>316</v>
      </c>
      <c r="BM80">
        <f>SUMIF(ConfirmedRaw!$B:$B,$B80,ConfirmedRaw!BO:BO)</f>
        <v>367</v>
      </c>
      <c r="BN80">
        <f>SUMIF(ConfirmedRaw!$B:$B,$B80,ConfirmedRaw!BP:BP)</f>
        <v>405</v>
      </c>
      <c r="BO80">
        <f>SUMIF(ConfirmedRaw!$B:$B,$B80,ConfirmedRaw!BQ:BQ)</f>
        <v>475</v>
      </c>
      <c r="BP80">
        <f>SUMIF(ConfirmedRaw!$B:$B,$B80,ConfirmedRaw!BR:BR)</f>
        <v>0</v>
      </c>
      <c r="BQ80">
        <f>SUMIF(ConfirmedRaw!$B:$B,$B80,ConfirmedRaw!BS:BS)</f>
        <v>0</v>
      </c>
      <c r="BR80">
        <f>SUMIF(ConfirmedRaw!$B:$B,$B80,ConfirmedRaw!BT:BT)</f>
        <v>0</v>
      </c>
      <c r="BS80">
        <f>SUMIF(ConfirmedRaw!$B:$B,$B80,ConfirmedRaw!BU:BU)</f>
        <v>0</v>
      </c>
      <c r="BT80">
        <f>SUMIF(ConfirmedRaw!$B:$B,$B80,ConfirmedRaw!BV:BV)</f>
        <v>0</v>
      </c>
      <c r="BU80">
        <f>SUMIF(ConfirmedRaw!$B:$B,$B80,ConfirmedRaw!BW:BW)</f>
        <v>0</v>
      </c>
    </row>
    <row r="81" spans="1:73" ht="15" thickBot="1" x14ac:dyDescent="0.35">
      <c r="A81" s="168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0</v>
      </c>
      <c r="BQ81">
        <f>SUMIF(ConfirmedRaw!$B:$B,$B81,ConfirmedRaw!BS:BS)</f>
        <v>0</v>
      </c>
      <c r="BR81">
        <f>SUMIF(ConfirmedRaw!$B:$B,$B81,ConfirmedRaw!BT:BT)</f>
        <v>0</v>
      </c>
      <c r="BS81">
        <f>SUMIF(ConfirmedRaw!$B:$B,$B81,ConfirmedRaw!BU:BU)</f>
        <v>0</v>
      </c>
      <c r="BT81">
        <f>SUMIF(ConfirmedRaw!$B:$B,$B81,ConfirmedRaw!BV:BV)</f>
        <v>0</v>
      </c>
      <c r="BU81">
        <f>SUMIF(ConfirmedRaw!$B:$B,$B81,ConfirmedRaw!BW:BW)</f>
        <v>0</v>
      </c>
    </row>
    <row r="82" spans="1:73" ht="15" thickBot="1" x14ac:dyDescent="0.35">
      <c r="A82" s="168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0</v>
      </c>
      <c r="BQ82">
        <f>SUMIF(ConfirmedRaw!$B:$B,$B82,ConfirmedRaw!BS:BS)</f>
        <v>0</v>
      </c>
      <c r="BR82">
        <f>SUMIF(ConfirmedRaw!$B:$B,$B82,ConfirmedRaw!BT:BT)</f>
        <v>0</v>
      </c>
      <c r="BS82">
        <f>SUMIF(ConfirmedRaw!$B:$B,$B82,ConfirmedRaw!BU:BU)</f>
        <v>0</v>
      </c>
      <c r="BT82">
        <f>SUMIF(ConfirmedRaw!$B:$B,$B82,ConfirmedRaw!BV:BV)</f>
        <v>0</v>
      </c>
      <c r="BU82">
        <f>SUMIF(ConfirmedRaw!$B:$B,$B82,ConfirmedRaw!BW:BW)</f>
        <v>0</v>
      </c>
    </row>
    <row r="83" spans="1:73" ht="15" thickBot="1" x14ac:dyDescent="0.35">
      <c r="A83" s="168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0</v>
      </c>
      <c r="BQ83">
        <f>SUMIF(ConfirmedRaw!$B:$B,$B83,ConfirmedRaw!BS:BS)</f>
        <v>0</v>
      </c>
      <c r="BR83">
        <f>SUMIF(ConfirmedRaw!$B:$B,$B83,ConfirmedRaw!BT:BT)</f>
        <v>0</v>
      </c>
      <c r="BS83">
        <f>SUMIF(ConfirmedRaw!$B:$B,$B83,ConfirmedRaw!BU:BU)</f>
        <v>0</v>
      </c>
      <c r="BT83">
        <f>SUMIF(ConfirmedRaw!$B:$B,$B83,ConfirmedRaw!BV:BV)</f>
        <v>0</v>
      </c>
      <c r="BU83">
        <f>SUMIF(ConfirmedRaw!$B:$B,$B83,ConfirmedRaw!BW:BW)</f>
        <v>0</v>
      </c>
    </row>
    <row r="84" spans="1:73" ht="15" thickBot="1" x14ac:dyDescent="0.35">
      <c r="A84" s="168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0</v>
      </c>
      <c r="BQ84">
        <f>SUMIF(ConfirmedRaw!$B:$B,$B84,ConfirmedRaw!BS:BS)</f>
        <v>0</v>
      </c>
      <c r="BR84">
        <f>SUMIF(ConfirmedRaw!$B:$B,$B84,ConfirmedRaw!BT:BT)</f>
        <v>0</v>
      </c>
      <c r="BS84">
        <f>SUMIF(ConfirmedRaw!$B:$B,$B84,ConfirmedRaw!BU:BU)</f>
        <v>0</v>
      </c>
      <c r="BT84">
        <f>SUMIF(ConfirmedRaw!$B:$B,$B84,ConfirmedRaw!BV:BV)</f>
        <v>0</v>
      </c>
      <c r="BU84">
        <f>SUMIF(ConfirmedRaw!$B:$B,$B84,ConfirmedRaw!BW:BW)</f>
        <v>0</v>
      </c>
    </row>
    <row r="85" spans="1:73" ht="15" thickBot="1" x14ac:dyDescent="0.35">
      <c r="A85" s="168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0</v>
      </c>
      <c r="BQ85">
        <f>SUMIF(ConfirmedRaw!$B:$B,$B85,ConfirmedRaw!BS:BS)</f>
        <v>0</v>
      </c>
      <c r="BR85">
        <f>SUMIF(ConfirmedRaw!$B:$B,$B85,ConfirmedRaw!BT:BT)</f>
        <v>0</v>
      </c>
      <c r="BS85">
        <f>SUMIF(ConfirmedRaw!$B:$B,$B85,ConfirmedRaw!BU:BU)</f>
        <v>0</v>
      </c>
      <c r="BT85">
        <f>SUMIF(ConfirmedRaw!$B:$B,$B85,ConfirmedRaw!BV:BV)</f>
        <v>0</v>
      </c>
      <c r="BU85">
        <f>SUMIF(ConfirmedRaw!$B:$B,$B85,ConfirmedRaw!BW:BW)</f>
        <v>0</v>
      </c>
    </row>
    <row r="86" spans="1:73" ht="15" thickBot="1" x14ac:dyDescent="0.35">
      <c r="A86" s="168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0</v>
      </c>
      <c r="BQ86">
        <f>SUMIF(ConfirmedRaw!$B:$B,$B86,ConfirmedRaw!BS:BS)</f>
        <v>0</v>
      </c>
      <c r="BR86">
        <f>SUMIF(ConfirmedRaw!$B:$B,$B86,ConfirmedRaw!BT:BT)</f>
        <v>0</v>
      </c>
      <c r="BS86">
        <f>SUMIF(ConfirmedRaw!$B:$B,$B86,ConfirmedRaw!BU:BU)</f>
        <v>0</v>
      </c>
      <c r="BT86">
        <f>SUMIF(ConfirmedRaw!$B:$B,$B86,ConfirmedRaw!BV:BV)</f>
        <v>0</v>
      </c>
      <c r="BU86">
        <f>SUMIF(ConfirmedRaw!$B:$B,$B86,ConfirmedRaw!BW:BW)</f>
        <v>0</v>
      </c>
    </row>
    <row r="87" spans="1:73" ht="15" thickBot="1" x14ac:dyDescent="0.35">
      <c r="A87" s="168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0</v>
      </c>
      <c r="BQ87">
        <f>SUMIF(ConfirmedRaw!$B:$B,$B87,ConfirmedRaw!BS:BS)</f>
        <v>0</v>
      </c>
      <c r="BR87">
        <f>SUMIF(ConfirmedRaw!$B:$B,$B87,ConfirmedRaw!BT:BT)</f>
        <v>0</v>
      </c>
      <c r="BS87">
        <f>SUMIF(ConfirmedRaw!$B:$B,$B87,ConfirmedRaw!BU:BU)</f>
        <v>0</v>
      </c>
      <c r="BT87">
        <f>SUMIF(ConfirmedRaw!$B:$B,$B87,ConfirmedRaw!BV:BV)</f>
        <v>0</v>
      </c>
      <c r="BU87">
        <f>SUMIF(ConfirmedRaw!$B:$B,$B87,ConfirmedRaw!BW:BW)</f>
        <v>0</v>
      </c>
    </row>
    <row r="88" spans="1:73" ht="15" thickBot="1" x14ac:dyDescent="0.35">
      <c r="A88" s="168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0</v>
      </c>
      <c r="BQ88">
        <f>SUMIF(ConfirmedRaw!$B:$B,$B88,ConfirmedRaw!BS:BS)</f>
        <v>0</v>
      </c>
      <c r="BR88">
        <f>SUMIF(ConfirmedRaw!$B:$B,$B88,ConfirmedRaw!BT:BT)</f>
        <v>0</v>
      </c>
      <c r="BS88">
        <f>SUMIF(ConfirmedRaw!$B:$B,$B88,ConfirmedRaw!BU:BU)</f>
        <v>0</v>
      </c>
      <c r="BT88">
        <f>SUMIF(ConfirmedRaw!$B:$B,$B88,ConfirmedRaw!BV:BV)</f>
        <v>0</v>
      </c>
      <c r="BU88">
        <f>SUMIF(ConfirmedRaw!$B:$B,$B88,ConfirmedRaw!BW:BW)</f>
        <v>0</v>
      </c>
    </row>
    <row r="89" spans="1:73" ht="15" thickBot="1" x14ac:dyDescent="0.35">
      <c r="A89" s="168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0</v>
      </c>
      <c r="BQ89">
        <f>SUMIF(ConfirmedRaw!$B:$B,$B89,ConfirmedRaw!BS:BS)</f>
        <v>0</v>
      </c>
      <c r="BR89">
        <f>SUMIF(ConfirmedRaw!$B:$B,$B89,ConfirmedRaw!BT:BT)</f>
        <v>0</v>
      </c>
      <c r="BS89">
        <f>SUMIF(ConfirmedRaw!$B:$B,$B89,ConfirmedRaw!BU:BU)</f>
        <v>0</v>
      </c>
      <c r="BT89">
        <f>SUMIF(ConfirmedRaw!$B:$B,$B89,ConfirmedRaw!BV:BV)</f>
        <v>0</v>
      </c>
      <c r="BU89">
        <f>SUMIF(ConfirmedRaw!$B:$B,$B89,ConfirmedRaw!BW:BW)</f>
        <v>0</v>
      </c>
    </row>
    <row r="90" spans="1:73" ht="15" thickBot="1" x14ac:dyDescent="0.35">
      <c r="A90" s="168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0</v>
      </c>
      <c r="BQ90">
        <f>SUMIF(ConfirmedRaw!$B:$B,$B90,ConfirmedRaw!BS:BS)</f>
        <v>0</v>
      </c>
      <c r="BR90">
        <f>SUMIF(ConfirmedRaw!$B:$B,$B90,ConfirmedRaw!BT:BT)</f>
        <v>0</v>
      </c>
      <c r="BS90">
        <f>SUMIF(ConfirmedRaw!$B:$B,$B90,ConfirmedRaw!BU:BU)</f>
        <v>0</v>
      </c>
      <c r="BT90">
        <f>SUMIF(ConfirmedRaw!$B:$B,$B90,ConfirmedRaw!BV:BV)</f>
        <v>0</v>
      </c>
      <c r="BU90">
        <f>SUMIF(ConfirmedRaw!$B:$B,$B90,ConfirmedRaw!BW:BW)</f>
        <v>0</v>
      </c>
    </row>
    <row r="91" spans="1:73" ht="15" thickBot="1" x14ac:dyDescent="0.35">
      <c r="A91" s="168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0</v>
      </c>
      <c r="BQ91">
        <f>SUMIF(ConfirmedRaw!$B:$B,$B91,ConfirmedRaw!BS:BS)</f>
        <v>0</v>
      </c>
      <c r="BR91">
        <f>SUMIF(ConfirmedRaw!$B:$B,$B91,ConfirmedRaw!BT:BT)</f>
        <v>0</v>
      </c>
      <c r="BS91">
        <f>SUMIF(ConfirmedRaw!$B:$B,$B91,ConfirmedRaw!BU:BU)</f>
        <v>0</v>
      </c>
      <c r="BT91">
        <f>SUMIF(ConfirmedRaw!$B:$B,$B91,ConfirmedRaw!BV:BV)</f>
        <v>0</v>
      </c>
      <c r="BU91">
        <f>SUMIF(ConfirmedRaw!$B:$B,$B91,ConfirmedRaw!BW:BW)</f>
        <v>0</v>
      </c>
    </row>
    <row r="92" spans="1:73" ht="15" thickBot="1" x14ac:dyDescent="0.35">
      <c r="A92" s="168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0</v>
      </c>
      <c r="BQ92">
        <f>SUMIF(ConfirmedRaw!$B:$B,$B92,ConfirmedRaw!BS:BS)</f>
        <v>0</v>
      </c>
      <c r="BR92">
        <f>SUMIF(ConfirmedRaw!$B:$B,$B92,ConfirmedRaw!BT:BT)</f>
        <v>0</v>
      </c>
      <c r="BS92">
        <f>SUMIF(ConfirmedRaw!$B:$B,$B92,ConfirmedRaw!BU:BU)</f>
        <v>0</v>
      </c>
      <c r="BT92">
        <f>SUMIF(ConfirmedRaw!$B:$B,$B92,ConfirmedRaw!BV:BV)</f>
        <v>0</v>
      </c>
      <c r="BU92">
        <f>SUMIF(ConfirmedRaw!$B:$B,$B92,ConfirmedRaw!BW:BW)</f>
        <v>0</v>
      </c>
    </row>
    <row r="93" spans="1:73" ht="15" thickBot="1" x14ac:dyDescent="0.35">
      <c r="A93" s="168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</row>
    <row r="94" spans="1:73" ht="15" thickBot="1" x14ac:dyDescent="0.35">
      <c r="A94" s="168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0</v>
      </c>
      <c r="BQ94">
        <f>SUMIF(ConfirmedRaw!$B:$B,$B94,ConfirmedRaw!BS:BS)</f>
        <v>0</v>
      </c>
      <c r="BR94">
        <f>SUMIF(ConfirmedRaw!$B:$B,$B94,ConfirmedRaw!BT:BT)</f>
        <v>0</v>
      </c>
      <c r="BS94">
        <f>SUMIF(ConfirmedRaw!$B:$B,$B94,ConfirmedRaw!BU:BU)</f>
        <v>0</v>
      </c>
      <c r="BT94">
        <f>SUMIF(ConfirmedRaw!$B:$B,$B94,ConfirmedRaw!BV:BV)</f>
        <v>0</v>
      </c>
      <c r="BU94">
        <f>SUMIF(ConfirmedRaw!$B:$B,$B94,ConfirmedRaw!BW:BW)</f>
        <v>0</v>
      </c>
    </row>
    <row r="95" spans="1:73" ht="15" thickBot="1" x14ac:dyDescent="0.35">
      <c r="A95" s="168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</row>
    <row r="96" spans="1:73" ht="15" thickBot="1" x14ac:dyDescent="0.35">
      <c r="A96" s="168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0</v>
      </c>
      <c r="BQ96">
        <f>SUMIF(ConfirmedRaw!$B:$B,$B96,ConfirmedRaw!BS:BS)</f>
        <v>0</v>
      </c>
      <c r="BR96">
        <f>SUMIF(ConfirmedRaw!$B:$B,$B96,ConfirmedRaw!BT:BT)</f>
        <v>0</v>
      </c>
      <c r="BS96">
        <f>SUMIF(ConfirmedRaw!$B:$B,$B96,ConfirmedRaw!BU:BU)</f>
        <v>0</v>
      </c>
      <c r="BT96">
        <f>SUMIF(ConfirmedRaw!$B:$B,$B96,ConfirmedRaw!BV:BV)</f>
        <v>0</v>
      </c>
      <c r="BU96">
        <f>SUMIF(ConfirmedRaw!$B:$B,$B96,ConfirmedRaw!BW:BW)</f>
        <v>0</v>
      </c>
    </row>
    <row r="97" spans="1:73" ht="15" thickBot="1" x14ac:dyDescent="0.35">
      <c r="A97" s="168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0</v>
      </c>
      <c r="BQ97">
        <f>SUMIF(ConfirmedRaw!$B:$B,$B97,ConfirmedRaw!BS:BS)</f>
        <v>0</v>
      </c>
      <c r="BR97">
        <f>SUMIF(ConfirmedRaw!$B:$B,$B97,ConfirmedRaw!BT:BT)</f>
        <v>0</v>
      </c>
      <c r="BS97">
        <f>SUMIF(ConfirmedRaw!$B:$B,$B97,ConfirmedRaw!BU:BU)</f>
        <v>0</v>
      </c>
      <c r="BT97">
        <f>SUMIF(ConfirmedRaw!$B:$B,$B97,ConfirmedRaw!BV:BV)</f>
        <v>0</v>
      </c>
      <c r="BU97">
        <f>SUMIF(ConfirmedRaw!$B:$B,$B97,ConfirmedRaw!BW:BW)</f>
        <v>0</v>
      </c>
    </row>
    <row r="98" spans="1:73" ht="15" thickBot="1" x14ac:dyDescent="0.35">
      <c r="A98" s="168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0</v>
      </c>
      <c r="BQ98">
        <f>SUMIF(ConfirmedRaw!$B:$B,$B98,ConfirmedRaw!BS:BS)</f>
        <v>0</v>
      </c>
      <c r="BR98">
        <f>SUMIF(ConfirmedRaw!$B:$B,$B98,ConfirmedRaw!BT:BT)</f>
        <v>0</v>
      </c>
      <c r="BS98">
        <f>SUMIF(ConfirmedRaw!$B:$B,$B98,ConfirmedRaw!BU:BU)</f>
        <v>0</v>
      </c>
      <c r="BT98">
        <f>SUMIF(ConfirmedRaw!$B:$B,$B98,ConfirmedRaw!BV:BV)</f>
        <v>0</v>
      </c>
      <c r="BU98">
        <f>SUMIF(ConfirmedRaw!$B:$B,$B98,ConfirmedRaw!BW:BW)</f>
        <v>0</v>
      </c>
    </row>
    <row r="99" spans="1:73" ht="15" thickBot="1" x14ac:dyDescent="0.35">
      <c r="A99" s="168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0</v>
      </c>
      <c r="BQ99">
        <f>SUMIF(ConfirmedRaw!$B:$B,$B99,ConfirmedRaw!BS:BS)</f>
        <v>0</v>
      </c>
      <c r="BR99">
        <f>SUMIF(ConfirmedRaw!$B:$B,$B99,ConfirmedRaw!BT:BT)</f>
        <v>0</v>
      </c>
      <c r="BS99">
        <f>SUMIF(ConfirmedRaw!$B:$B,$B99,ConfirmedRaw!BU:BU)</f>
        <v>0</v>
      </c>
      <c r="BT99">
        <f>SUMIF(ConfirmedRaw!$B:$B,$B99,ConfirmedRaw!BV:BV)</f>
        <v>0</v>
      </c>
      <c r="BU99">
        <f>SUMIF(ConfirmedRaw!$B:$B,$B99,ConfirmedRaw!BW:BW)</f>
        <v>0</v>
      </c>
    </row>
    <row r="100" spans="1:73" ht="15" thickBot="1" x14ac:dyDescent="0.35">
      <c r="A100" s="168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0</v>
      </c>
      <c r="BQ100">
        <f>SUMIF(ConfirmedRaw!$B:$B,$B100,ConfirmedRaw!BS:BS)</f>
        <v>0</v>
      </c>
      <c r="BR100">
        <f>SUMIF(ConfirmedRaw!$B:$B,$B100,ConfirmedRaw!BT:BT)</f>
        <v>0</v>
      </c>
      <c r="BS100">
        <f>SUMIF(ConfirmedRaw!$B:$B,$B100,ConfirmedRaw!BU:BU)</f>
        <v>0</v>
      </c>
      <c r="BT100">
        <f>SUMIF(ConfirmedRaw!$B:$B,$B100,ConfirmedRaw!BV:BV)</f>
        <v>0</v>
      </c>
      <c r="BU100">
        <f>SUMIF(ConfirmedRaw!$B:$B,$B100,ConfirmedRaw!BW:BW)</f>
        <v>0</v>
      </c>
    </row>
    <row r="101" spans="1:73" ht="15" thickBot="1" x14ac:dyDescent="0.35">
      <c r="A101" s="168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</row>
    <row r="102" spans="1:73" ht="15" thickBot="1" x14ac:dyDescent="0.35">
      <c r="A102" s="168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0</v>
      </c>
      <c r="BQ102">
        <f>SUMIF(ConfirmedRaw!$B:$B,$B102,ConfirmedRaw!BS:BS)</f>
        <v>0</v>
      </c>
      <c r="BR102">
        <f>SUMIF(ConfirmedRaw!$B:$B,$B102,ConfirmedRaw!BT:BT)</f>
        <v>0</v>
      </c>
      <c r="BS102">
        <f>SUMIF(ConfirmedRaw!$B:$B,$B102,ConfirmedRaw!BU:BU)</f>
        <v>0</v>
      </c>
      <c r="BT102">
        <f>SUMIF(ConfirmedRaw!$B:$B,$B102,ConfirmedRaw!BV:BV)</f>
        <v>0</v>
      </c>
      <c r="BU102">
        <f>SUMIF(ConfirmedRaw!$B:$B,$B102,ConfirmedRaw!BW:BW)</f>
        <v>0</v>
      </c>
    </row>
    <row r="103" spans="1:73" ht="15" thickBot="1" x14ac:dyDescent="0.35">
      <c r="A103" s="168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</row>
    <row r="104" spans="1:73" ht="15" thickBot="1" x14ac:dyDescent="0.35">
      <c r="A104" s="168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0</v>
      </c>
      <c r="BQ104">
        <f>SUMIF(ConfirmedRaw!$B:$B,$B104,ConfirmedRaw!BS:BS)</f>
        <v>0</v>
      </c>
      <c r="BR104">
        <f>SUMIF(ConfirmedRaw!$B:$B,$B104,ConfirmedRaw!BT:BT)</f>
        <v>0</v>
      </c>
      <c r="BS104">
        <f>SUMIF(ConfirmedRaw!$B:$B,$B104,ConfirmedRaw!BU:BU)</f>
        <v>0</v>
      </c>
      <c r="BT104">
        <f>SUMIF(ConfirmedRaw!$B:$B,$B104,ConfirmedRaw!BV:BV)</f>
        <v>0</v>
      </c>
      <c r="BU104">
        <f>SUMIF(ConfirmedRaw!$B:$B,$B104,ConfirmedRaw!BW:BW)</f>
        <v>0</v>
      </c>
    </row>
    <row r="105" spans="1:73" ht="15" thickBot="1" x14ac:dyDescent="0.35">
      <c r="A105" s="168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0</v>
      </c>
      <c r="BQ105">
        <f>SUMIF(ConfirmedRaw!$B:$B,$B105,ConfirmedRaw!BS:BS)</f>
        <v>0</v>
      </c>
      <c r="BR105">
        <f>SUMIF(ConfirmedRaw!$B:$B,$B105,ConfirmedRaw!BT:BT)</f>
        <v>0</v>
      </c>
      <c r="BS105">
        <f>SUMIF(ConfirmedRaw!$B:$B,$B105,ConfirmedRaw!BU:BU)</f>
        <v>0</v>
      </c>
      <c r="BT105">
        <f>SUMIF(ConfirmedRaw!$B:$B,$B105,ConfirmedRaw!BV:BV)</f>
        <v>0</v>
      </c>
      <c r="BU105">
        <f>SUMIF(ConfirmedRaw!$B:$B,$B105,ConfirmedRaw!BW:BW)</f>
        <v>0</v>
      </c>
    </row>
    <row r="106" spans="1:73" ht="15" thickBot="1" x14ac:dyDescent="0.35">
      <c r="A106" s="168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0</v>
      </c>
      <c r="BQ106">
        <f>SUMIF(ConfirmedRaw!$B:$B,$B106,ConfirmedRaw!BS:BS)</f>
        <v>0</v>
      </c>
      <c r="BR106">
        <f>SUMIF(ConfirmedRaw!$B:$B,$B106,ConfirmedRaw!BT:BT)</f>
        <v>0</v>
      </c>
      <c r="BS106">
        <f>SUMIF(ConfirmedRaw!$B:$B,$B106,ConfirmedRaw!BU:BU)</f>
        <v>0</v>
      </c>
      <c r="BT106">
        <f>SUMIF(ConfirmedRaw!$B:$B,$B106,ConfirmedRaw!BV:BV)</f>
        <v>0</v>
      </c>
      <c r="BU106">
        <f>SUMIF(ConfirmedRaw!$B:$B,$B106,ConfirmedRaw!BW:BW)</f>
        <v>0</v>
      </c>
    </row>
    <row r="107" spans="1:73" ht="15" thickBot="1" x14ac:dyDescent="0.35">
      <c r="A107" s="168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0</v>
      </c>
      <c r="BQ107">
        <f>SUMIF(ConfirmedRaw!$B:$B,$B107,ConfirmedRaw!BS:BS)</f>
        <v>0</v>
      </c>
      <c r="BR107">
        <f>SUMIF(ConfirmedRaw!$B:$B,$B107,ConfirmedRaw!BT:BT)</f>
        <v>0</v>
      </c>
      <c r="BS107">
        <f>SUMIF(ConfirmedRaw!$B:$B,$B107,ConfirmedRaw!BU:BU)</f>
        <v>0</v>
      </c>
      <c r="BT107">
        <f>SUMIF(ConfirmedRaw!$B:$B,$B107,ConfirmedRaw!BV:BV)</f>
        <v>0</v>
      </c>
      <c r="BU107">
        <f>SUMIF(ConfirmedRaw!$B:$B,$B107,ConfirmedRaw!BW:BW)</f>
        <v>0</v>
      </c>
    </row>
    <row r="108" spans="1:73" ht="15" thickBot="1" x14ac:dyDescent="0.35">
      <c r="A108" s="168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0</v>
      </c>
      <c r="BQ108">
        <f>SUMIF(ConfirmedRaw!$B:$B,$B108,ConfirmedRaw!BS:BS)</f>
        <v>0</v>
      </c>
      <c r="BR108">
        <f>SUMIF(ConfirmedRaw!$B:$B,$B108,ConfirmedRaw!BT:BT)</f>
        <v>0</v>
      </c>
      <c r="BS108">
        <f>SUMIF(ConfirmedRaw!$B:$B,$B108,ConfirmedRaw!BU:BU)</f>
        <v>0</v>
      </c>
      <c r="BT108">
        <f>SUMIF(ConfirmedRaw!$B:$B,$B108,ConfirmedRaw!BV:BV)</f>
        <v>0</v>
      </c>
      <c r="BU108">
        <f>SUMIF(ConfirmedRaw!$B:$B,$B108,ConfirmedRaw!BW:BW)</f>
        <v>0</v>
      </c>
    </row>
    <row r="109" spans="1:73" ht="15" thickBot="1" x14ac:dyDescent="0.35">
      <c r="A109" s="168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0</v>
      </c>
      <c r="BQ109">
        <f>SUMIF(ConfirmedRaw!$B:$B,$B109,ConfirmedRaw!BS:BS)</f>
        <v>0</v>
      </c>
      <c r="BR109">
        <f>SUMIF(ConfirmedRaw!$B:$B,$B109,ConfirmedRaw!BT:BT)</f>
        <v>0</v>
      </c>
      <c r="BS109">
        <f>SUMIF(ConfirmedRaw!$B:$B,$B109,ConfirmedRaw!BU:BU)</f>
        <v>0</v>
      </c>
      <c r="BT109">
        <f>SUMIF(ConfirmedRaw!$B:$B,$B109,ConfirmedRaw!BV:BV)</f>
        <v>0</v>
      </c>
      <c r="BU109">
        <f>SUMIF(ConfirmedRaw!$B:$B,$B109,ConfirmedRaw!BW:BW)</f>
        <v>0</v>
      </c>
    </row>
    <row r="110" spans="1:73" ht="15" thickBot="1" x14ac:dyDescent="0.35">
      <c r="A110" s="168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0</v>
      </c>
      <c r="BQ110">
        <f>SUMIF(ConfirmedRaw!$B:$B,$B110,ConfirmedRaw!BS:BS)</f>
        <v>0</v>
      </c>
      <c r="BR110">
        <f>SUMIF(ConfirmedRaw!$B:$B,$B110,ConfirmedRaw!BT:BT)</f>
        <v>0</v>
      </c>
      <c r="BS110">
        <f>SUMIF(ConfirmedRaw!$B:$B,$B110,ConfirmedRaw!BU:BU)</f>
        <v>0</v>
      </c>
      <c r="BT110">
        <f>SUMIF(ConfirmedRaw!$B:$B,$B110,ConfirmedRaw!BV:BV)</f>
        <v>0</v>
      </c>
      <c r="BU110">
        <f>SUMIF(ConfirmedRaw!$B:$B,$B110,ConfirmedRaw!BW:BW)</f>
        <v>0</v>
      </c>
    </row>
    <row r="111" spans="1:73" ht="15" thickBot="1" x14ac:dyDescent="0.35">
      <c r="A111" s="168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0</v>
      </c>
      <c r="BQ111">
        <f>SUMIF(ConfirmedRaw!$B:$B,$B111,ConfirmedRaw!BS:BS)</f>
        <v>0</v>
      </c>
      <c r="BR111">
        <f>SUMIF(ConfirmedRaw!$B:$B,$B111,ConfirmedRaw!BT:BT)</f>
        <v>0</v>
      </c>
      <c r="BS111">
        <f>SUMIF(ConfirmedRaw!$B:$B,$B111,ConfirmedRaw!BU:BU)</f>
        <v>0</v>
      </c>
      <c r="BT111">
        <f>SUMIF(ConfirmedRaw!$B:$B,$B111,ConfirmedRaw!BV:BV)</f>
        <v>0</v>
      </c>
      <c r="BU111">
        <f>SUMIF(ConfirmedRaw!$B:$B,$B111,ConfirmedRaw!BW:BW)</f>
        <v>0</v>
      </c>
    </row>
    <row r="112" spans="1:73" ht="15" thickBot="1" x14ac:dyDescent="0.35">
      <c r="A112" s="168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0</v>
      </c>
      <c r="BQ112">
        <f>SUMIF(ConfirmedRaw!$B:$B,$B112,ConfirmedRaw!BS:BS)</f>
        <v>0</v>
      </c>
      <c r="BR112">
        <f>SUMIF(ConfirmedRaw!$B:$B,$B112,ConfirmedRaw!BT:BT)</f>
        <v>0</v>
      </c>
      <c r="BS112">
        <f>SUMIF(ConfirmedRaw!$B:$B,$B112,ConfirmedRaw!BU:BU)</f>
        <v>0</v>
      </c>
      <c r="BT112">
        <f>SUMIF(ConfirmedRaw!$B:$B,$B112,ConfirmedRaw!BV:BV)</f>
        <v>0</v>
      </c>
      <c r="BU112">
        <f>SUMIF(ConfirmedRaw!$B:$B,$B112,ConfirmedRaw!BW:BW)</f>
        <v>0</v>
      </c>
    </row>
    <row r="113" spans="1:73" ht="15" thickBot="1" x14ac:dyDescent="0.35">
      <c r="A113" s="168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</row>
    <row r="114" spans="1:73" ht="15" thickBot="1" x14ac:dyDescent="0.35">
      <c r="A114" s="168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0</v>
      </c>
      <c r="BQ114">
        <f>SUMIF(ConfirmedRaw!$B:$B,$B114,ConfirmedRaw!BS:BS)</f>
        <v>0</v>
      </c>
      <c r="BR114">
        <f>SUMIF(ConfirmedRaw!$B:$B,$B114,ConfirmedRaw!BT:BT)</f>
        <v>0</v>
      </c>
      <c r="BS114">
        <f>SUMIF(ConfirmedRaw!$B:$B,$B114,ConfirmedRaw!BU:BU)</f>
        <v>0</v>
      </c>
      <c r="BT114">
        <f>SUMIF(ConfirmedRaw!$B:$B,$B114,ConfirmedRaw!BV:BV)</f>
        <v>0</v>
      </c>
      <c r="BU114">
        <f>SUMIF(ConfirmedRaw!$B:$B,$B114,ConfirmedRaw!BW:BW)</f>
        <v>0</v>
      </c>
    </row>
    <row r="115" spans="1:73" ht="15" thickBot="1" x14ac:dyDescent="0.35">
      <c r="A115" s="168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0</v>
      </c>
      <c r="BQ115">
        <f>SUMIF(ConfirmedRaw!$B:$B,$B115,ConfirmedRaw!BS:BS)</f>
        <v>0</v>
      </c>
      <c r="BR115">
        <f>SUMIF(ConfirmedRaw!$B:$B,$B115,ConfirmedRaw!BT:BT)</f>
        <v>0</v>
      </c>
      <c r="BS115">
        <f>SUMIF(ConfirmedRaw!$B:$B,$B115,ConfirmedRaw!BU:BU)</f>
        <v>0</v>
      </c>
      <c r="BT115">
        <f>SUMIF(ConfirmedRaw!$B:$B,$B115,ConfirmedRaw!BV:BV)</f>
        <v>0</v>
      </c>
      <c r="BU115">
        <f>SUMIF(ConfirmedRaw!$B:$B,$B115,ConfirmedRaw!BW:BW)</f>
        <v>0</v>
      </c>
    </row>
    <row r="116" spans="1:73" ht="15" thickBot="1" x14ac:dyDescent="0.35">
      <c r="A116" s="168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</row>
    <row r="117" spans="1:73" ht="15" thickBot="1" x14ac:dyDescent="0.35">
      <c r="A117" s="168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0</v>
      </c>
      <c r="BQ117">
        <f>SUMIF(ConfirmedRaw!$B:$B,$B117,ConfirmedRaw!BS:BS)</f>
        <v>0</v>
      </c>
      <c r="BR117">
        <f>SUMIF(ConfirmedRaw!$B:$B,$B117,ConfirmedRaw!BT:BT)</f>
        <v>0</v>
      </c>
      <c r="BS117">
        <f>SUMIF(ConfirmedRaw!$B:$B,$B117,ConfirmedRaw!BU:BU)</f>
        <v>0</v>
      </c>
      <c r="BT117">
        <f>SUMIF(ConfirmedRaw!$B:$B,$B117,ConfirmedRaw!BV:BV)</f>
        <v>0</v>
      </c>
      <c r="BU117">
        <f>SUMIF(ConfirmedRaw!$B:$B,$B117,ConfirmedRaw!BW:BW)</f>
        <v>0</v>
      </c>
    </row>
    <row r="118" spans="1:73" ht="15" thickBot="1" x14ac:dyDescent="0.35">
      <c r="A118" s="168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0</v>
      </c>
      <c r="BQ118">
        <f>SUMIF(ConfirmedRaw!$B:$B,$B118,ConfirmedRaw!BS:BS)</f>
        <v>0</v>
      </c>
      <c r="BR118">
        <f>SUMIF(ConfirmedRaw!$B:$B,$B118,ConfirmedRaw!BT:BT)</f>
        <v>0</v>
      </c>
      <c r="BS118">
        <f>SUMIF(ConfirmedRaw!$B:$B,$B118,ConfirmedRaw!BU:BU)</f>
        <v>0</v>
      </c>
      <c r="BT118">
        <f>SUMIF(ConfirmedRaw!$B:$B,$B118,ConfirmedRaw!BV:BV)</f>
        <v>0</v>
      </c>
      <c r="BU118">
        <f>SUMIF(ConfirmedRaw!$B:$B,$B118,ConfirmedRaw!BW:BW)</f>
        <v>0</v>
      </c>
    </row>
    <row r="119" spans="1:73" ht="15" thickBot="1" x14ac:dyDescent="0.35">
      <c r="A119" s="168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0</v>
      </c>
      <c r="BQ119">
        <f>SUMIF(ConfirmedRaw!$B:$B,$B119,ConfirmedRaw!BS:BS)</f>
        <v>0</v>
      </c>
      <c r="BR119">
        <f>SUMIF(ConfirmedRaw!$B:$B,$B119,ConfirmedRaw!BT:BT)</f>
        <v>0</v>
      </c>
      <c r="BS119">
        <f>SUMIF(ConfirmedRaw!$B:$B,$B119,ConfirmedRaw!BU:BU)</f>
        <v>0</v>
      </c>
      <c r="BT119">
        <f>SUMIF(ConfirmedRaw!$B:$B,$B119,ConfirmedRaw!BV:BV)</f>
        <v>0</v>
      </c>
      <c r="BU119">
        <f>SUMIF(ConfirmedRaw!$B:$B,$B119,ConfirmedRaw!BW:BW)</f>
        <v>0</v>
      </c>
    </row>
    <row r="120" spans="1:73" ht="15" thickBot="1" x14ac:dyDescent="0.35">
      <c r="A120" s="168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0</v>
      </c>
      <c r="BQ120">
        <f>SUMIF(ConfirmedRaw!$B:$B,$B120,ConfirmedRaw!BS:BS)</f>
        <v>0</v>
      </c>
      <c r="BR120">
        <f>SUMIF(ConfirmedRaw!$B:$B,$B120,ConfirmedRaw!BT:BT)</f>
        <v>0</v>
      </c>
      <c r="BS120">
        <f>SUMIF(ConfirmedRaw!$B:$B,$B120,ConfirmedRaw!BU:BU)</f>
        <v>0</v>
      </c>
      <c r="BT120">
        <f>SUMIF(ConfirmedRaw!$B:$B,$B120,ConfirmedRaw!BV:BV)</f>
        <v>0</v>
      </c>
      <c r="BU120">
        <f>SUMIF(ConfirmedRaw!$B:$B,$B120,ConfirmedRaw!BW:BW)</f>
        <v>0</v>
      </c>
    </row>
    <row r="121" spans="1:73" ht="15" thickBot="1" x14ac:dyDescent="0.35">
      <c r="A121" s="168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0</v>
      </c>
      <c r="BQ121">
        <f>SUMIF(ConfirmedRaw!$B:$B,$B121,ConfirmedRaw!BS:BS)</f>
        <v>0</v>
      </c>
      <c r="BR121">
        <f>SUMIF(ConfirmedRaw!$B:$B,$B121,ConfirmedRaw!BT:BT)</f>
        <v>0</v>
      </c>
      <c r="BS121">
        <f>SUMIF(ConfirmedRaw!$B:$B,$B121,ConfirmedRaw!BU:BU)</f>
        <v>0</v>
      </c>
      <c r="BT121">
        <f>SUMIF(ConfirmedRaw!$B:$B,$B121,ConfirmedRaw!BV:BV)</f>
        <v>0</v>
      </c>
      <c r="BU121">
        <f>SUMIF(ConfirmedRaw!$B:$B,$B121,ConfirmedRaw!BW:BW)</f>
        <v>0</v>
      </c>
    </row>
    <row r="122" spans="1:73" ht="15" thickBot="1" x14ac:dyDescent="0.35">
      <c r="A122" s="168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0</v>
      </c>
      <c r="BQ122">
        <f>SUMIF(ConfirmedRaw!$B:$B,$B122,ConfirmedRaw!BS:BS)</f>
        <v>0</v>
      </c>
      <c r="BR122">
        <f>SUMIF(ConfirmedRaw!$B:$B,$B122,ConfirmedRaw!BT:BT)</f>
        <v>0</v>
      </c>
      <c r="BS122">
        <f>SUMIF(ConfirmedRaw!$B:$B,$B122,ConfirmedRaw!BU:BU)</f>
        <v>0</v>
      </c>
      <c r="BT122">
        <f>SUMIF(ConfirmedRaw!$B:$B,$B122,ConfirmedRaw!BV:BV)</f>
        <v>0</v>
      </c>
      <c r="BU122">
        <f>SUMIF(ConfirmedRaw!$B:$B,$B122,ConfirmedRaw!BW:BW)</f>
        <v>0</v>
      </c>
    </row>
    <row r="123" spans="1:73" ht="15" thickBot="1" x14ac:dyDescent="0.35">
      <c r="A123" s="168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0</v>
      </c>
      <c r="BQ123">
        <f>SUMIF(ConfirmedRaw!$B:$B,$B123,ConfirmedRaw!BS:BS)</f>
        <v>0</v>
      </c>
      <c r="BR123">
        <f>SUMIF(ConfirmedRaw!$B:$B,$B123,ConfirmedRaw!BT:BT)</f>
        <v>0</v>
      </c>
      <c r="BS123">
        <f>SUMIF(ConfirmedRaw!$B:$B,$B123,ConfirmedRaw!BU:BU)</f>
        <v>0</v>
      </c>
      <c r="BT123">
        <f>SUMIF(ConfirmedRaw!$B:$B,$B123,ConfirmedRaw!BV:BV)</f>
        <v>0</v>
      </c>
      <c r="BU123">
        <f>SUMIF(ConfirmedRaw!$B:$B,$B123,ConfirmedRaw!BW:BW)</f>
        <v>0</v>
      </c>
    </row>
    <row r="124" spans="1:73" ht="15" thickBot="1" x14ac:dyDescent="0.35">
      <c r="A124" s="168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0</v>
      </c>
      <c r="BQ124">
        <f>SUMIF(ConfirmedRaw!$B:$B,$B124,ConfirmedRaw!BS:BS)</f>
        <v>0</v>
      </c>
      <c r="BR124">
        <f>SUMIF(ConfirmedRaw!$B:$B,$B124,ConfirmedRaw!BT:BT)</f>
        <v>0</v>
      </c>
      <c r="BS124">
        <f>SUMIF(ConfirmedRaw!$B:$B,$B124,ConfirmedRaw!BU:BU)</f>
        <v>0</v>
      </c>
      <c r="BT124">
        <f>SUMIF(ConfirmedRaw!$B:$B,$B124,ConfirmedRaw!BV:BV)</f>
        <v>0</v>
      </c>
      <c r="BU124">
        <f>SUMIF(ConfirmedRaw!$B:$B,$B124,ConfirmedRaw!BW:BW)</f>
        <v>0</v>
      </c>
    </row>
    <row r="125" spans="1:73" ht="15" thickBot="1" x14ac:dyDescent="0.35">
      <c r="A125" s="168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0</v>
      </c>
      <c r="BQ125">
        <f>SUMIF(ConfirmedRaw!$B:$B,$B125,ConfirmedRaw!BS:BS)</f>
        <v>0</v>
      </c>
      <c r="BR125">
        <f>SUMIF(ConfirmedRaw!$B:$B,$B125,ConfirmedRaw!BT:BT)</f>
        <v>0</v>
      </c>
      <c r="BS125">
        <f>SUMIF(ConfirmedRaw!$B:$B,$B125,ConfirmedRaw!BU:BU)</f>
        <v>0</v>
      </c>
      <c r="BT125">
        <f>SUMIF(ConfirmedRaw!$B:$B,$B125,ConfirmedRaw!BV:BV)</f>
        <v>0</v>
      </c>
      <c r="BU125">
        <f>SUMIF(ConfirmedRaw!$B:$B,$B125,ConfirmedRaw!BW:BW)</f>
        <v>0</v>
      </c>
    </row>
    <row r="126" spans="1:73" ht="15" thickBot="1" x14ac:dyDescent="0.35">
      <c r="A126" s="168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0</v>
      </c>
      <c r="BQ126">
        <f>SUMIF(ConfirmedRaw!$B:$B,$B126,ConfirmedRaw!BS:BS)</f>
        <v>0</v>
      </c>
      <c r="BR126">
        <f>SUMIF(ConfirmedRaw!$B:$B,$B126,ConfirmedRaw!BT:BT)</f>
        <v>0</v>
      </c>
      <c r="BS126">
        <f>SUMIF(ConfirmedRaw!$B:$B,$B126,ConfirmedRaw!BU:BU)</f>
        <v>0</v>
      </c>
      <c r="BT126">
        <f>SUMIF(ConfirmedRaw!$B:$B,$B126,ConfirmedRaw!BV:BV)</f>
        <v>0</v>
      </c>
      <c r="BU126">
        <f>SUMIF(ConfirmedRaw!$B:$B,$B126,ConfirmedRaw!BW:BW)</f>
        <v>0</v>
      </c>
    </row>
    <row r="127" spans="1:73" x14ac:dyDescent="0.3">
      <c r="A127" s="168"/>
      <c r="B127" s="2" t="s">
        <v>606</v>
      </c>
      <c r="C127">
        <f>SUM(C2:C126)</f>
        <v>555</v>
      </c>
      <c r="D127">
        <f>SUM(D2:D126)</f>
        <v>654</v>
      </c>
      <c r="E127">
        <f>SUM(E2:E126)</f>
        <v>941</v>
      </c>
      <c r="F127">
        <f>SUM(F2:F126)</f>
        <v>1434</v>
      </c>
      <c r="G127">
        <f>SUM(G2:G126)</f>
        <v>2118</v>
      </c>
      <c r="H127">
        <f>SUM(H2:H126)</f>
        <v>2927</v>
      </c>
      <c r="I127">
        <f>SUM(I2:I126)</f>
        <v>5578</v>
      </c>
      <c r="J127">
        <f>SUM(J2:J126)</f>
        <v>6166</v>
      </c>
      <c r="K127">
        <f>SUM(K2:K126)</f>
        <v>8234</v>
      </c>
      <c r="L127">
        <f>SUM(L2:L126)</f>
        <v>9927</v>
      </c>
      <c r="M127">
        <f>SUM(M2:M126)</f>
        <v>12038</v>
      </c>
      <c r="N127">
        <f>SUM(N2:N126)</f>
        <v>16787</v>
      </c>
      <c r="O127">
        <f>SUM(O2:O126)</f>
        <v>19881</v>
      </c>
      <c r="P127">
        <f>SUM(P2:P126)</f>
        <v>23892</v>
      </c>
      <c r="Q127">
        <f>SUM(Q2:Q126)</f>
        <v>27635</v>
      </c>
      <c r="R127">
        <f>SUM(R2:R126)</f>
        <v>30794</v>
      </c>
      <c r="S127">
        <f>SUM(S2:S126)</f>
        <v>34330</v>
      </c>
      <c r="T127">
        <f>SUM(T2:T126)</f>
        <v>37059</v>
      </c>
      <c r="U127">
        <f>SUM(U2:U126)</f>
        <v>40086</v>
      </c>
      <c r="V127">
        <f>SUM(V2:V126)</f>
        <v>42627</v>
      </c>
      <c r="W127">
        <f>SUM(W2:W126)</f>
        <v>44667</v>
      </c>
      <c r="X127">
        <f>SUM(X2:X126)</f>
        <v>50287</v>
      </c>
      <c r="Y127">
        <f>SUM(Y2:Y126)</f>
        <v>60193</v>
      </c>
      <c r="Z127">
        <f>SUM(Z2:Z126)</f>
        <v>66667</v>
      </c>
      <c r="AA127">
        <f>SUM(AA2:AA126)</f>
        <v>68745</v>
      </c>
      <c r="AB127">
        <f>SUM(AB2:AB126)</f>
        <v>70869</v>
      </c>
      <c r="AC127">
        <f>SUM(AC2:AC126)</f>
        <v>72804</v>
      </c>
      <c r="AD127">
        <f>SUM(AD2:AD126)</f>
        <v>74594</v>
      </c>
      <c r="AE127">
        <f>SUM(AE2:AE126)</f>
        <v>75018</v>
      </c>
      <c r="AF127">
        <f>SUM(AF2:AF126)</f>
        <v>75563</v>
      </c>
      <c r="AG127">
        <f>SUM(AG2:AG126)</f>
        <v>76185</v>
      </c>
      <c r="AH127">
        <f>SUM(AH2:AH126)</f>
        <v>77938</v>
      </c>
      <c r="AI127">
        <f>SUM(AI2:AI126)</f>
        <v>78267</v>
      </c>
      <c r="AJ127">
        <f>SUM(AJ2:AJ126)</f>
        <v>78870</v>
      </c>
      <c r="AK127">
        <f>SUM(AK2:AK126)</f>
        <v>79715</v>
      </c>
      <c r="AL127">
        <f>SUM(AL2:AL126)</f>
        <v>80683</v>
      </c>
      <c r="AM127">
        <f>SUM(AM2:AM126)</f>
        <v>82041</v>
      </c>
      <c r="AN127">
        <f>SUM(AN2:AN126)</f>
        <v>83407</v>
      </c>
      <c r="AO127">
        <f>SUM(AO2:AO126)</f>
        <v>85306</v>
      </c>
      <c r="AP127">
        <f>SUM(AP2:AP126)</f>
        <v>87664</v>
      </c>
      <c r="AQ127">
        <f>SUM(AQ2:AQ126)</f>
        <v>89601</v>
      </c>
      <c r="AR127">
        <f>SUM(AR2:AR126)</f>
        <v>92134</v>
      </c>
      <c r="AS127">
        <f>SUM(AS2:AS126)</f>
        <v>94414</v>
      </c>
      <c r="AT127">
        <f>SUM(AT2:AT126)</f>
        <v>97176</v>
      </c>
      <c r="AU127">
        <f>SUM(AU2:AU126)</f>
        <v>101088</v>
      </c>
      <c r="AV127">
        <f>SUM(AV2:AV126)</f>
        <v>105125</v>
      </c>
      <c r="AW127">
        <f>SUM(AW2:AW126)</f>
        <v>109099</v>
      </c>
      <c r="AX127">
        <f>SUM(AX2:AX126)</f>
        <v>112865</v>
      </c>
      <c r="AY127">
        <f>SUM(AY2:AY126)</f>
        <v>117888</v>
      </c>
      <c r="AZ127">
        <f>SUM(AZ2:AZ126)</f>
        <v>125139</v>
      </c>
      <c r="BA127">
        <f>SUM(BA2:BA126)</f>
        <v>132517</v>
      </c>
      <c r="BB127">
        <f>SUM(BB2:BB126)</f>
        <v>144468</v>
      </c>
      <c r="BC127">
        <f>SUM(BC2:BC126)</f>
        <v>155337</v>
      </c>
      <c r="BD127">
        <f>SUM(BD2:BD126)</f>
        <v>167781</v>
      </c>
      <c r="BE127">
        <f>SUM(BE2:BE126)</f>
        <v>180762</v>
      </c>
      <c r="BF127">
        <f>SUM(BF2:BF126)</f>
        <v>196234</v>
      </c>
      <c r="BG127">
        <f>SUM(BG2:BG126)</f>
        <v>213897</v>
      </c>
      <c r="BH127">
        <f>SUM(BH2:BH126)</f>
        <v>241500</v>
      </c>
      <c r="BI127">
        <f>SUM(BI2:BI126)</f>
        <v>270949</v>
      </c>
      <c r="BJ127">
        <f>SUM(BJ2:BJ126)</f>
        <v>303183</v>
      </c>
      <c r="BK127">
        <f>SUM(BK2:BK126)</f>
        <v>335631</v>
      </c>
      <c r="BL127">
        <f>SUM(BL2:BL126)</f>
        <v>376812</v>
      </c>
      <c r="BM127">
        <f>SUM(BM2:BM126)</f>
        <v>416496</v>
      </c>
      <c r="BN127">
        <f>SUM(BN2:BN126)</f>
        <v>465942</v>
      </c>
      <c r="BO127">
        <f>SUM(BO2:BO126)</f>
        <v>527572</v>
      </c>
      <c r="BP127">
        <f>SUM(BP2:BP126)</f>
        <v>0</v>
      </c>
      <c r="BQ127">
        <f>SUM(BQ2:BQ126)</f>
        <v>0</v>
      </c>
      <c r="BR127">
        <f>SUM(BR2:BR126)</f>
        <v>0</v>
      </c>
      <c r="BS127">
        <f>SUM(BS2:BS126)</f>
        <v>0</v>
      </c>
      <c r="BT127">
        <f>SUM(BT2:BT126)</f>
        <v>0</v>
      </c>
      <c r="BU127">
        <f>SUM(BU2:BU126)</f>
        <v>0</v>
      </c>
    </row>
    <row r="128" spans="1:73" x14ac:dyDescent="0.3">
      <c r="A128" s="168"/>
      <c r="B128" s="2" t="s">
        <v>608</v>
      </c>
      <c r="C128">
        <f>SUMIFS(C$2:C$126,$A$2:$A$126,$B128)</f>
        <v>554</v>
      </c>
      <c r="D128">
        <f>SUMIFS(D$2:D$126,$A$2:$A$126,$B128)</f>
        <v>653</v>
      </c>
      <c r="E128">
        <f>SUMIFS(E$2:E$126,$A$2:$A$126,$B128)</f>
        <v>937</v>
      </c>
      <c r="F128">
        <f>SUMIFS(F$2:F$126,$A$2:$A$126,$B128)</f>
        <v>1429</v>
      </c>
      <c r="G128">
        <f>SUMIFS(G$2:G$126,$A$2:$A$126,$B128)</f>
        <v>2105</v>
      </c>
      <c r="H128">
        <f>SUMIFS(H$2:H$126,$A$2:$A$126,$B128)</f>
        <v>2911</v>
      </c>
      <c r="I128">
        <f>SUMIFS(I$2:I$126,$A$2:$A$126,$B128)</f>
        <v>5557</v>
      </c>
      <c r="J128">
        <f>SUMIFS(J$2:J$126,$A$2:$A$126,$B128)</f>
        <v>6138</v>
      </c>
      <c r="K128">
        <f>SUMIFS(K$2:K$126,$A$2:$A$126,$B128)</f>
        <v>8203</v>
      </c>
      <c r="L128">
        <f>SUMIFS(L$2:L$126,$A$2:$A$126,$B128)</f>
        <v>9886</v>
      </c>
      <c r="M128">
        <f>SUMIFS(M$2:M$126,$A$2:$A$126,$B128)</f>
        <v>11988</v>
      </c>
      <c r="N128">
        <f>SUMIFS(N$2:N$126,$A$2:$A$126,$B128)</f>
        <v>16734</v>
      </c>
      <c r="O128">
        <f>SUMIFS(O$2:O$126,$A$2:$A$126,$B128)</f>
        <v>19823</v>
      </c>
      <c r="P128">
        <f>SUMIFS(P$2:P$126,$A$2:$A$126,$B128)</f>
        <v>23832</v>
      </c>
      <c r="Q128">
        <f>SUMIFS(Q$2:Q$126,$A$2:$A$126,$B128)</f>
        <v>27574</v>
      </c>
      <c r="R128">
        <f>SUMIFS(R$2:R$126,$A$2:$A$126,$B128)</f>
        <v>30732</v>
      </c>
      <c r="S128">
        <f>SUMIFS(S$2:S$126,$A$2:$A$126,$B128)</f>
        <v>34262</v>
      </c>
      <c r="T128">
        <f>SUMIFS(T$2:T$126,$A$2:$A$126,$B128)</f>
        <v>36984</v>
      </c>
      <c r="U128">
        <f>SUMIFS(U$2:U$126,$A$2:$A$126,$B128)</f>
        <v>40009</v>
      </c>
      <c r="V128">
        <f>SUMIFS(V$2:V$126,$A$2:$A$126,$B128)</f>
        <v>42544</v>
      </c>
      <c r="W128">
        <f>SUMIFS(W$2:W$126,$A$2:$A$126,$B128)</f>
        <v>44581</v>
      </c>
      <c r="X128">
        <f>SUMIFS(X$2:X$126,$A$2:$A$126,$B128)</f>
        <v>50200</v>
      </c>
      <c r="Y128">
        <f>SUMIFS(Y$2:Y$126,$A$2:$A$126,$B128)</f>
        <v>60105</v>
      </c>
      <c r="Z128">
        <f>SUMIFS(Z$2:Z$126,$A$2:$A$126,$B128)</f>
        <v>66578</v>
      </c>
      <c r="AA128">
        <f>SUMIFS(AA$2:AA$126,$A$2:$A$126,$B128)</f>
        <v>68655</v>
      </c>
      <c r="AB128">
        <f>SUMIFS(AB$2:AB$126,$A$2:$A$126,$B128)</f>
        <v>70778</v>
      </c>
      <c r="AC128">
        <f>SUMIFS(AC$2:AC$126,$A$2:$A$126,$B128)</f>
        <v>72712</v>
      </c>
      <c r="AD128">
        <f>SUMIFS(AD$2:AD$126,$A$2:$A$126,$B128)</f>
        <v>74502</v>
      </c>
      <c r="AE128">
        <f>SUMIFS(AE$2:AE$126,$A$2:$A$126,$B128)</f>
        <v>74924</v>
      </c>
      <c r="AF128">
        <f>SUMIFS(AF$2:AF$126,$A$2:$A$126,$B128)</f>
        <v>75466</v>
      </c>
      <c r="AG128">
        <f>SUMIFS(AG$2:AG$126,$A$2:$A$126,$B128)</f>
        <v>76053</v>
      </c>
      <c r="AH128">
        <f>SUMIFS(AH$2:AH$126,$A$2:$A$126,$B128)</f>
        <v>77750</v>
      </c>
      <c r="AI128">
        <f>SUMIFS(AI$2:AI$126,$A$2:$A$126,$B128)</f>
        <v>77971</v>
      </c>
      <c r="AJ128">
        <f>SUMIFS(AJ$2:AJ$126,$A$2:$A$126,$B128)</f>
        <v>78435</v>
      </c>
      <c r="AK128">
        <f>SUMIFS(AK$2:AK$126,$A$2:$A$126,$B128)</f>
        <v>79108</v>
      </c>
      <c r="AL128">
        <f>SUMIFS(AL$2:AL$126,$A$2:$A$126,$B128)</f>
        <v>79831</v>
      </c>
      <c r="AM128">
        <f>SUMIFS(AM$2:AM$126,$A$2:$A$126,$B128)</f>
        <v>80796</v>
      </c>
      <c r="AN128">
        <f>SUMIFS(AN$2:AN$126,$A$2:$A$126,$B128)</f>
        <v>81712</v>
      </c>
      <c r="AO128">
        <f>SUMIFS(AO$2:AO$126,$A$2:$A$126,$B128)</f>
        <v>82985</v>
      </c>
      <c r="AP128">
        <f>SUMIFS(AP$2:AP$126,$A$2:$A$126,$B128)</f>
        <v>84174</v>
      </c>
      <c r="AQ128">
        <f>SUMIFS(AQ$2:AQ$126,$A$2:$A$126,$B128)</f>
        <v>85004</v>
      </c>
      <c r="AR128">
        <f>SUMIFS(AR$2:AR$126,$A$2:$A$126,$B128)</f>
        <v>86010</v>
      </c>
      <c r="AS128">
        <f>SUMIFS(AS$2:AS$126,$A$2:$A$126,$B128)</f>
        <v>86645</v>
      </c>
      <c r="AT128">
        <f>SUMIFS(AT$2:AT$126,$A$2:$A$126,$B128)</f>
        <v>87311</v>
      </c>
      <c r="AU128">
        <f>SUMIFS(AU$2:AU$126,$A$2:$A$126,$B128)</f>
        <v>88093</v>
      </c>
      <c r="AV128">
        <f>SUMIFS(AV$2:AV$126,$A$2:$A$126,$B128)</f>
        <v>88691</v>
      </c>
      <c r="AW128">
        <f>SUMIFS(AW$2:AW$126,$A$2:$A$126,$B128)</f>
        <v>89110</v>
      </c>
      <c r="AX128">
        <f>SUMIFS(AX$2:AX$126,$A$2:$A$126,$B128)</f>
        <v>89366</v>
      </c>
      <c r="AY128">
        <f>SUMIFS(AY$2:AY$126,$A$2:$A$126,$B128)</f>
        <v>89578</v>
      </c>
      <c r="AZ128">
        <f>SUMIFS(AZ$2:AZ$126,$A$2:$A$126,$B128)</f>
        <v>90009</v>
      </c>
      <c r="BA128">
        <f>SUMIFS(BA$2:BA$126,$A$2:$A$126,$B128)</f>
        <v>90170</v>
      </c>
      <c r="BB128">
        <f>SUMIFS(BB$2:BB$126,$A$2:$A$126,$B128)</f>
        <v>90559</v>
      </c>
      <c r="BC128">
        <f>SUMIFS(BC$2:BC$126,$A$2:$A$126,$B128)</f>
        <v>90960</v>
      </c>
      <c r="BD128">
        <f>SUMIFS(BD$2:BD$126,$A$2:$A$126,$B128)</f>
        <v>91494</v>
      </c>
      <c r="BE128">
        <f>SUMIFS(BE$2:BE$126,$A$2:$A$126,$B128)</f>
        <v>91957</v>
      </c>
      <c r="BF128">
        <f>SUMIFS(BF$2:BF$126,$A$2:$A$126,$B128)</f>
        <v>92557</v>
      </c>
      <c r="BG128">
        <f>SUMIFS(BG$2:BG$126,$A$2:$A$126,$B128)</f>
        <v>93142</v>
      </c>
      <c r="BH128">
        <f>SUMIFS(BH$2:BH$126,$A$2:$A$126,$B128)</f>
        <v>93991</v>
      </c>
      <c r="BI128">
        <f>SUMIFS(BI$2:BI$126,$A$2:$A$126,$B128)</f>
        <v>94711</v>
      </c>
      <c r="BJ128">
        <f>SUMIFS(BJ$2:BJ$126,$A$2:$A$126,$B128)</f>
        <v>95824</v>
      </c>
      <c r="BK128">
        <f>SUMIFS(BK$2:BK$126,$A$2:$A$126,$B128)</f>
        <v>96920</v>
      </c>
      <c r="BL128">
        <f>SUMIFS(BL$2:BL$126,$A$2:$A$126,$B128)</f>
        <v>97888</v>
      </c>
      <c r="BM128">
        <f>SUMIFS(BM$2:BM$126,$A$2:$A$126,$B128)</f>
        <v>98851</v>
      </c>
      <c r="BN128">
        <f>SUMIFS(BN$2:BN$126,$A$2:$A$126,$B128)</f>
        <v>100098</v>
      </c>
      <c r="BO128">
        <f>SUMIFS(BO$2:BO$126,$A$2:$A$126,$B128)</f>
        <v>101468</v>
      </c>
      <c r="BP128">
        <f>SUMIFS(BP$2:BP$126,$A$2:$A$126,$B128)</f>
        <v>0</v>
      </c>
      <c r="BQ128">
        <f>SUMIFS(BQ$2:BQ$126,$A$2:$A$126,$B128)</f>
        <v>0</v>
      </c>
      <c r="BR128">
        <f>SUMIFS(BR$2:BR$126,$A$2:$A$126,$B128)</f>
        <v>0</v>
      </c>
      <c r="BS128">
        <f>SUMIFS(BS$2:BS$126,$A$2:$A$126,$B128)</f>
        <v>0</v>
      </c>
      <c r="BT128">
        <f>SUMIFS(BT$2:BT$126,$A$2:$A$126,$B128)</f>
        <v>0</v>
      </c>
      <c r="BU128">
        <f>SUMIFS(BU$2:BU$126,$A$2:$A$126,$B128)</f>
        <v>0</v>
      </c>
    </row>
    <row r="129" spans="1:73" x14ac:dyDescent="0.3">
      <c r="A129" s="168"/>
      <c r="B129" s="2" t="s">
        <v>609</v>
      </c>
      <c r="C129">
        <f>SUMIFS(C$2:C$126,$A$2:$A$126,$B129)</f>
        <v>0</v>
      </c>
      <c r="D129">
        <f>SUMIFS(D$2:D$126,$A$2:$A$126,$B129)</f>
        <v>0</v>
      </c>
      <c r="E129">
        <f>SUMIFS(E$2:E$126,$A$2:$A$126,$B129)</f>
        <v>2</v>
      </c>
      <c r="F129">
        <f>SUMIFS(F$2:F$126,$A$2:$A$126,$B129)</f>
        <v>3</v>
      </c>
      <c r="G129">
        <f>SUMIFS(G$2:G$126,$A$2:$A$126,$B129)</f>
        <v>3</v>
      </c>
      <c r="H129">
        <f>SUMIFS(H$2:H$126,$A$2:$A$126,$B129)</f>
        <v>4</v>
      </c>
      <c r="I129">
        <f>SUMIFS(I$2:I$126,$A$2:$A$126,$B129)</f>
        <v>8</v>
      </c>
      <c r="J129">
        <f>SUMIFS(J$2:J$126,$A$2:$A$126,$B129)</f>
        <v>10</v>
      </c>
      <c r="K129">
        <f>SUMIFS(K$2:K$126,$A$2:$A$126,$B129)</f>
        <v>10</v>
      </c>
      <c r="L129">
        <f>SUMIFS(L$2:L$126,$A$2:$A$126,$B129)</f>
        <v>16</v>
      </c>
      <c r="M129">
        <f>SUMIFS(M$2:M$126,$A$2:$A$126,$B129)</f>
        <v>21</v>
      </c>
      <c r="N129">
        <f>SUMIFS(N$2:N$126,$A$2:$A$126,$B129)</f>
        <v>23</v>
      </c>
      <c r="O129">
        <f>SUMIFS(O$2:O$126,$A$2:$A$126,$B129)</f>
        <v>25</v>
      </c>
      <c r="P129">
        <f>SUMIFS(P$2:P$126,$A$2:$A$126,$B129)</f>
        <v>26</v>
      </c>
      <c r="Q129">
        <f>SUMIFS(Q$2:Q$126,$A$2:$A$126,$B129)</f>
        <v>26</v>
      </c>
      <c r="R129">
        <f>SUMIFS(R$2:R$126,$A$2:$A$126,$B129)</f>
        <v>26</v>
      </c>
      <c r="S129">
        <f>SUMIFS(S$2:S$126,$A$2:$A$126,$B129)</f>
        <v>29</v>
      </c>
      <c r="T129">
        <f>SUMIFS(T$2:T$126,$A$2:$A$126,$B129)</f>
        <v>34</v>
      </c>
      <c r="U129">
        <f>SUMIFS(U$2:U$126,$A$2:$A$126,$B129)</f>
        <v>36</v>
      </c>
      <c r="V129">
        <f>SUMIFS(V$2:V$126,$A$2:$A$126,$B129)</f>
        <v>41</v>
      </c>
      <c r="W129">
        <f>SUMIFS(W$2:W$126,$A$2:$A$126,$B129)</f>
        <v>43</v>
      </c>
      <c r="X129">
        <f>SUMIFS(X$2:X$126,$A$2:$A$126,$B129)</f>
        <v>44</v>
      </c>
      <c r="Y129">
        <f>SUMIFS(Y$2:Y$126,$A$2:$A$126,$B129)</f>
        <v>44</v>
      </c>
      <c r="Z129">
        <f>SUMIFS(Z$2:Z$126,$A$2:$A$126,$B129)</f>
        <v>44</v>
      </c>
      <c r="AA129">
        <f>SUMIFS(AA$2:AA$126,$A$2:$A$126,$B129)</f>
        <v>45</v>
      </c>
      <c r="AB129">
        <f>SUMIFS(AB$2:AB$126,$A$2:$A$126,$B129)</f>
        <v>45</v>
      </c>
      <c r="AC129">
        <f>SUMIFS(AC$2:AC$126,$A$2:$A$126,$B129)</f>
        <v>45</v>
      </c>
      <c r="AD129">
        <f>SUMIFS(AD$2:AD$126,$A$2:$A$126,$B129)</f>
        <v>45</v>
      </c>
      <c r="AE129">
        <f>SUMIFS(AE$2:AE$126,$A$2:$A$126,$B129)</f>
        <v>45</v>
      </c>
      <c r="AF129">
        <f>SUMIFS(AF$2:AF$126,$A$2:$A$126,$B129)</f>
        <v>45</v>
      </c>
      <c r="AG129">
        <f>SUMIFS(AG$2:AG$126,$A$2:$A$126,$B129)</f>
        <v>62</v>
      </c>
      <c r="AH129">
        <f>SUMIFS(AH$2:AH$126,$A$2:$A$126,$B129)</f>
        <v>104</v>
      </c>
      <c r="AI129">
        <f>SUMIFS(AI$2:AI$126,$A$2:$A$126,$B129)</f>
        <v>197</v>
      </c>
      <c r="AJ129">
        <f>SUMIFS(AJ$2:AJ$126,$A$2:$A$126,$B129)</f>
        <v>275</v>
      </c>
      <c r="AK129">
        <f>SUMIFS(AK$2:AK$126,$A$2:$A$126,$B129)</f>
        <v>379</v>
      </c>
      <c r="AL129">
        <f>SUMIFS(AL$2:AL$126,$A$2:$A$126,$B129)</f>
        <v>540</v>
      </c>
      <c r="AM129">
        <f>SUMIFS(AM$2:AM$126,$A$2:$A$126,$B129)</f>
        <v>804</v>
      </c>
      <c r="AN129">
        <f>SUMIFS(AN$2:AN$126,$A$2:$A$126,$B129)</f>
        <v>1093</v>
      </c>
      <c r="AO129">
        <f>SUMIFS(AO$2:AO$126,$A$2:$A$126,$B129)</f>
        <v>1465</v>
      </c>
      <c r="AP129">
        <f>SUMIFS(AP$2:AP$126,$A$2:$A$126,$B129)</f>
        <v>2205</v>
      </c>
      <c r="AQ129">
        <f>SUMIFS(AQ$2:AQ$126,$A$2:$A$126,$B129)</f>
        <v>2731</v>
      </c>
      <c r="AR129">
        <f>SUMIFS(AR$2:AR$126,$A$2:$A$126,$B129)</f>
        <v>3360</v>
      </c>
      <c r="AS129">
        <f>SUMIFS(AS$2:AS$126,$A$2:$A$126,$B129)</f>
        <v>4342</v>
      </c>
      <c r="AT129">
        <f>SUMIFS(AT$2:AT$126,$A$2:$A$126,$B129)</f>
        <v>5743</v>
      </c>
      <c r="AU129">
        <f>SUMIFS(AU$2:AU$126,$A$2:$A$126,$B129)</f>
        <v>7509</v>
      </c>
      <c r="AV129">
        <f>SUMIFS(AV$2:AV$126,$A$2:$A$126,$B129)</f>
        <v>9653</v>
      </c>
      <c r="AW129">
        <f>SUMIFS(AW$2:AW$126,$A$2:$A$126,$B129)</f>
        <v>12202</v>
      </c>
      <c r="AX129">
        <f>SUMIFS(AX$2:AX$126,$A$2:$A$126,$B129)</f>
        <v>14988</v>
      </c>
      <c r="AY129">
        <f>SUMIFS(AY$2:AY$126,$A$2:$A$126,$B129)</f>
        <v>18391</v>
      </c>
      <c r="AZ129">
        <f>SUMIFS(AZ$2:AZ$126,$A$2:$A$126,$B129)</f>
        <v>23465</v>
      </c>
      <c r="BA129">
        <f>SUMIFS(BA$2:BA$126,$A$2:$A$126,$B129)</f>
        <v>29097</v>
      </c>
      <c r="BB129">
        <f>SUMIFS(BB$2:BB$126,$A$2:$A$126,$B129)</f>
        <v>38314</v>
      </c>
      <c r="BC129">
        <f>SUMIFS(BC$2:BC$126,$A$2:$A$126,$B129)</f>
        <v>46524</v>
      </c>
      <c r="BD129">
        <f>SUMIFS(BD$2:BD$126,$A$2:$A$126,$B129)</f>
        <v>56031</v>
      </c>
      <c r="BE129">
        <f>SUMIFS(BE$2:BE$126,$A$2:$A$126,$B129)</f>
        <v>65711</v>
      </c>
      <c r="BF129">
        <f>SUMIFS(BF$2:BF$126,$A$2:$A$126,$B129)</f>
        <v>76893</v>
      </c>
      <c r="BG129">
        <f>SUMIFS(BG$2:BG$126,$A$2:$A$126,$B129)</f>
        <v>90579</v>
      </c>
      <c r="BH129">
        <f>SUMIFS(BH$2:BH$126,$A$2:$A$126,$B129)</f>
        <v>109054</v>
      </c>
      <c r="BI129">
        <f>SUMIFS(BI$2:BI$126,$A$2:$A$126,$B129)</f>
        <v>129704</v>
      </c>
      <c r="BJ129">
        <f>SUMIFS(BJ$2:BJ$126,$A$2:$A$126,$B129)</f>
        <v>151490</v>
      </c>
      <c r="BK129">
        <f>SUMIFS(BK$2:BK$126,$A$2:$A$126,$B129)</f>
        <v>171175</v>
      </c>
      <c r="BL129">
        <f>SUMIFS(BL$2:BL$126,$A$2:$A$126,$B129)</f>
        <v>196940</v>
      </c>
      <c r="BM129">
        <f>SUMIFS(BM$2:BM$126,$A$2:$A$126,$B129)</f>
        <v>220914</v>
      </c>
      <c r="BN129">
        <f>SUMIFS(BN$2:BN$126,$A$2:$A$126,$B129)</f>
        <v>251069</v>
      </c>
      <c r="BO129">
        <f>SUMIFS(BO$2:BO$126,$A$2:$A$126,$B129)</f>
        <v>287075</v>
      </c>
      <c r="BP129">
        <f>SUMIFS(BP$2:BP$126,$A$2:$A$126,$B129)</f>
        <v>0</v>
      </c>
      <c r="BQ129">
        <f>SUMIFS(BQ$2:BQ$126,$A$2:$A$126,$B129)</f>
        <v>0</v>
      </c>
      <c r="BR129">
        <f>SUMIFS(BR$2:BR$126,$A$2:$A$126,$B129)</f>
        <v>0</v>
      </c>
      <c r="BS129">
        <f>SUMIFS(BS$2:BS$126,$A$2:$A$126,$B129)</f>
        <v>0</v>
      </c>
      <c r="BT129">
        <f>SUMIFS(BT$2:BT$126,$A$2:$A$126,$B129)</f>
        <v>0</v>
      </c>
      <c r="BU129">
        <f>SUMIFS(BU$2:BU$126,$A$2:$A$126,$B129)</f>
        <v>0</v>
      </c>
    </row>
    <row r="130" spans="1:73" x14ac:dyDescent="0.3">
      <c r="A130" s="168"/>
      <c r="B130" s="2" t="s">
        <v>611</v>
      </c>
      <c r="C130">
        <f>SUMIFS(C$2:C$126,$A$2:$A$126,$B130)</f>
        <v>1</v>
      </c>
      <c r="D130">
        <f>SUMIFS(D$2:D$126,$A$2:$A$126,$B130)</f>
        <v>1</v>
      </c>
      <c r="E130">
        <f>SUMIFS(E$2:E$126,$A$2:$A$126,$B130)</f>
        <v>2</v>
      </c>
      <c r="F130">
        <f>SUMIFS(F$2:F$126,$A$2:$A$126,$B130)</f>
        <v>2</v>
      </c>
      <c r="G130">
        <f>SUMIFS(G$2:G$126,$A$2:$A$126,$B130)</f>
        <v>6</v>
      </c>
      <c r="H130">
        <f>SUMIFS(H$2:H$126,$A$2:$A$126,$B130)</f>
        <v>6</v>
      </c>
      <c r="I130">
        <f>SUMIFS(I$2:I$126,$A$2:$A$126,$B130)</f>
        <v>7</v>
      </c>
      <c r="J130">
        <f>SUMIFS(J$2:J$126,$A$2:$A$126,$B130)</f>
        <v>7</v>
      </c>
      <c r="K130">
        <f>SUMIFS(K$2:K$126,$A$2:$A$126,$B130)</f>
        <v>7</v>
      </c>
      <c r="L130">
        <f>SUMIFS(L$2:L$126,$A$2:$A$126,$B130)</f>
        <v>11</v>
      </c>
      <c r="M130">
        <f>SUMIFS(M$2:M$126,$A$2:$A$126,$B130)</f>
        <v>12</v>
      </c>
      <c r="N130">
        <f>SUMIFS(N$2:N$126,$A$2:$A$126,$B130)</f>
        <v>12</v>
      </c>
      <c r="O130">
        <f>SUMIFS(O$2:O$126,$A$2:$A$126,$B130)</f>
        <v>15</v>
      </c>
      <c r="P130">
        <f>SUMIFS(P$2:P$126,$A$2:$A$126,$B130)</f>
        <v>15</v>
      </c>
      <c r="Q130">
        <f>SUMIFS(Q$2:Q$126,$A$2:$A$126,$B130)</f>
        <v>16</v>
      </c>
      <c r="R130">
        <f>SUMIFS(R$2:R$126,$A$2:$A$126,$B130)</f>
        <v>16</v>
      </c>
      <c r="S130">
        <f>SUMIFS(S$2:S$126,$A$2:$A$126,$B130)</f>
        <v>18</v>
      </c>
      <c r="T130">
        <f>SUMIFS(T$2:T$126,$A$2:$A$126,$B130)</f>
        <v>18</v>
      </c>
      <c r="U130">
        <f>SUMIFS(U$2:U$126,$A$2:$A$126,$B130)</f>
        <v>18</v>
      </c>
      <c r="V130">
        <f>SUMIFS(V$2:V$126,$A$2:$A$126,$B130)</f>
        <v>18</v>
      </c>
      <c r="W130">
        <f>SUMIFS(W$2:W$126,$A$2:$A$126,$B130)</f>
        <v>19</v>
      </c>
      <c r="X130">
        <f>SUMIFS(X$2:X$126,$A$2:$A$126,$B130)</f>
        <v>19</v>
      </c>
      <c r="Y130">
        <f>SUMIFS(Y$2:Y$126,$A$2:$A$126,$B130)</f>
        <v>20</v>
      </c>
      <c r="Z130">
        <f>SUMIFS(Z$2:Z$126,$A$2:$A$126,$B130)</f>
        <v>20</v>
      </c>
      <c r="AA130">
        <f>SUMIFS(AA$2:AA$126,$A$2:$A$126,$B130)</f>
        <v>20</v>
      </c>
      <c r="AB130">
        <f>SUMIFS(AB$2:AB$126,$A$2:$A$126,$B130)</f>
        <v>20</v>
      </c>
      <c r="AC130">
        <f>SUMIFS(AC$2:AC$126,$A$2:$A$126,$B130)</f>
        <v>21</v>
      </c>
      <c r="AD130">
        <f>SUMIFS(AD$2:AD$126,$A$2:$A$126,$B130)</f>
        <v>21</v>
      </c>
      <c r="AE130">
        <f>SUMIFS(AE$2:AE$126,$A$2:$A$126,$B130)</f>
        <v>21</v>
      </c>
      <c r="AF130">
        <f>SUMIFS(AF$2:AF$126,$A$2:$A$126,$B130)</f>
        <v>21</v>
      </c>
      <c r="AG130">
        <f>SUMIFS(AG$2:AG$126,$A$2:$A$126,$B130)</f>
        <v>24</v>
      </c>
      <c r="AH130">
        <f>SUMIFS(AH$2:AH$126,$A$2:$A$126,$B130)</f>
        <v>24</v>
      </c>
      <c r="AI130">
        <f>SUMIFS(AI$2:AI$126,$A$2:$A$126,$B130)</f>
        <v>24</v>
      </c>
      <c r="AJ130">
        <f>SUMIFS(AJ$2:AJ$126,$A$2:$A$126,$B130)</f>
        <v>61</v>
      </c>
      <c r="AK130">
        <f>SUMIFS(AK$2:AK$126,$A$2:$A$126,$B130)</f>
        <v>62</v>
      </c>
      <c r="AL130">
        <f>SUMIFS(AL$2:AL$126,$A$2:$A$126,$B130)</f>
        <v>68</v>
      </c>
      <c r="AM130">
        <f>SUMIFS(AM$2:AM$126,$A$2:$A$126,$B130)</f>
        <v>71</v>
      </c>
      <c r="AN130">
        <f>SUMIFS(AN$2:AN$126,$A$2:$A$126,$B130)</f>
        <v>75</v>
      </c>
      <c r="AO130">
        <f>SUMIFS(AO$2:AO$126,$A$2:$A$126,$B130)</f>
        <v>92</v>
      </c>
      <c r="AP130">
        <f>SUMIFS(AP$2:AP$126,$A$2:$A$126,$B130)</f>
        <v>103</v>
      </c>
      <c r="AQ130">
        <f>SUMIFS(AQ$2:AQ$126,$A$2:$A$126,$B130)</f>
        <v>130</v>
      </c>
      <c r="AR130">
        <f>SUMIFS(AR$2:AR$126,$A$2:$A$126,$B130)</f>
        <v>153</v>
      </c>
      <c r="AS130">
        <f>SUMIFS(AS$2:AS$126,$A$2:$A$126,$B130)</f>
        <v>187</v>
      </c>
      <c r="AT130">
        <f>SUMIFS(AT$2:AT$126,$A$2:$A$126,$B130)</f>
        <v>259</v>
      </c>
      <c r="AU130">
        <f>SUMIFS(AU$2:AU$126,$A$2:$A$126,$B130)</f>
        <v>318</v>
      </c>
      <c r="AV130">
        <f>SUMIFS(AV$2:AV$126,$A$2:$A$126,$B130)</f>
        <v>463</v>
      </c>
      <c r="AW130">
        <f>SUMIFS(AW$2:AW$126,$A$2:$A$126,$B130)</f>
        <v>594</v>
      </c>
      <c r="AX130">
        <f>SUMIFS(AX$2:AX$126,$A$2:$A$126,$B130)</f>
        <v>676</v>
      </c>
      <c r="AY130">
        <f>SUMIFS(AY$2:AY$126,$A$2:$A$126,$B130)</f>
        <v>1055</v>
      </c>
      <c r="AZ130">
        <f>SUMIFS(AZ$2:AZ$126,$A$2:$A$126,$B130)</f>
        <v>1419</v>
      </c>
      <c r="BA130">
        <f>SUMIFS(BA$2:BA$126,$A$2:$A$126,$B130)</f>
        <v>1830</v>
      </c>
      <c r="BB130">
        <f>SUMIFS(BB$2:BB$126,$A$2:$A$126,$B130)</f>
        <v>2447</v>
      </c>
      <c r="BC130">
        <f>SUMIFS(BC$2:BC$126,$A$2:$A$126,$B130)</f>
        <v>3026</v>
      </c>
      <c r="BD130">
        <f>SUMIFS(BD$2:BD$126,$A$2:$A$126,$B130)</f>
        <v>3877</v>
      </c>
      <c r="BE130">
        <f>SUMIFS(BE$2:BE$126,$A$2:$A$126,$B130)</f>
        <v>5205</v>
      </c>
      <c r="BF130">
        <f>SUMIFS(BF$2:BF$126,$A$2:$A$126,$B130)</f>
        <v>7109</v>
      </c>
      <c r="BG130">
        <f>SUMIFS(BG$2:BG$126,$A$2:$A$126,$B130)</f>
        <v>8690</v>
      </c>
      <c r="BH130">
        <f>SUMIFS(BH$2:BH$126,$A$2:$A$126,$B130)</f>
        <v>14800</v>
      </c>
      <c r="BI130">
        <f>SUMIFS(BI$2:BI$126,$A$2:$A$126,$B130)</f>
        <v>20466</v>
      </c>
      <c r="BJ130">
        <f>SUMIFS(BJ$2:BJ$126,$A$2:$A$126,$B130)</f>
        <v>27324</v>
      </c>
      <c r="BK130">
        <f>SUMIFS(BK$2:BK$126,$A$2:$A$126,$B130)</f>
        <v>35498</v>
      </c>
      <c r="BL130">
        <f>SUMIFS(BL$2:BL$126,$A$2:$A$126,$B130)</f>
        <v>46816</v>
      </c>
      <c r="BM130">
        <f>SUMIFS(BM$2:BM$126,$A$2:$A$126,$B130)</f>
        <v>57491</v>
      </c>
      <c r="BN130">
        <f>SUMIFS(BN$2:BN$126,$A$2:$A$126,$B130)</f>
        <v>70164</v>
      </c>
      <c r="BO130">
        <f>SUMIFS(BO$2:BO$126,$A$2:$A$126,$B130)</f>
        <v>89242</v>
      </c>
      <c r="BP130">
        <f>SUMIFS(BP$2:BP$126,$A$2:$A$126,$B130)</f>
        <v>0</v>
      </c>
      <c r="BQ130">
        <f>SUMIFS(BQ$2:BQ$126,$A$2:$A$126,$B130)</f>
        <v>0</v>
      </c>
      <c r="BR130">
        <f>SUMIFS(BR$2:BR$126,$A$2:$A$126,$B130)</f>
        <v>0</v>
      </c>
      <c r="BS130">
        <f>SUMIFS(BS$2:BS$126,$A$2:$A$126,$B130)</f>
        <v>0</v>
      </c>
      <c r="BT130">
        <f>SUMIFS(BT$2:BT$126,$A$2:$A$126,$B130)</f>
        <v>0</v>
      </c>
      <c r="BU130">
        <f>SUMIFS(BU$2:BU$126,$A$2:$A$126,$B130)</f>
        <v>0</v>
      </c>
    </row>
    <row r="131" spans="1:73" x14ac:dyDescent="0.3">
      <c r="A131" s="168"/>
      <c r="B131" s="2" t="s">
        <v>612</v>
      </c>
      <c r="C131">
        <f>SUMIFS(C$2:C$126,$A$2:$A$126,$B131)</f>
        <v>0</v>
      </c>
      <c r="D131">
        <f>SUMIFS(D$2:D$126,$A$2:$A$126,$B131)</f>
        <v>0</v>
      </c>
      <c r="E131">
        <f>SUMIFS(E$2:E$126,$A$2:$A$126,$B131)</f>
        <v>0</v>
      </c>
      <c r="F131">
        <f>SUMIFS(F$2:F$126,$A$2:$A$126,$B131)</f>
        <v>0</v>
      </c>
      <c r="G131">
        <f>SUMIFS(G$2:G$126,$A$2:$A$126,$B131)</f>
        <v>0</v>
      </c>
      <c r="H131">
        <f>SUMIFS(H$2:H$126,$A$2:$A$126,$B131)</f>
        <v>1</v>
      </c>
      <c r="I131">
        <f>SUMIFS(I$2:I$126,$A$2:$A$126,$B131)</f>
        <v>1</v>
      </c>
      <c r="J131">
        <f>SUMIFS(J$2:J$126,$A$2:$A$126,$B131)</f>
        <v>1</v>
      </c>
      <c r="K131">
        <f>SUMIFS(K$2:K$126,$A$2:$A$126,$B131)</f>
        <v>1</v>
      </c>
      <c r="L131">
        <f>SUMIFS(L$2:L$126,$A$2:$A$126,$B131)</f>
        <v>1</v>
      </c>
      <c r="M131">
        <f>SUMIFS(M$2:M$126,$A$2:$A$126,$B131)</f>
        <v>1</v>
      </c>
      <c r="N131">
        <f>SUMIFS(N$2:N$126,$A$2:$A$126,$B131)</f>
        <v>1</v>
      </c>
      <c r="O131">
        <f>SUMIFS(O$2:O$126,$A$2:$A$126,$B131)</f>
        <v>1</v>
      </c>
      <c r="P131">
        <f>SUMIFS(P$2:P$126,$A$2:$A$126,$B131)</f>
        <v>1</v>
      </c>
      <c r="Q131">
        <f>SUMIFS(Q$2:Q$126,$A$2:$A$126,$B131)</f>
        <v>1</v>
      </c>
      <c r="R131">
        <f>SUMIFS(R$2:R$126,$A$2:$A$126,$B131)</f>
        <v>1</v>
      </c>
      <c r="S131">
        <f>SUMIFS(S$2:S$126,$A$2:$A$126,$B131)</f>
        <v>1</v>
      </c>
      <c r="T131">
        <f>SUMIFS(T$2:T$126,$A$2:$A$126,$B131)</f>
        <v>1</v>
      </c>
      <c r="U131">
        <f>SUMIFS(U$2:U$126,$A$2:$A$126,$B131)</f>
        <v>1</v>
      </c>
      <c r="V131">
        <f>SUMIFS(V$2:V$126,$A$2:$A$126,$B131)</f>
        <v>1</v>
      </c>
      <c r="W131">
        <f>SUMIFS(W$2:W$126,$A$2:$A$126,$B131)</f>
        <v>1</v>
      </c>
      <c r="X131">
        <f>SUMIFS(X$2:X$126,$A$2:$A$126,$B131)</f>
        <v>1</v>
      </c>
      <c r="Y131">
        <f>SUMIFS(Y$2:Y$126,$A$2:$A$126,$B131)</f>
        <v>1</v>
      </c>
      <c r="Z131">
        <f>SUMIFS(Z$2:Z$126,$A$2:$A$126,$B131)</f>
        <v>1</v>
      </c>
      <c r="AA131">
        <f>SUMIFS(AA$2:AA$126,$A$2:$A$126,$B131)</f>
        <v>1</v>
      </c>
      <c r="AB131">
        <f>SUMIFS(AB$2:AB$126,$A$2:$A$126,$B131)</f>
        <v>1</v>
      </c>
      <c r="AC131">
        <f>SUMIFS(AC$2:AC$126,$A$2:$A$126,$B131)</f>
        <v>1</v>
      </c>
      <c r="AD131">
        <f>SUMIFS(AD$2:AD$126,$A$2:$A$126,$B131)</f>
        <v>1</v>
      </c>
      <c r="AE131">
        <f>SUMIFS(AE$2:AE$126,$A$2:$A$126,$B131)</f>
        <v>1</v>
      </c>
      <c r="AF131">
        <f>SUMIFS(AF$2:AF$126,$A$2:$A$126,$B131)</f>
        <v>1</v>
      </c>
      <c r="AG131">
        <f>SUMIFS(AG$2:AG$126,$A$2:$A$126,$B131)</f>
        <v>1</v>
      </c>
      <c r="AH131">
        <f>SUMIFS(AH$2:AH$126,$A$2:$A$126,$B131)</f>
        <v>1</v>
      </c>
      <c r="AI131">
        <f>SUMIFS(AI$2:AI$126,$A$2:$A$126,$B131)</f>
        <v>1</v>
      </c>
      <c r="AJ131">
        <f>SUMIFS(AJ$2:AJ$126,$A$2:$A$126,$B131)</f>
        <v>1</v>
      </c>
      <c r="AK131">
        <f>SUMIFS(AK$2:AK$126,$A$2:$A$126,$B131)</f>
        <v>1</v>
      </c>
      <c r="AL131">
        <f>SUMIFS(AL$2:AL$126,$A$2:$A$126,$B131)</f>
        <v>2</v>
      </c>
      <c r="AM131">
        <f>SUMIFS(AM$2:AM$126,$A$2:$A$126,$B131)</f>
        <v>2</v>
      </c>
      <c r="AN131">
        <f>SUMIFS(AN$2:AN$126,$A$2:$A$126,$B131)</f>
        <v>2</v>
      </c>
      <c r="AO131">
        <f>SUMIFS(AO$2:AO$126,$A$2:$A$126,$B131)</f>
        <v>3</v>
      </c>
      <c r="AP131">
        <f>SUMIFS(AP$2:AP$126,$A$2:$A$126,$B131)</f>
        <v>10</v>
      </c>
      <c r="AQ131">
        <f>SUMIFS(AQ$2:AQ$126,$A$2:$A$126,$B131)</f>
        <v>10</v>
      </c>
      <c r="AR131">
        <f>SUMIFS(AR$2:AR$126,$A$2:$A$126,$B131)</f>
        <v>13</v>
      </c>
      <c r="AS131">
        <f>SUMIFS(AS$2:AS$126,$A$2:$A$126,$B131)</f>
        <v>18</v>
      </c>
      <c r="AT131">
        <f>SUMIFS(AT$2:AT$126,$A$2:$A$126,$B131)</f>
        <v>24</v>
      </c>
      <c r="AU131">
        <f>SUMIFS(AU$2:AU$126,$A$2:$A$126,$B131)</f>
        <v>37</v>
      </c>
      <c r="AV131">
        <f>SUMIFS(AV$2:AV$126,$A$2:$A$126,$B131)</f>
        <v>43</v>
      </c>
      <c r="AW131">
        <f>SUMIFS(AW$2:AW$126,$A$2:$A$126,$B131)</f>
        <v>69</v>
      </c>
      <c r="AX131">
        <f>SUMIFS(AX$2:AX$126,$A$2:$A$126,$B131)</f>
        <v>76</v>
      </c>
      <c r="AY131">
        <f>SUMIFS(AY$2:AY$126,$A$2:$A$126,$B131)</f>
        <v>98</v>
      </c>
      <c r="AZ131">
        <f>SUMIFS(AZ$2:AZ$126,$A$2:$A$126,$B131)</f>
        <v>134</v>
      </c>
      <c r="BA131">
        <f>SUMIFS(BA$2:BA$126,$A$2:$A$126,$B131)</f>
        <v>153</v>
      </c>
      <c r="BB131">
        <f>SUMIFS(BB$2:BB$126,$A$2:$A$126,$B131)</f>
        <v>305</v>
      </c>
      <c r="BC131">
        <f>SUMIFS(BC$2:BC$126,$A$2:$A$126,$B131)</f>
        <v>371</v>
      </c>
      <c r="BD131">
        <f>SUMIFS(BD$2:BD$126,$A$2:$A$126,$B131)</f>
        <v>427</v>
      </c>
      <c r="BE131">
        <f>SUMIFS(BE$2:BE$126,$A$2:$A$126,$B131)</f>
        <v>635</v>
      </c>
      <c r="BF131">
        <f>SUMIFS(BF$2:BF$126,$A$2:$A$126,$B131)</f>
        <v>919</v>
      </c>
      <c r="BG131">
        <f>SUMIFS(BG$2:BG$126,$A$2:$A$126,$B131)</f>
        <v>1133</v>
      </c>
      <c r="BH131">
        <f>SUMIFS(BH$2:BH$126,$A$2:$A$126,$B131)</f>
        <v>1604</v>
      </c>
      <c r="BI131">
        <f>SUMIFS(BI$2:BI$126,$A$2:$A$126,$B131)</f>
        <v>2266</v>
      </c>
      <c r="BJ131">
        <f>SUMIFS(BJ$2:BJ$126,$A$2:$A$126,$B131)</f>
        <v>2969</v>
      </c>
      <c r="BK131">
        <f>SUMIFS(BK$2:BK$126,$A$2:$A$126,$B131)</f>
        <v>4204</v>
      </c>
      <c r="BL131">
        <f>SUMIFS(BL$2:BL$126,$A$2:$A$126,$B131)</f>
        <v>5055</v>
      </c>
      <c r="BM131">
        <f>SUMIFS(BM$2:BM$126,$A$2:$A$126,$B131)</f>
        <v>5926</v>
      </c>
      <c r="BN131">
        <f>SUMIFS(BN$2:BN$126,$A$2:$A$126,$B131)</f>
        <v>6804</v>
      </c>
      <c r="BO131">
        <f>SUMIFS(BO$2:BO$126,$A$2:$A$126,$B131)</f>
        <v>7992</v>
      </c>
      <c r="BP131">
        <f>SUMIFS(BP$2:BP$126,$A$2:$A$126,$B131)</f>
        <v>0</v>
      </c>
      <c r="BQ131">
        <f>SUMIFS(BQ$2:BQ$126,$A$2:$A$126,$B131)</f>
        <v>0</v>
      </c>
      <c r="BR131">
        <f>SUMIFS(BR$2:BR$126,$A$2:$A$126,$B131)</f>
        <v>0</v>
      </c>
      <c r="BS131">
        <f>SUMIFS(BS$2:BS$126,$A$2:$A$126,$B131)</f>
        <v>0</v>
      </c>
      <c r="BT131">
        <f>SUMIFS(BT$2:BT$126,$A$2:$A$126,$B131)</f>
        <v>0</v>
      </c>
      <c r="BU131">
        <f>SUMIFS(BU$2:BU$126,$A$2:$A$126,$B131)</f>
        <v>0</v>
      </c>
    </row>
    <row r="132" spans="1:73" x14ac:dyDescent="0.3">
      <c r="A132" s="168"/>
      <c r="B132" s="2" t="s">
        <v>613</v>
      </c>
      <c r="C132">
        <f>SUMIFS(C$2:C$126,$A$2:$A$126,$B132)</f>
        <v>0</v>
      </c>
      <c r="D132">
        <f>SUMIFS(D$2:D$126,$A$2:$A$126,$B132)</f>
        <v>0</v>
      </c>
      <c r="E132">
        <f>SUMIFS(E$2:E$126,$A$2:$A$126,$B132)</f>
        <v>0</v>
      </c>
      <c r="F132">
        <f>SUMIFS(F$2:F$126,$A$2:$A$126,$B132)</f>
        <v>0</v>
      </c>
      <c r="G132">
        <f>SUMIFS(G$2:G$126,$A$2:$A$126,$B132)</f>
        <v>0</v>
      </c>
      <c r="H132">
        <f>SUMIFS(H$2:H$126,$A$2:$A$126,$B132)</f>
        <v>0</v>
      </c>
      <c r="I132">
        <f>SUMIFS(I$2:I$126,$A$2:$A$126,$B132)</f>
        <v>0</v>
      </c>
      <c r="J132">
        <f>SUMIFS(J$2:J$126,$A$2:$A$126,$B132)</f>
        <v>0</v>
      </c>
      <c r="K132">
        <f>SUMIFS(K$2:K$126,$A$2:$A$126,$B132)</f>
        <v>0</v>
      </c>
      <c r="L132">
        <f>SUMIFS(L$2:L$126,$A$2:$A$126,$B132)</f>
        <v>0</v>
      </c>
      <c r="M132">
        <f>SUMIFS(M$2:M$126,$A$2:$A$126,$B132)</f>
        <v>0</v>
      </c>
      <c r="N132">
        <f>SUMIFS(N$2:N$126,$A$2:$A$126,$B132)</f>
        <v>0</v>
      </c>
      <c r="O132">
        <f>SUMIFS(O$2:O$126,$A$2:$A$126,$B132)</f>
        <v>0</v>
      </c>
      <c r="P132">
        <f>SUMIFS(P$2:P$126,$A$2:$A$126,$B132)</f>
        <v>0</v>
      </c>
      <c r="Q132">
        <f>SUMIFS(Q$2:Q$126,$A$2:$A$126,$B132)</f>
        <v>0</v>
      </c>
      <c r="R132">
        <f>SUMIFS(R$2:R$126,$A$2:$A$126,$B132)</f>
        <v>0</v>
      </c>
      <c r="S132">
        <f>SUMIFS(S$2:S$126,$A$2:$A$126,$B132)</f>
        <v>0</v>
      </c>
      <c r="T132">
        <f>SUMIFS(T$2:T$126,$A$2:$A$126,$B132)</f>
        <v>0</v>
      </c>
      <c r="U132">
        <f>SUMIFS(U$2:U$126,$A$2:$A$126,$B132)</f>
        <v>0</v>
      </c>
      <c r="V132">
        <f>SUMIFS(V$2:V$126,$A$2:$A$126,$B132)</f>
        <v>0</v>
      </c>
      <c r="W132">
        <f>SUMIFS(W$2:W$126,$A$2:$A$126,$B132)</f>
        <v>0</v>
      </c>
      <c r="X132">
        <f>SUMIFS(X$2:X$126,$A$2:$A$126,$B132)</f>
        <v>0</v>
      </c>
      <c r="Y132">
        <f>SUMIFS(Y$2:Y$126,$A$2:$A$126,$B132)</f>
        <v>0</v>
      </c>
      <c r="Z132">
        <f>SUMIFS(Z$2:Z$126,$A$2:$A$126,$B132)</f>
        <v>1</v>
      </c>
      <c r="AA132">
        <f>SUMIFS(AA$2:AA$126,$A$2:$A$126,$B132)</f>
        <v>1</v>
      </c>
      <c r="AB132">
        <f>SUMIFS(AB$2:AB$126,$A$2:$A$126,$B132)</f>
        <v>1</v>
      </c>
      <c r="AC132">
        <f>SUMIFS(AC$2:AC$126,$A$2:$A$126,$B132)</f>
        <v>1</v>
      </c>
      <c r="AD132">
        <f>SUMIFS(AD$2:AD$126,$A$2:$A$126,$B132)</f>
        <v>1</v>
      </c>
      <c r="AE132">
        <f>SUMIFS(AE$2:AE$126,$A$2:$A$126,$B132)</f>
        <v>1</v>
      </c>
      <c r="AF132">
        <f>SUMIFS(AF$2:AF$126,$A$2:$A$126,$B132)</f>
        <v>1</v>
      </c>
      <c r="AG132">
        <f>SUMIFS(AG$2:AG$126,$A$2:$A$126,$B132)</f>
        <v>1</v>
      </c>
      <c r="AH132">
        <f>SUMIFS(AH$2:AH$126,$A$2:$A$126,$B132)</f>
        <v>1</v>
      </c>
      <c r="AI132">
        <f>SUMIFS(AI$2:AI$126,$A$2:$A$126,$B132)</f>
        <v>1</v>
      </c>
      <c r="AJ132">
        <f>SUMIFS(AJ$2:AJ$126,$A$2:$A$126,$B132)</f>
        <v>1</v>
      </c>
      <c r="AK132">
        <f>SUMIFS(AK$2:AK$126,$A$2:$A$126,$B132)</f>
        <v>2</v>
      </c>
      <c r="AL132">
        <f>SUMIFS(AL$2:AL$126,$A$2:$A$126,$B132)</f>
        <v>2</v>
      </c>
      <c r="AM132">
        <f>SUMIFS(AM$2:AM$126,$A$2:$A$126,$B132)</f>
        <v>2</v>
      </c>
      <c r="AN132">
        <f>SUMIFS(AN$2:AN$126,$A$2:$A$126,$B132)</f>
        <v>3</v>
      </c>
      <c r="AO132">
        <f>SUMIFS(AO$2:AO$126,$A$2:$A$126,$B132)</f>
        <v>3</v>
      </c>
      <c r="AP132">
        <f>SUMIFS(AP$2:AP$126,$A$2:$A$126,$B132)</f>
        <v>4</v>
      </c>
      <c r="AQ132">
        <f>SUMIFS(AQ$2:AQ$126,$A$2:$A$126,$B132)</f>
        <v>8</v>
      </c>
      <c r="AR132">
        <f>SUMIFS(AR$2:AR$126,$A$2:$A$126,$B132)</f>
        <v>11</v>
      </c>
      <c r="AS132">
        <f>SUMIFS(AS$2:AS$126,$A$2:$A$126,$B132)</f>
        <v>21</v>
      </c>
      <c r="AT132">
        <f>SUMIFS(AT$2:AT$126,$A$2:$A$126,$B132)</f>
        <v>24</v>
      </c>
      <c r="AU132">
        <f>SUMIFS(AU$2:AU$126,$A$2:$A$126,$B132)</f>
        <v>43</v>
      </c>
      <c r="AV132">
        <f>SUMIFS(AV$2:AV$126,$A$2:$A$126,$B132)</f>
        <v>43</v>
      </c>
      <c r="AW132">
        <f>SUMIFS(AW$2:AW$126,$A$2:$A$126,$B132)</f>
        <v>83</v>
      </c>
      <c r="AX132">
        <f>SUMIFS(AX$2:AX$126,$A$2:$A$126,$B132)</f>
        <v>91</v>
      </c>
      <c r="AY132">
        <f>SUMIFS(AY$2:AY$126,$A$2:$A$126,$B132)</f>
        <v>104</v>
      </c>
      <c r="AZ132">
        <f>SUMIFS(AZ$2:AZ$126,$A$2:$A$126,$B132)</f>
        <v>118</v>
      </c>
      <c r="BA132">
        <f>SUMIFS(BA$2:BA$126,$A$2:$A$126,$B132)</f>
        <v>134</v>
      </c>
      <c r="BB132">
        <f>SUMIFS(BB$2:BB$126,$A$2:$A$126,$B132)</f>
        <v>177</v>
      </c>
      <c r="BC132">
        <f>SUMIFS(BC$2:BC$126,$A$2:$A$126,$B132)</f>
        <v>243</v>
      </c>
      <c r="BD132">
        <f>SUMIFS(BD$2:BD$126,$A$2:$A$126,$B132)</f>
        <v>296</v>
      </c>
      <c r="BE132">
        <f>SUMIFS(BE$2:BE$126,$A$2:$A$126,$B132)</f>
        <v>374</v>
      </c>
      <c r="BF132">
        <f>SUMIFS(BF$2:BF$126,$A$2:$A$126,$B132)</f>
        <v>453</v>
      </c>
      <c r="BG132">
        <f>SUMIFS(BG$2:BG$126,$A$2:$A$126,$B132)</f>
        <v>556</v>
      </c>
      <c r="BH132">
        <f>SUMIFS(BH$2:BH$126,$A$2:$A$126,$B132)</f>
        <v>720</v>
      </c>
      <c r="BI132">
        <f>SUMIFS(BI$2:BI$126,$A$2:$A$126,$B132)</f>
        <v>873</v>
      </c>
      <c r="BJ132">
        <f>SUMIFS(BJ$2:BJ$126,$A$2:$A$126,$B132)</f>
        <v>1062</v>
      </c>
      <c r="BK132">
        <f>SUMIFS(BK$2:BK$126,$A$2:$A$126,$B132)</f>
        <v>1294</v>
      </c>
      <c r="BL132">
        <f>SUMIFS(BL$2:BL$126,$A$2:$A$126,$B132)</f>
        <v>1616</v>
      </c>
      <c r="BM132">
        <f>SUMIFS(BM$2:BM$126,$A$2:$A$126,$B132)</f>
        <v>1996</v>
      </c>
      <c r="BN132">
        <f>SUMIFS(BN$2:BN$126,$A$2:$A$126,$B132)</f>
        <v>2434</v>
      </c>
      <c r="BO132">
        <f>SUMIFS(BO$2:BO$126,$A$2:$A$126,$B132)</f>
        <v>2878</v>
      </c>
      <c r="BP132">
        <f>SUMIFS(BP$2:BP$126,$A$2:$A$126,$B132)</f>
        <v>0</v>
      </c>
      <c r="BQ132">
        <f>SUMIFS(BQ$2:BQ$126,$A$2:$A$126,$B132)</f>
        <v>0</v>
      </c>
      <c r="BR132">
        <f>SUMIFS(BR$2:BR$126,$A$2:$A$126,$B132)</f>
        <v>0</v>
      </c>
      <c r="BS132">
        <f>SUMIFS(BS$2:BS$126,$A$2:$A$126,$B132)</f>
        <v>0</v>
      </c>
      <c r="BT132">
        <f>SUMIFS(BT$2:BT$126,$A$2:$A$126,$B132)</f>
        <v>0</v>
      </c>
      <c r="BU132">
        <f>SUMIFS(BU$2:BU$126,$A$2:$A$126,$B132)</f>
        <v>0</v>
      </c>
    </row>
    <row r="133" spans="1:73" x14ac:dyDescent="0.3">
      <c r="A133" s="168"/>
      <c r="B133" s="2" t="s">
        <v>610</v>
      </c>
      <c r="C133">
        <f>SUMIFS(C$2:C$126,$A$2:$A$126,$B133)</f>
        <v>0</v>
      </c>
      <c r="D133">
        <f>SUMIFS(D$2:D$126,$A$2:$A$126,$B133)</f>
        <v>0</v>
      </c>
      <c r="E133">
        <f>SUMIFS(E$2:E$126,$A$2:$A$126,$B133)</f>
        <v>0</v>
      </c>
      <c r="F133">
        <f>SUMIFS(F$2:F$126,$A$2:$A$126,$B133)</f>
        <v>0</v>
      </c>
      <c r="G133">
        <f>SUMIFS(G$2:G$126,$A$2:$A$126,$B133)</f>
        <v>0</v>
      </c>
      <c r="H133">
        <f>SUMIFS(H$2:H$126,$A$2:$A$126,$B133)</f>
        <v>0</v>
      </c>
      <c r="I133">
        <f>SUMIFS(I$2:I$126,$A$2:$A$126,$B133)</f>
        <v>0</v>
      </c>
      <c r="J133">
        <f>SUMIFS(J$2:J$126,$A$2:$A$126,$B133)</f>
        <v>4</v>
      </c>
      <c r="K133">
        <f>SUMIFS(K$2:K$126,$A$2:$A$126,$B133)</f>
        <v>4</v>
      </c>
      <c r="L133">
        <f>SUMIFS(L$2:L$126,$A$2:$A$126,$B133)</f>
        <v>4</v>
      </c>
      <c r="M133">
        <f>SUMIFS(M$2:M$126,$A$2:$A$126,$B133)</f>
        <v>4</v>
      </c>
      <c r="N133">
        <f>SUMIFS(N$2:N$126,$A$2:$A$126,$B133)</f>
        <v>5</v>
      </c>
      <c r="O133">
        <f>SUMIFS(O$2:O$126,$A$2:$A$126,$B133)</f>
        <v>5</v>
      </c>
      <c r="P133">
        <f>SUMIFS(P$2:P$126,$A$2:$A$126,$B133)</f>
        <v>5</v>
      </c>
      <c r="Q133">
        <f>SUMIFS(Q$2:Q$126,$A$2:$A$126,$B133)</f>
        <v>5</v>
      </c>
      <c r="R133">
        <f>SUMIFS(R$2:R$126,$A$2:$A$126,$B133)</f>
        <v>5</v>
      </c>
      <c r="S133">
        <f>SUMIFS(S$2:S$126,$A$2:$A$126,$B133)</f>
        <v>5</v>
      </c>
      <c r="T133">
        <f>SUMIFS(T$2:T$126,$A$2:$A$126,$B133)</f>
        <v>7</v>
      </c>
      <c r="U133">
        <f>SUMIFS(U$2:U$126,$A$2:$A$126,$B133)</f>
        <v>7</v>
      </c>
      <c r="V133">
        <f>SUMIFS(V$2:V$126,$A$2:$A$126,$B133)</f>
        <v>8</v>
      </c>
      <c r="W133">
        <f>SUMIFS(W$2:W$126,$A$2:$A$126,$B133)</f>
        <v>8</v>
      </c>
      <c r="X133">
        <f>SUMIFS(X$2:X$126,$A$2:$A$126,$B133)</f>
        <v>8</v>
      </c>
      <c r="Y133">
        <f>SUMIFS(Y$2:Y$126,$A$2:$A$126,$B133)</f>
        <v>8</v>
      </c>
      <c r="Z133">
        <f>SUMIFS(Z$2:Z$126,$A$2:$A$126,$B133)</f>
        <v>8</v>
      </c>
      <c r="AA133">
        <f>SUMIFS(AA$2:AA$126,$A$2:$A$126,$B133)</f>
        <v>8</v>
      </c>
      <c r="AB133">
        <f>SUMIFS(AB$2:AB$126,$A$2:$A$126,$B133)</f>
        <v>9</v>
      </c>
      <c r="AC133">
        <f>SUMIFS(AC$2:AC$126,$A$2:$A$126,$B133)</f>
        <v>9</v>
      </c>
      <c r="AD133">
        <f>SUMIFS(AD$2:AD$126,$A$2:$A$126,$B133)</f>
        <v>9</v>
      </c>
      <c r="AE133">
        <f>SUMIFS(AE$2:AE$126,$A$2:$A$126,$B133)</f>
        <v>11</v>
      </c>
      <c r="AF133">
        <f>SUMIFS(AF$2:AF$126,$A$2:$A$126,$B133)</f>
        <v>14</v>
      </c>
      <c r="AG133">
        <f>SUMIFS(AG$2:AG$126,$A$2:$A$126,$B133)</f>
        <v>29</v>
      </c>
      <c r="AH133">
        <f>SUMIFS(AH$2:AH$126,$A$2:$A$126,$B133)</f>
        <v>43</v>
      </c>
      <c r="AI133">
        <f>SUMIFS(AI$2:AI$126,$A$2:$A$126,$B133)</f>
        <v>58</v>
      </c>
      <c r="AJ133">
        <f>SUMIFS(AJ$2:AJ$126,$A$2:$A$126,$B133)</f>
        <v>82</v>
      </c>
      <c r="AK133">
        <f>SUMIFS(AK$2:AK$126,$A$2:$A$126,$B133)</f>
        <v>148</v>
      </c>
      <c r="AL133">
        <f>SUMIFS(AL$2:AL$126,$A$2:$A$126,$B133)</f>
        <v>225</v>
      </c>
      <c r="AM133">
        <f>SUMIFS(AM$2:AM$126,$A$2:$A$126,$B133)</f>
        <v>351</v>
      </c>
      <c r="AN133">
        <f>SUMIFS(AN$2:AN$126,$A$2:$A$126,$B133)</f>
        <v>506</v>
      </c>
      <c r="AO133">
        <f>SUMIFS(AO$2:AO$126,$A$2:$A$126,$B133)</f>
        <v>732</v>
      </c>
      <c r="AP133">
        <f>SUMIFS(AP$2:AP$126,$A$2:$A$126,$B133)</f>
        <v>1140</v>
      </c>
      <c r="AQ133">
        <f>SUMIFS(AQ$2:AQ$126,$A$2:$A$126,$B133)</f>
        <v>1687</v>
      </c>
      <c r="AR133">
        <f>SUMIFS(AR$2:AR$126,$A$2:$A$126,$B133)</f>
        <v>2547</v>
      </c>
      <c r="AS133">
        <f>SUMIFS(AS$2:AS$126,$A$2:$A$126,$B133)</f>
        <v>3146</v>
      </c>
      <c r="AT133">
        <f>SUMIFS(AT$2:AT$126,$A$2:$A$126,$B133)</f>
        <v>3757</v>
      </c>
      <c r="AU133">
        <f>SUMIFS(AU$2:AU$126,$A$2:$A$126,$B133)</f>
        <v>5024</v>
      </c>
      <c r="AV133">
        <f>SUMIFS(AV$2:AV$126,$A$2:$A$126,$B133)</f>
        <v>6164</v>
      </c>
      <c r="AW133">
        <f>SUMIFS(AW$2:AW$126,$A$2:$A$126,$B133)</f>
        <v>6960</v>
      </c>
      <c r="AX133">
        <f>SUMIFS(AX$2:AX$126,$A$2:$A$126,$B133)</f>
        <v>7572</v>
      </c>
      <c r="AY133">
        <f>SUMIFS(AY$2:AY$126,$A$2:$A$126,$B133)</f>
        <v>8550</v>
      </c>
      <c r="AZ133">
        <f>SUMIFS(AZ$2:AZ$126,$A$2:$A$126,$B133)</f>
        <v>9861</v>
      </c>
      <c r="BA133">
        <f>SUMIFS(BA$2:BA$126,$A$2:$A$126,$B133)</f>
        <v>11000</v>
      </c>
      <c r="BB133">
        <f>SUMIFS(BB$2:BB$126,$A$2:$A$126,$B133)</f>
        <v>12461</v>
      </c>
      <c r="BC133">
        <f>SUMIFS(BC$2:BC$126,$A$2:$A$126,$B133)</f>
        <v>13957</v>
      </c>
      <c r="BD133">
        <f>SUMIFS(BD$2:BD$126,$A$2:$A$126,$B133)</f>
        <v>15351</v>
      </c>
      <c r="BE133">
        <f>SUMIFS(BE$2:BE$126,$A$2:$A$126,$B133)</f>
        <v>16495</v>
      </c>
      <c r="BF133">
        <f>SUMIFS(BF$2:BF$126,$A$2:$A$126,$B133)</f>
        <v>17839</v>
      </c>
      <c r="BG133">
        <f>SUMIFS(BG$2:BG$126,$A$2:$A$126,$B133)</f>
        <v>19209</v>
      </c>
      <c r="BH133">
        <f>SUMIFS(BH$2:BH$126,$A$2:$A$126,$B133)</f>
        <v>20622</v>
      </c>
      <c r="BI133">
        <f>SUMIFS(BI$2:BI$126,$A$2:$A$126,$B133)</f>
        <v>22099</v>
      </c>
      <c r="BJ133">
        <f>SUMIFS(BJ$2:BJ$126,$A$2:$A$126,$B133)</f>
        <v>23391</v>
      </c>
      <c r="BK133">
        <f>SUMIFS(BK$2:BK$126,$A$2:$A$126,$B133)</f>
        <v>24889</v>
      </c>
      <c r="BL133">
        <f>SUMIFS(BL$2:BL$126,$A$2:$A$126,$B133)</f>
        <v>26713</v>
      </c>
      <c r="BM133">
        <f>SUMIFS(BM$2:BM$126,$A$2:$A$126,$B133)</f>
        <v>29119</v>
      </c>
      <c r="BN133">
        <f>SUMIFS(BN$2:BN$126,$A$2:$A$126,$B133)</f>
        <v>32804</v>
      </c>
      <c r="BO133">
        <f>SUMIFS(BO$2:BO$126,$A$2:$A$126,$B133)</f>
        <v>35824</v>
      </c>
      <c r="BP133">
        <f>SUMIFS(BP$2:BP$126,$A$2:$A$126,$B133)</f>
        <v>0</v>
      </c>
      <c r="BQ133">
        <f>SUMIFS(BQ$2:BQ$126,$A$2:$A$126,$B133)</f>
        <v>0</v>
      </c>
      <c r="BR133">
        <f>SUMIFS(BR$2:BR$126,$A$2:$A$126,$B133)</f>
        <v>0</v>
      </c>
      <c r="BS133">
        <f>SUMIFS(BS$2:BS$126,$A$2:$A$126,$B133)</f>
        <v>0</v>
      </c>
      <c r="BT133">
        <f>SUMIFS(BT$2:BT$126,$A$2:$A$126,$B133)</f>
        <v>0</v>
      </c>
      <c r="BU133">
        <f>SUMIFS(BU$2:BU$126,$A$2:$A$126,$B133)</f>
        <v>0</v>
      </c>
    </row>
  </sheetData>
  <autoFilter ref="B1:BB1" xr:uid="{00000000-0009-0000-0000-000003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BU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B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73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</row>
    <row r="2" spans="1:73" ht="15" thickBot="1" x14ac:dyDescent="0.35">
      <c r="A2" s="168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0</v>
      </c>
      <c r="BQ2">
        <f>SUMIF(DeadRaw!$B:$B,$B2,DeadRaw!BS:BS)</f>
        <v>0</v>
      </c>
      <c r="BR2">
        <f>SUMIF(DeadRaw!$B:$B,$B2,DeadRaw!BT:BT)</f>
        <v>0</v>
      </c>
      <c r="BS2">
        <f>SUMIF(DeadRaw!$B:$B,$B2,DeadRaw!BU:BU)</f>
        <v>0</v>
      </c>
      <c r="BT2">
        <f>SUMIF(DeadRaw!$B:$B,$B2,DeadRaw!BV:BV)</f>
        <v>0</v>
      </c>
      <c r="BU2">
        <f>SUMIF(DeadRaw!$B:$B,$B2,DeadRaw!BW:BW)</f>
        <v>0</v>
      </c>
    </row>
    <row r="3" spans="1:73" ht="15" thickBot="1" x14ac:dyDescent="0.35">
      <c r="A3" s="168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0</v>
      </c>
      <c r="BQ3">
        <f>SUMIF(DeadRaw!$B:$B,$B3,DeadRaw!BS:BS)</f>
        <v>0</v>
      </c>
      <c r="BR3">
        <f>SUMIF(DeadRaw!$B:$B,$B3,DeadRaw!BT:BT)</f>
        <v>0</v>
      </c>
      <c r="BS3">
        <f>SUMIF(DeadRaw!$B:$B,$B3,DeadRaw!BU:BU)</f>
        <v>0</v>
      </c>
      <c r="BT3">
        <f>SUMIF(DeadRaw!$B:$B,$B3,DeadRaw!BV:BV)</f>
        <v>0</v>
      </c>
      <c r="BU3">
        <f>SUMIF(DeadRaw!$B:$B,$B3,DeadRaw!BW:BW)</f>
        <v>0</v>
      </c>
    </row>
    <row r="4" spans="1:73" ht="15" thickBot="1" x14ac:dyDescent="0.35">
      <c r="A4" s="168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0</v>
      </c>
      <c r="BQ4">
        <f>SUMIF(DeadRaw!$B:$B,$B4,DeadRaw!BS:BS)</f>
        <v>0</v>
      </c>
      <c r="BR4">
        <f>SUMIF(DeadRaw!$B:$B,$B4,DeadRaw!BT:BT)</f>
        <v>0</v>
      </c>
      <c r="BS4">
        <f>SUMIF(DeadRaw!$B:$B,$B4,DeadRaw!BU:BU)</f>
        <v>0</v>
      </c>
      <c r="BT4">
        <f>SUMIF(DeadRaw!$B:$B,$B4,DeadRaw!BV:BV)</f>
        <v>0</v>
      </c>
      <c r="BU4">
        <f>SUMIF(DeadRaw!$B:$B,$B4,DeadRaw!BW:BW)</f>
        <v>0</v>
      </c>
    </row>
    <row r="5" spans="1:73" ht="15" thickBot="1" x14ac:dyDescent="0.35">
      <c r="A5" s="168" t="s">
        <v>608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0</v>
      </c>
      <c r="BQ5">
        <f>SUMIF(DeadRaw!$B:$B,$B5,DeadRaw!BS:BS)</f>
        <v>0</v>
      </c>
      <c r="BR5">
        <f>SUMIF(DeadRaw!$B:$B,$B5,DeadRaw!BT:BT)</f>
        <v>0</v>
      </c>
      <c r="BS5">
        <f>SUMIF(DeadRaw!$B:$B,$B5,DeadRaw!BU:BU)</f>
        <v>0</v>
      </c>
      <c r="BT5">
        <f>SUMIF(DeadRaw!$B:$B,$B5,DeadRaw!BV:BV)</f>
        <v>0</v>
      </c>
      <c r="BU5">
        <f>SUMIF(DeadRaw!$B:$B,$B5,DeadRaw!BW:BW)</f>
        <v>0</v>
      </c>
    </row>
    <row r="6" spans="1:73" ht="15" thickBot="1" x14ac:dyDescent="0.35">
      <c r="A6" s="168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0</v>
      </c>
      <c r="BQ6">
        <f>SUMIF(DeadRaw!$B:$B,$B6,DeadRaw!BS:BS)</f>
        <v>0</v>
      </c>
      <c r="BR6">
        <f>SUMIF(DeadRaw!$B:$B,$B6,DeadRaw!BT:BT)</f>
        <v>0</v>
      </c>
      <c r="BS6">
        <f>SUMIF(DeadRaw!$B:$B,$B6,DeadRaw!BU:BU)</f>
        <v>0</v>
      </c>
      <c r="BT6">
        <f>SUMIF(DeadRaw!$B:$B,$B6,DeadRaw!BV:BV)</f>
        <v>0</v>
      </c>
      <c r="BU6">
        <f>SUMIF(DeadRaw!$B:$B,$B6,DeadRaw!BW:BW)</f>
        <v>0</v>
      </c>
    </row>
    <row r="7" spans="1:73" ht="15" thickBot="1" x14ac:dyDescent="0.35">
      <c r="A7" s="168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0</v>
      </c>
      <c r="BQ7">
        <f>SUMIF(DeadRaw!$B:$B,$B7,DeadRaw!BS:BS)</f>
        <v>0</v>
      </c>
      <c r="BR7">
        <f>SUMIF(DeadRaw!$B:$B,$B7,DeadRaw!BT:BT)</f>
        <v>0</v>
      </c>
      <c r="BS7">
        <f>SUMIF(DeadRaw!$B:$B,$B7,DeadRaw!BU:BU)</f>
        <v>0</v>
      </c>
      <c r="BT7">
        <f>SUMIF(DeadRaw!$B:$B,$B7,DeadRaw!BV:BV)</f>
        <v>0</v>
      </c>
      <c r="BU7">
        <f>SUMIF(DeadRaw!$B:$B,$B7,DeadRaw!BW:BW)</f>
        <v>0</v>
      </c>
    </row>
    <row r="8" spans="1:73" ht="15" thickBot="1" x14ac:dyDescent="0.35">
      <c r="A8" s="168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0</v>
      </c>
      <c r="BQ8">
        <f>SUMIF(DeadRaw!$B:$B,$B8,DeadRaw!BS:BS)</f>
        <v>0</v>
      </c>
      <c r="BR8">
        <f>SUMIF(DeadRaw!$B:$B,$B8,DeadRaw!BT:BT)</f>
        <v>0</v>
      </c>
      <c r="BS8">
        <f>SUMIF(DeadRaw!$B:$B,$B8,DeadRaw!BU:BU)</f>
        <v>0</v>
      </c>
      <c r="BT8">
        <f>SUMIF(DeadRaw!$B:$B,$B8,DeadRaw!BV:BV)</f>
        <v>0</v>
      </c>
      <c r="BU8">
        <f>SUMIF(DeadRaw!$B:$B,$B8,DeadRaw!BW:BW)</f>
        <v>0</v>
      </c>
    </row>
    <row r="9" spans="1:73" ht="15" thickBot="1" x14ac:dyDescent="0.35">
      <c r="A9" s="168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0</v>
      </c>
      <c r="BQ9">
        <f>SUMIF(DeadRaw!$B:$B,$B9,DeadRaw!BS:BS)</f>
        <v>0</v>
      </c>
      <c r="BR9">
        <f>SUMIF(DeadRaw!$B:$B,$B9,DeadRaw!BT:BT)</f>
        <v>0</v>
      </c>
      <c r="BS9">
        <f>SUMIF(DeadRaw!$B:$B,$B9,DeadRaw!BU:BU)</f>
        <v>0</v>
      </c>
      <c r="BT9">
        <f>SUMIF(DeadRaw!$B:$B,$B9,DeadRaw!BV:BV)</f>
        <v>0</v>
      </c>
      <c r="BU9">
        <f>SUMIF(DeadRaw!$B:$B,$B9,DeadRaw!BW:BW)</f>
        <v>0</v>
      </c>
    </row>
    <row r="10" spans="1:73" ht="15" thickBot="1" x14ac:dyDescent="0.35">
      <c r="A10" s="168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0</v>
      </c>
      <c r="BQ10">
        <f>SUMIF(DeadRaw!$B:$B,$B10,DeadRaw!BS:BS)</f>
        <v>0</v>
      </c>
      <c r="BR10">
        <f>SUMIF(DeadRaw!$B:$B,$B10,DeadRaw!BT:BT)</f>
        <v>0</v>
      </c>
      <c r="BS10">
        <f>SUMIF(DeadRaw!$B:$B,$B10,DeadRaw!BU:BU)</f>
        <v>0</v>
      </c>
      <c r="BT10">
        <f>SUMIF(DeadRaw!$B:$B,$B10,DeadRaw!BV:BV)</f>
        <v>0</v>
      </c>
      <c r="BU10">
        <f>SUMIF(DeadRaw!$B:$B,$B10,DeadRaw!BW:BW)</f>
        <v>0</v>
      </c>
    </row>
    <row r="11" spans="1:73" ht="15" thickBot="1" x14ac:dyDescent="0.35">
      <c r="A11" s="168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0</v>
      </c>
      <c r="BQ11">
        <f>SUMIF(DeadRaw!$B:$B,$B11,DeadRaw!BS:BS)</f>
        <v>0</v>
      </c>
      <c r="BR11">
        <f>SUMIF(DeadRaw!$B:$B,$B11,DeadRaw!BT:BT)</f>
        <v>0</v>
      </c>
      <c r="BS11">
        <f>SUMIF(DeadRaw!$B:$B,$B11,DeadRaw!BU:BU)</f>
        <v>0</v>
      </c>
      <c r="BT11">
        <f>SUMIF(DeadRaw!$B:$B,$B11,DeadRaw!BV:BV)</f>
        <v>0</v>
      </c>
      <c r="BU11">
        <f>SUMIF(DeadRaw!$B:$B,$B11,DeadRaw!BW:BW)</f>
        <v>0</v>
      </c>
    </row>
    <row r="12" spans="1:73" ht="15" thickBot="1" x14ac:dyDescent="0.35">
      <c r="A12" s="168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0</v>
      </c>
      <c r="BQ12">
        <f>SUMIF(DeadRaw!$B:$B,$B12,DeadRaw!BS:BS)</f>
        <v>0</v>
      </c>
      <c r="BR12">
        <f>SUMIF(DeadRaw!$B:$B,$B12,DeadRaw!BT:BT)</f>
        <v>0</v>
      </c>
      <c r="BS12">
        <f>SUMIF(DeadRaw!$B:$B,$B12,DeadRaw!BU:BU)</f>
        <v>0</v>
      </c>
      <c r="BT12">
        <f>SUMIF(DeadRaw!$B:$B,$B12,DeadRaw!BV:BV)</f>
        <v>0</v>
      </c>
      <c r="BU12">
        <f>SUMIF(DeadRaw!$B:$B,$B12,DeadRaw!BW:BW)</f>
        <v>0</v>
      </c>
    </row>
    <row r="13" spans="1:73" ht="15" thickBot="1" x14ac:dyDescent="0.35">
      <c r="A13" s="168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0</v>
      </c>
      <c r="BQ13">
        <f>SUMIF(DeadRaw!$B:$B,$B13,DeadRaw!BS:BS)</f>
        <v>0</v>
      </c>
      <c r="BR13">
        <f>SUMIF(DeadRaw!$B:$B,$B13,DeadRaw!BT:BT)</f>
        <v>0</v>
      </c>
      <c r="BS13">
        <f>SUMIF(DeadRaw!$B:$B,$B13,DeadRaw!BU:BU)</f>
        <v>0</v>
      </c>
      <c r="BT13">
        <f>SUMIF(DeadRaw!$B:$B,$B13,DeadRaw!BV:BV)</f>
        <v>0</v>
      </c>
      <c r="BU13">
        <f>SUMIF(DeadRaw!$B:$B,$B13,DeadRaw!BW:BW)</f>
        <v>0</v>
      </c>
    </row>
    <row r="14" spans="1:73" ht="15" thickBot="1" x14ac:dyDescent="0.35">
      <c r="A14" s="168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0</v>
      </c>
      <c r="BQ14">
        <f>SUMIF(DeadRaw!$B:$B,$B14,DeadRaw!BS:BS)</f>
        <v>0</v>
      </c>
      <c r="BR14">
        <f>SUMIF(DeadRaw!$B:$B,$B14,DeadRaw!BT:BT)</f>
        <v>0</v>
      </c>
      <c r="BS14">
        <f>SUMIF(DeadRaw!$B:$B,$B14,DeadRaw!BU:BU)</f>
        <v>0</v>
      </c>
      <c r="BT14">
        <f>SUMIF(DeadRaw!$B:$B,$B14,DeadRaw!BV:BV)</f>
        <v>0</v>
      </c>
      <c r="BU14">
        <f>SUMIF(DeadRaw!$B:$B,$B14,DeadRaw!BW:BW)</f>
        <v>0</v>
      </c>
    </row>
    <row r="15" spans="1:73" ht="15" thickBot="1" x14ac:dyDescent="0.35">
      <c r="A15" s="168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0</v>
      </c>
      <c r="BQ15">
        <f>SUMIF(DeadRaw!$B:$B,$B15,DeadRaw!BS:BS)</f>
        <v>0</v>
      </c>
      <c r="BR15">
        <f>SUMIF(DeadRaw!$B:$B,$B15,DeadRaw!BT:BT)</f>
        <v>0</v>
      </c>
      <c r="BS15">
        <f>SUMIF(DeadRaw!$B:$B,$B15,DeadRaw!BU:BU)</f>
        <v>0</v>
      </c>
      <c r="BT15">
        <f>SUMIF(DeadRaw!$B:$B,$B15,DeadRaw!BV:BV)</f>
        <v>0</v>
      </c>
      <c r="BU15">
        <f>SUMIF(DeadRaw!$B:$B,$B15,DeadRaw!BW:BW)</f>
        <v>0</v>
      </c>
    </row>
    <row r="16" spans="1:73" ht="15" thickBot="1" x14ac:dyDescent="0.35">
      <c r="A16" s="168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0</v>
      </c>
      <c r="BQ16">
        <f>SUMIF(DeadRaw!$B:$B,$B16,DeadRaw!BS:BS)</f>
        <v>0</v>
      </c>
      <c r="BR16">
        <f>SUMIF(DeadRaw!$B:$B,$B16,DeadRaw!BT:BT)</f>
        <v>0</v>
      </c>
      <c r="BS16">
        <f>SUMIF(DeadRaw!$B:$B,$B16,DeadRaw!BU:BU)</f>
        <v>0</v>
      </c>
      <c r="BT16">
        <f>SUMIF(DeadRaw!$B:$B,$B16,DeadRaw!BV:BV)</f>
        <v>0</v>
      </c>
      <c r="BU16">
        <f>SUMIF(DeadRaw!$B:$B,$B16,DeadRaw!BW:BW)</f>
        <v>0</v>
      </c>
    </row>
    <row r="17" spans="1:73" ht="15" thickBot="1" x14ac:dyDescent="0.35">
      <c r="A17" s="168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</row>
    <row r="18" spans="1:73" ht="15" thickBot="1" x14ac:dyDescent="0.35">
      <c r="A18" s="168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0</v>
      </c>
      <c r="BQ18">
        <f>SUMIF(DeadRaw!$B:$B,$B18,DeadRaw!BS:BS)</f>
        <v>0</v>
      </c>
      <c r="BR18">
        <f>SUMIF(DeadRaw!$B:$B,$B18,DeadRaw!BT:BT)</f>
        <v>0</v>
      </c>
      <c r="BS18">
        <f>SUMIF(DeadRaw!$B:$B,$B18,DeadRaw!BU:BU)</f>
        <v>0</v>
      </c>
      <c r="BT18">
        <f>SUMIF(DeadRaw!$B:$B,$B18,DeadRaw!BV:BV)</f>
        <v>0</v>
      </c>
      <c r="BU18">
        <f>SUMIF(DeadRaw!$B:$B,$B18,DeadRaw!BW:BW)</f>
        <v>0</v>
      </c>
    </row>
    <row r="19" spans="1:73" ht="15" thickBot="1" x14ac:dyDescent="0.35">
      <c r="A19" s="168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0</v>
      </c>
      <c r="BQ19">
        <f>SUMIF(DeadRaw!$B:$B,$B19,DeadRaw!BS:BS)</f>
        <v>0</v>
      </c>
      <c r="BR19">
        <f>SUMIF(DeadRaw!$B:$B,$B19,DeadRaw!BT:BT)</f>
        <v>0</v>
      </c>
      <c r="BS19">
        <f>SUMIF(DeadRaw!$B:$B,$B19,DeadRaw!BU:BU)</f>
        <v>0</v>
      </c>
      <c r="BT19">
        <f>SUMIF(DeadRaw!$B:$B,$B19,DeadRaw!BV:BV)</f>
        <v>0</v>
      </c>
      <c r="BU19">
        <f>SUMIF(DeadRaw!$B:$B,$B19,DeadRaw!BW:BW)</f>
        <v>0</v>
      </c>
    </row>
    <row r="20" spans="1:73" ht="15" thickBot="1" x14ac:dyDescent="0.35">
      <c r="A20" s="168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0</v>
      </c>
      <c r="BR20">
        <f>SUMIF(DeadRaw!$B:$B,$B20,DeadRaw!BT:BT)</f>
        <v>0</v>
      </c>
      <c r="BS20">
        <f>SUMIF(DeadRaw!$B:$B,$B20,DeadRaw!BU:BU)</f>
        <v>0</v>
      </c>
      <c r="BT20">
        <f>SUMIF(DeadRaw!$B:$B,$B20,DeadRaw!BV:BV)</f>
        <v>0</v>
      </c>
      <c r="BU20">
        <f>SUMIF(DeadRaw!$B:$B,$B20,DeadRaw!BW:BW)</f>
        <v>0</v>
      </c>
    </row>
    <row r="21" spans="1:73" ht="15" thickBot="1" x14ac:dyDescent="0.35">
      <c r="A21" s="168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0</v>
      </c>
      <c r="BQ21">
        <f>SUMIF(DeadRaw!$B:$B,$B21,DeadRaw!BS:BS)</f>
        <v>0</v>
      </c>
      <c r="BR21">
        <f>SUMIF(DeadRaw!$B:$B,$B21,DeadRaw!BT:BT)</f>
        <v>0</v>
      </c>
      <c r="BS21">
        <f>SUMIF(DeadRaw!$B:$B,$B21,DeadRaw!BU:BU)</f>
        <v>0</v>
      </c>
      <c r="BT21">
        <f>SUMIF(DeadRaw!$B:$B,$B21,DeadRaw!BV:BV)</f>
        <v>0</v>
      </c>
      <c r="BU21">
        <f>SUMIF(DeadRaw!$B:$B,$B21,DeadRaw!BW:BW)</f>
        <v>0</v>
      </c>
    </row>
    <row r="22" spans="1:73" ht="15" thickBot="1" x14ac:dyDescent="0.35">
      <c r="A22" s="168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0</v>
      </c>
      <c r="BQ22">
        <f>SUMIF(DeadRaw!$B:$B,$B22,DeadRaw!BS:BS)</f>
        <v>0</v>
      </c>
      <c r="BR22">
        <f>SUMIF(DeadRaw!$B:$B,$B22,DeadRaw!BT:BT)</f>
        <v>0</v>
      </c>
      <c r="BS22">
        <f>SUMIF(DeadRaw!$B:$B,$B22,DeadRaw!BU:BU)</f>
        <v>0</v>
      </c>
      <c r="BT22">
        <f>SUMIF(DeadRaw!$B:$B,$B22,DeadRaw!BV:BV)</f>
        <v>0</v>
      </c>
      <c r="BU22">
        <f>SUMIF(DeadRaw!$B:$B,$B22,DeadRaw!BW:BW)</f>
        <v>0</v>
      </c>
    </row>
    <row r="23" spans="1:73" ht="15" thickBot="1" x14ac:dyDescent="0.35">
      <c r="A23" s="168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0</v>
      </c>
      <c r="BQ23">
        <f>SUMIF(DeadRaw!$B:$B,$B23,DeadRaw!BS:BS)</f>
        <v>0</v>
      </c>
      <c r="BR23">
        <f>SUMIF(DeadRaw!$B:$B,$B23,DeadRaw!BT:BT)</f>
        <v>0</v>
      </c>
      <c r="BS23">
        <f>SUMIF(DeadRaw!$B:$B,$B23,DeadRaw!BU:BU)</f>
        <v>0</v>
      </c>
      <c r="BT23">
        <f>SUMIF(DeadRaw!$B:$B,$B23,DeadRaw!BV:BV)</f>
        <v>0</v>
      </c>
      <c r="BU23">
        <f>SUMIF(DeadRaw!$B:$B,$B23,DeadRaw!BW:BW)</f>
        <v>0</v>
      </c>
    </row>
    <row r="24" spans="1:73" ht="15" thickBot="1" x14ac:dyDescent="0.35">
      <c r="A24" s="168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0</v>
      </c>
      <c r="BQ24">
        <f>SUMIF(DeadRaw!$B:$B,$B24,DeadRaw!BS:BS)</f>
        <v>0</v>
      </c>
      <c r="BR24">
        <f>SUMIF(DeadRaw!$B:$B,$B24,DeadRaw!BT:BT)</f>
        <v>0</v>
      </c>
      <c r="BS24">
        <f>SUMIF(DeadRaw!$B:$B,$B24,DeadRaw!BU:BU)</f>
        <v>0</v>
      </c>
      <c r="BT24">
        <f>SUMIF(DeadRaw!$B:$B,$B24,DeadRaw!BV:BV)</f>
        <v>0</v>
      </c>
      <c r="BU24">
        <f>SUMIF(DeadRaw!$B:$B,$B24,DeadRaw!BW:BW)</f>
        <v>0</v>
      </c>
    </row>
    <row r="25" spans="1:73" ht="15" thickBot="1" x14ac:dyDescent="0.35">
      <c r="A25" s="168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0</v>
      </c>
      <c r="BQ25">
        <f>SUMIF(DeadRaw!$B:$B,$B25,DeadRaw!BS:BS)</f>
        <v>0</v>
      </c>
      <c r="BR25">
        <f>SUMIF(DeadRaw!$B:$B,$B25,DeadRaw!BT:BT)</f>
        <v>0</v>
      </c>
      <c r="BS25">
        <f>SUMIF(DeadRaw!$B:$B,$B25,DeadRaw!BU:BU)</f>
        <v>0</v>
      </c>
      <c r="BT25">
        <f>SUMIF(DeadRaw!$B:$B,$B25,DeadRaw!BV:BV)</f>
        <v>0</v>
      </c>
      <c r="BU25">
        <f>SUMIF(DeadRaw!$B:$B,$B25,DeadRaw!BW:BW)</f>
        <v>0</v>
      </c>
    </row>
    <row r="26" spans="1:73" ht="15" thickBot="1" x14ac:dyDescent="0.35">
      <c r="A26" s="168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0</v>
      </c>
      <c r="BQ26">
        <f>SUMIF(DeadRaw!$B:$B,$B26,DeadRaw!BS:BS)</f>
        <v>0</v>
      </c>
      <c r="BR26">
        <f>SUMIF(DeadRaw!$B:$B,$B26,DeadRaw!BT:BT)</f>
        <v>0</v>
      </c>
      <c r="BS26">
        <f>SUMIF(DeadRaw!$B:$B,$B26,DeadRaw!BU:BU)</f>
        <v>0</v>
      </c>
      <c r="BT26">
        <f>SUMIF(DeadRaw!$B:$B,$B26,DeadRaw!BV:BV)</f>
        <v>0</v>
      </c>
      <c r="BU26">
        <f>SUMIF(DeadRaw!$B:$B,$B26,DeadRaw!BW:BW)</f>
        <v>0</v>
      </c>
    </row>
    <row r="27" spans="1:73" ht="15" thickBot="1" x14ac:dyDescent="0.35">
      <c r="A27" s="168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0</v>
      </c>
      <c r="BQ27">
        <f>SUMIF(DeadRaw!$B:$B,$B27,DeadRaw!BS:BS)</f>
        <v>0</v>
      </c>
      <c r="BR27">
        <f>SUMIF(DeadRaw!$B:$B,$B27,DeadRaw!BT:BT)</f>
        <v>0</v>
      </c>
      <c r="BS27">
        <f>SUMIF(DeadRaw!$B:$B,$B27,DeadRaw!BU:BU)</f>
        <v>0</v>
      </c>
      <c r="BT27">
        <f>SUMIF(DeadRaw!$B:$B,$B27,DeadRaw!BV:BV)</f>
        <v>0</v>
      </c>
      <c r="BU27">
        <f>SUMIF(DeadRaw!$B:$B,$B27,DeadRaw!BW:BW)</f>
        <v>0</v>
      </c>
    </row>
    <row r="28" spans="1:73" ht="15" thickBot="1" x14ac:dyDescent="0.35">
      <c r="A28" s="168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0</v>
      </c>
      <c r="BQ28">
        <f>SUMIF(DeadRaw!$B:$B,$B28,DeadRaw!BS:BS)</f>
        <v>0</v>
      </c>
      <c r="BR28">
        <f>SUMIF(DeadRaw!$B:$B,$B28,DeadRaw!BT:BT)</f>
        <v>0</v>
      </c>
      <c r="BS28">
        <f>SUMIF(DeadRaw!$B:$B,$B28,DeadRaw!BU:BU)</f>
        <v>0</v>
      </c>
      <c r="BT28">
        <f>SUMIF(DeadRaw!$B:$B,$B28,DeadRaw!BV:BV)</f>
        <v>0</v>
      </c>
      <c r="BU28">
        <f>SUMIF(DeadRaw!$B:$B,$B28,DeadRaw!BW:BW)</f>
        <v>0</v>
      </c>
    </row>
    <row r="29" spans="1:73" ht="15" thickBot="1" x14ac:dyDescent="0.35">
      <c r="A29" s="168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0</v>
      </c>
      <c r="BQ29">
        <f>SUMIF(DeadRaw!$B:$B,$B29,DeadRaw!BS:BS)</f>
        <v>0</v>
      </c>
      <c r="BR29">
        <f>SUMIF(DeadRaw!$B:$B,$B29,DeadRaw!BT:BT)</f>
        <v>0</v>
      </c>
      <c r="BS29">
        <f>SUMIF(DeadRaw!$B:$B,$B29,DeadRaw!BU:BU)</f>
        <v>0</v>
      </c>
      <c r="BT29">
        <f>SUMIF(DeadRaw!$B:$B,$B29,DeadRaw!BV:BV)</f>
        <v>0</v>
      </c>
      <c r="BU29">
        <f>SUMIF(DeadRaw!$B:$B,$B29,DeadRaw!BW:BW)</f>
        <v>0</v>
      </c>
    </row>
    <row r="30" spans="1:73" ht="15" thickBot="1" x14ac:dyDescent="0.35">
      <c r="A30" s="168" t="s">
        <v>609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0</v>
      </c>
      <c r="BQ30">
        <f>SUMIF(DeadRaw!$B:$B,$B30,DeadRaw!BS:BS)</f>
        <v>0</v>
      </c>
      <c r="BR30">
        <f>SUMIF(DeadRaw!$B:$B,$B30,DeadRaw!BT:BT)</f>
        <v>0</v>
      </c>
      <c r="BS30">
        <f>SUMIF(DeadRaw!$B:$B,$B30,DeadRaw!BU:BU)</f>
        <v>0</v>
      </c>
      <c r="BT30">
        <f>SUMIF(DeadRaw!$B:$B,$B30,DeadRaw!BV:BV)</f>
        <v>0</v>
      </c>
      <c r="BU30">
        <f>SUMIF(DeadRaw!$B:$B,$B30,DeadRaw!BW:BW)</f>
        <v>0</v>
      </c>
    </row>
    <row r="31" spans="1:73" ht="15" thickBot="1" x14ac:dyDescent="0.35">
      <c r="A31" s="168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0</v>
      </c>
      <c r="BQ31">
        <f>SUMIF(DeadRaw!$B:$B,$B31,DeadRaw!BS:BS)</f>
        <v>0</v>
      </c>
      <c r="BR31">
        <f>SUMIF(DeadRaw!$B:$B,$B31,DeadRaw!BT:BT)</f>
        <v>0</v>
      </c>
      <c r="BS31">
        <f>SUMIF(DeadRaw!$B:$B,$B31,DeadRaw!BU:BU)</f>
        <v>0</v>
      </c>
      <c r="BT31">
        <f>SUMIF(DeadRaw!$B:$B,$B31,DeadRaw!BV:BV)</f>
        <v>0</v>
      </c>
      <c r="BU31">
        <f>SUMIF(DeadRaw!$B:$B,$B31,DeadRaw!BW:BW)</f>
        <v>0</v>
      </c>
    </row>
    <row r="32" spans="1:73" ht="15" thickBot="1" x14ac:dyDescent="0.35">
      <c r="A32" s="168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0</v>
      </c>
      <c r="BQ32">
        <f>SUMIF(DeadRaw!$B:$B,$B32,DeadRaw!BS:BS)</f>
        <v>0</v>
      </c>
      <c r="BR32">
        <f>SUMIF(DeadRaw!$B:$B,$B32,DeadRaw!BT:BT)</f>
        <v>0</v>
      </c>
      <c r="BS32">
        <f>SUMIF(DeadRaw!$B:$B,$B32,DeadRaw!BU:BU)</f>
        <v>0</v>
      </c>
      <c r="BT32">
        <f>SUMIF(DeadRaw!$B:$B,$B32,DeadRaw!BV:BV)</f>
        <v>0</v>
      </c>
      <c r="BU32">
        <f>SUMIF(DeadRaw!$B:$B,$B32,DeadRaw!BW:BW)</f>
        <v>0</v>
      </c>
    </row>
    <row r="33" spans="1:73" ht="15" thickBot="1" x14ac:dyDescent="0.35">
      <c r="A33" s="168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0</v>
      </c>
      <c r="BQ33">
        <f>SUMIF(DeadRaw!$B:$B,$B33,DeadRaw!BS:BS)</f>
        <v>0</v>
      </c>
      <c r="BR33">
        <f>SUMIF(DeadRaw!$B:$B,$B33,DeadRaw!BT:BT)</f>
        <v>0</v>
      </c>
      <c r="BS33">
        <f>SUMIF(DeadRaw!$B:$B,$B33,DeadRaw!BU:BU)</f>
        <v>0</v>
      </c>
      <c r="BT33">
        <f>SUMIF(DeadRaw!$B:$B,$B33,DeadRaw!BV:BV)</f>
        <v>0</v>
      </c>
      <c r="BU33">
        <f>SUMIF(DeadRaw!$B:$B,$B33,DeadRaw!BW:BW)</f>
        <v>0</v>
      </c>
    </row>
    <row r="34" spans="1:73" ht="15" thickBot="1" x14ac:dyDescent="0.35">
      <c r="A34" s="168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0</v>
      </c>
      <c r="BQ34">
        <f>SUMIF(DeadRaw!$B:$B,$B34,DeadRaw!BS:BS)</f>
        <v>0</v>
      </c>
      <c r="BR34">
        <f>SUMIF(DeadRaw!$B:$B,$B34,DeadRaw!BT:BT)</f>
        <v>0</v>
      </c>
      <c r="BS34">
        <f>SUMIF(DeadRaw!$B:$B,$B34,DeadRaw!BU:BU)</f>
        <v>0</v>
      </c>
      <c r="BT34">
        <f>SUMIF(DeadRaw!$B:$B,$B34,DeadRaw!BV:BV)</f>
        <v>0</v>
      </c>
      <c r="BU34">
        <f>SUMIF(DeadRaw!$B:$B,$B34,DeadRaw!BW:BW)</f>
        <v>0</v>
      </c>
    </row>
    <row r="35" spans="1:73" ht="15" thickBot="1" x14ac:dyDescent="0.35">
      <c r="A35" s="168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0</v>
      </c>
      <c r="BQ35">
        <f>SUMIF(DeadRaw!$B:$B,$B35,DeadRaw!BS:BS)</f>
        <v>0</v>
      </c>
      <c r="BR35">
        <f>SUMIF(DeadRaw!$B:$B,$B35,DeadRaw!BT:BT)</f>
        <v>0</v>
      </c>
      <c r="BS35">
        <f>SUMIF(DeadRaw!$B:$B,$B35,DeadRaw!BU:BU)</f>
        <v>0</v>
      </c>
      <c r="BT35">
        <f>SUMIF(DeadRaw!$B:$B,$B35,DeadRaw!BV:BV)</f>
        <v>0</v>
      </c>
      <c r="BU35">
        <f>SUMIF(DeadRaw!$B:$B,$B35,DeadRaw!BW:BW)</f>
        <v>0</v>
      </c>
    </row>
    <row r="36" spans="1:73" ht="15" thickBot="1" x14ac:dyDescent="0.35">
      <c r="A36" s="168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0</v>
      </c>
      <c r="BQ36">
        <f>SUMIF(DeadRaw!$B:$B,$B36,DeadRaw!BS:BS)</f>
        <v>0</v>
      </c>
      <c r="BR36">
        <f>SUMIF(DeadRaw!$B:$B,$B36,DeadRaw!BT:BT)</f>
        <v>0</v>
      </c>
      <c r="BS36">
        <f>SUMIF(DeadRaw!$B:$B,$B36,DeadRaw!BU:BU)</f>
        <v>0</v>
      </c>
      <c r="BT36">
        <f>SUMIF(DeadRaw!$B:$B,$B36,DeadRaw!BV:BV)</f>
        <v>0</v>
      </c>
      <c r="BU36">
        <f>SUMIF(DeadRaw!$B:$B,$B36,DeadRaw!BW:BW)</f>
        <v>0</v>
      </c>
    </row>
    <row r="37" spans="1:73" ht="15" thickBot="1" x14ac:dyDescent="0.35">
      <c r="A37" s="168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0</v>
      </c>
      <c r="BQ37">
        <f>SUMIF(DeadRaw!$B:$B,$B37,DeadRaw!BS:BS)</f>
        <v>0</v>
      </c>
      <c r="BR37">
        <f>SUMIF(DeadRaw!$B:$B,$B37,DeadRaw!BT:BT)</f>
        <v>0</v>
      </c>
      <c r="BS37">
        <f>SUMIF(DeadRaw!$B:$B,$B37,DeadRaw!BU:BU)</f>
        <v>0</v>
      </c>
      <c r="BT37">
        <f>SUMIF(DeadRaw!$B:$B,$B37,DeadRaw!BV:BV)</f>
        <v>0</v>
      </c>
      <c r="BU37">
        <f>SUMIF(DeadRaw!$B:$B,$B37,DeadRaw!BW:BW)</f>
        <v>0</v>
      </c>
    </row>
    <row r="38" spans="1:73" ht="15" thickBot="1" x14ac:dyDescent="0.35">
      <c r="A38" s="168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0</v>
      </c>
      <c r="BQ38">
        <f>SUMIF(DeadRaw!$B:$B,$B38,DeadRaw!BS:BS)</f>
        <v>0</v>
      </c>
      <c r="BR38">
        <f>SUMIF(DeadRaw!$B:$B,$B38,DeadRaw!BT:BT)</f>
        <v>0</v>
      </c>
      <c r="BS38">
        <f>SUMIF(DeadRaw!$B:$B,$B38,DeadRaw!BU:BU)</f>
        <v>0</v>
      </c>
      <c r="BT38">
        <f>SUMIF(DeadRaw!$B:$B,$B38,DeadRaw!BV:BV)</f>
        <v>0</v>
      </c>
      <c r="BU38">
        <f>SUMIF(DeadRaw!$B:$B,$B38,DeadRaw!BW:BW)</f>
        <v>0</v>
      </c>
    </row>
    <row r="39" spans="1:73" ht="15" thickBot="1" x14ac:dyDescent="0.35">
      <c r="A39" s="168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0</v>
      </c>
      <c r="BQ39">
        <f>SUMIF(DeadRaw!$B:$B,$B39,DeadRaw!BS:BS)</f>
        <v>0</v>
      </c>
      <c r="BR39">
        <f>SUMIF(DeadRaw!$B:$B,$B39,DeadRaw!BT:BT)</f>
        <v>0</v>
      </c>
      <c r="BS39">
        <f>SUMIF(DeadRaw!$B:$B,$B39,DeadRaw!BU:BU)</f>
        <v>0</v>
      </c>
      <c r="BT39">
        <f>SUMIF(DeadRaw!$B:$B,$B39,DeadRaw!BV:BV)</f>
        <v>0</v>
      </c>
      <c r="BU39">
        <f>SUMIF(DeadRaw!$B:$B,$B39,DeadRaw!BW:BW)</f>
        <v>0</v>
      </c>
    </row>
    <row r="40" spans="1:73" ht="15" thickBot="1" x14ac:dyDescent="0.35">
      <c r="A40" s="168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0</v>
      </c>
      <c r="BQ40">
        <f>SUMIF(DeadRaw!$B:$B,$B40,DeadRaw!BS:BS)</f>
        <v>0</v>
      </c>
      <c r="BR40">
        <f>SUMIF(DeadRaw!$B:$B,$B40,DeadRaw!BT:BT)</f>
        <v>0</v>
      </c>
      <c r="BS40">
        <f>SUMIF(DeadRaw!$B:$B,$B40,DeadRaw!BU:BU)</f>
        <v>0</v>
      </c>
      <c r="BT40">
        <f>SUMIF(DeadRaw!$B:$B,$B40,DeadRaw!BV:BV)</f>
        <v>0</v>
      </c>
      <c r="BU40">
        <f>SUMIF(DeadRaw!$B:$B,$B40,DeadRaw!BW:BW)</f>
        <v>0</v>
      </c>
    </row>
    <row r="41" spans="1:73" ht="15" thickBot="1" x14ac:dyDescent="0.35">
      <c r="A41" s="168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</row>
    <row r="42" spans="1:73" ht="15" thickBot="1" x14ac:dyDescent="0.35">
      <c r="A42" s="168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0</v>
      </c>
      <c r="BQ42">
        <f>SUMIF(DeadRaw!$B:$B,$B42,DeadRaw!BS:BS)</f>
        <v>0</v>
      </c>
      <c r="BR42">
        <f>SUMIF(DeadRaw!$B:$B,$B42,DeadRaw!BT:BT)</f>
        <v>0</v>
      </c>
      <c r="BS42">
        <f>SUMIF(DeadRaw!$B:$B,$B42,DeadRaw!BU:BU)</f>
        <v>0</v>
      </c>
      <c r="BT42">
        <f>SUMIF(DeadRaw!$B:$B,$B42,DeadRaw!BV:BV)</f>
        <v>0</v>
      </c>
      <c r="BU42">
        <f>SUMIF(DeadRaw!$B:$B,$B42,DeadRaw!BW:BW)</f>
        <v>0</v>
      </c>
    </row>
    <row r="43" spans="1:73" ht="15" thickBot="1" x14ac:dyDescent="0.35">
      <c r="A43" s="168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0</v>
      </c>
      <c r="BQ43">
        <f>SUMIF(DeadRaw!$B:$B,$B43,DeadRaw!BS:BS)</f>
        <v>0</v>
      </c>
      <c r="BR43">
        <f>SUMIF(DeadRaw!$B:$B,$B43,DeadRaw!BT:BT)</f>
        <v>0</v>
      </c>
      <c r="BS43">
        <f>SUMIF(DeadRaw!$B:$B,$B43,DeadRaw!BU:BU)</f>
        <v>0</v>
      </c>
      <c r="BT43">
        <f>SUMIF(DeadRaw!$B:$B,$B43,DeadRaw!BV:BV)</f>
        <v>0</v>
      </c>
      <c r="BU43">
        <f>SUMIF(DeadRaw!$B:$B,$B43,DeadRaw!BW:BW)</f>
        <v>0</v>
      </c>
    </row>
    <row r="44" spans="1:73" ht="15" thickBot="1" x14ac:dyDescent="0.35">
      <c r="A44" s="168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0</v>
      </c>
      <c r="BQ44">
        <f>SUMIF(DeadRaw!$B:$B,$B44,DeadRaw!BS:BS)</f>
        <v>0</v>
      </c>
      <c r="BR44">
        <f>SUMIF(DeadRaw!$B:$B,$B44,DeadRaw!BT:BT)</f>
        <v>0</v>
      </c>
      <c r="BS44">
        <f>SUMIF(DeadRaw!$B:$B,$B44,DeadRaw!BU:BU)</f>
        <v>0</v>
      </c>
      <c r="BT44">
        <f>SUMIF(DeadRaw!$B:$B,$B44,DeadRaw!BV:BV)</f>
        <v>0</v>
      </c>
      <c r="BU44">
        <f>SUMIF(DeadRaw!$B:$B,$B44,DeadRaw!BW:BW)</f>
        <v>0</v>
      </c>
    </row>
    <row r="45" spans="1:73" ht="15" thickBot="1" x14ac:dyDescent="0.35">
      <c r="A45" s="168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0</v>
      </c>
      <c r="BQ45">
        <f>SUMIF(DeadRaw!$B:$B,$B45,DeadRaw!BS:BS)</f>
        <v>0</v>
      </c>
      <c r="BR45">
        <f>SUMIF(DeadRaw!$B:$B,$B45,DeadRaw!BT:BT)</f>
        <v>0</v>
      </c>
      <c r="BS45">
        <f>SUMIF(DeadRaw!$B:$B,$B45,DeadRaw!BU:BU)</f>
        <v>0</v>
      </c>
      <c r="BT45">
        <f>SUMIF(DeadRaw!$B:$B,$B45,DeadRaw!BV:BV)</f>
        <v>0</v>
      </c>
      <c r="BU45">
        <f>SUMIF(DeadRaw!$B:$B,$B45,DeadRaw!BW:BW)</f>
        <v>0</v>
      </c>
    </row>
    <row r="46" spans="1:73" ht="15" thickBot="1" x14ac:dyDescent="0.35">
      <c r="A46" s="168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0</v>
      </c>
      <c r="BQ46">
        <f>SUMIF(DeadRaw!$B:$B,$B46,DeadRaw!BS:BS)</f>
        <v>0</v>
      </c>
      <c r="BR46">
        <f>SUMIF(DeadRaw!$B:$B,$B46,DeadRaw!BT:BT)</f>
        <v>0</v>
      </c>
      <c r="BS46">
        <f>SUMIF(DeadRaw!$B:$B,$B46,DeadRaw!BU:BU)</f>
        <v>0</v>
      </c>
      <c r="BT46">
        <f>SUMIF(DeadRaw!$B:$B,$B46,DeadRaw!BV:BV)</f>
        <v>0</v>
      </c>
      <c r="BU46">
        <f>SUMIF(DeadRaw!$B:$B,$B46,DeadRaw!BW:BW)</f>
        <v>0</v>
      </c>
    </row>
    <row r="47" spans="1:73" ht="15" thickBot="1" x14ac:dyDescent="0.35">
      <c r="A47" s="168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0</v>
      </c>
      <c r="BQ47">
        <f>SUMIF(DeadRaw!$B:$B,$B47,DeadRaw!BS:BS)</f>
        <v>0</v>
      </c>
      <c r="BR47">
        <f>SUMIF(DeadRaw!$B:$B,$B47,DeadRaw!BT:BT)</f>
        <v>0</v>
      </c>
      <c r="BS47">
        <f>SUMIF(DeadRaw!$B:$B,$B47,DeadRaw!BU:BU)</f>
        <v>0</v>
      </c>
      <c r="BT47">
        <f>SUMIF(DeadRaw!$B:$B,$B47,DeadRaw!BV:BV)</f>
        <v>0</v>
      </c>
      <c r="BU47">
        <f>SUMIF(DeadRaw!$B:$B,$B47,DeadRaw!BW:BW)</f>
        <v>0</v>
      </c>
    </row>
    <row r="48" spans="1:73" ht="15" thickBot="1" x14ac:dyDescent="0.35">
      <c r="A48" s="168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0</v>
      </c>
      <c r="BQ48">
        <f>SUMIF(DeadRaw!$B:$B,$B48,DeadRaw!BS:BS)</f>
        <v>0</v>
      </c>
      <c r="BR48">
        <f>SUMIF(DeadRaw!$B:$B,$B48,DeadRaw!BT:BT)</f>
        <v>0</v>
      </c>
      <c r="BS48">
        <f>SUMIF(DeadRaw!$B:$B,$B48,DeadRaw!BU:BU)</f>
        <v>0</v>
      </c>
      <c r="BT48">
        <f>SUMIF(DeadRaw!$B:$B,$B48,DeadRaw!BV:BV)</f>
        <v>0</v>
      </c>
      <c r="BU48">
        <f>SUMIF(DeadRaw!$B:$B,$B48,DeadRaw!BW:BW)</f>
        <v>0</v>
      </c>
    </row>
    <row r="49" spans="1:73" ht="15" thickBot="1" x14ac:dyDescent="0.35">
      <c r="A49" s="168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0</v>
      </c>
      <c r="BQ49">
        <f>SUMIF(DeadRaw!$B:$B,$B49,DeadRaw!BS:BS)</f>
        <v>0</v>
      </c>
      <c r="BR49">
        <f>SUMIF(DeadRaw!$B:$B,$B49,DeadRaw!BT:BT)</f>
        <v>0</v>
      </c>
      <c r="BS49">
        <f>SUMIF(DeadRaw!$B:$B,$B49,DeadRaw!BU:BU)</f>
        <v>0</v>
      </c>
      <c r="BT49">
        <f>SUMIF(DeadRaw!$B:$B,$B49,DeadRaw!BV:BV)</f>
        <v>0</v>
      </c>
      <c r="BU49">
        <f>SUMIF(DeadRaw!$B:$B,$B49,DeadRaw!BW:BW)</f>
        <v>0</v>
      </c>
    </row>
    <row r="50" spans="1:73" ht="15" thickBot="1" x14ac:dyDescent="0.35">
      <c r="A50" s="168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</row>
    <row r="51" spans="1:73" ht="15" thickBot="1" x14ac:dyDescent="0.35">
      <c r="A51" s="168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0</v>
      </c>
      <c r="BQ51">
        <f>SUMIF(DeadRaw!$B:$B,$B51,DeadRaw!BS:BS)</f>
        <v>0</v>
      </c>
      <c r="BR51">
        <f>SUMIF(DeadRaw!$B:$B,$B51,DeadRaw!BT:BT)</f>
        <v>0</v>
      </c>
      <c r="BS51">
        <f>SUMIF(DeadRaw!$B:$B,$B51,DeadRaw!BU:BU)</f>
        <v>0</v>
      </c>
      <c r="BT51">
        <f>SUMIF(DeadRaw!$B:$B,$B51,DeadRaw!BV:BV)</f>
        <v>0</v>
      </c>
      <c r="BU51">
        <f>SUMIF(DeadRaw!$B:$B,$B51,DeadRaw!BW:BW)</f>
        <v>0</v>
      </c>
    </row>
    <row r="52" spans="1:73" ht="15" thickBot="1" x14ac:dyDescent="0.35">
      <c r="A52" s="168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0</v>
      </c>
      <c r="BQ52">
        <f>SUMIF(DeadRaw!$B:$B,$B52,DeadRaw!BS:BS)</f>
        <v>0</v>
      </c>
      <c r="BR52">
        <f>SUMIF(DeadRaw!$B:$B,$B52,DeadRaw!BT:BT)</f>
        <v>0</v>
      </c>
      <c r="BS52">
        <f>SUMIF(DeadRaw!$B:$B,$B52,DeadRaw!BU:BU)</f>
        <v>0</v>
      </c>
      <c r="BT52">
        <f>SUMIF(DeadRaw!$B:$B,$B52,DeadRaw!BV:BV)</f>
        <v>0</v>
      </c>
      <c r="BU52">
        <f>SUMIF(DeadRaw!$B:$B,$B52,DeadRaw!BW:BW)</f>
        <v>0</v>
      </c>
    </row>
    <row r="53" spans="1:73" ht="15" thickBot="1" x14ac:dyDescent="0.35">
      <c r="A53" s="168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0</v>
      </c>
      <c r="BR53">
        <f>SUMIF(DeadRaw!$B:$B,$B53,DeadRaw!BT:BT)</f>
        <v>0</v>
      </c>
      <c r="BS53">
        <f>SUMIF(DeadRaw!$B:$B,$B53,DeadRaw!BU:BU)</f>
        <v>0</v>
      </c>
      <c r="BT53">
        <f>SUMIF(DeadRaw!$B:$B,$B53,DeadRaw!BV:BV)</f>
        <v>0</v>
      </c>
      <c r="BU53">
        <f>SUMIF(DeadRaw!$B:$B,$B53,DeadRaw!BW:BW)</f>
        <v>0</v>
      </c>
    </row>
    <row r="54" spans="1:73" ht="15" thickBot="1" x14ac:dyDescent="0.35">
      <c r="A54" s="168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0</v>
      </c>
      <c r="BQ54">
        <f>SUMIF(DeadRaw!$B:$B,$B54,DeadRaw!BS:BS)</f>
        <v>0</v>
      </c>
      <c r="BR54">
        <f>SUMIF(DeadRaw!$B:$B,$B54,DeadRaw!BT:BT)</f>
        <v>0</v>
      </c>
      <c r="BS54">
        <f>SUMIF(DeadRaw!$B:$B,$B54,DeadRaw!BU:BU)</f>
        <v>0</v>
      </c>
      <c r="BT54">
        <f>SUMIF(DeadRaw!$B:$B,$B54,DeadRaw!BV:BV)</f>
        <v>0</v>
      </c>
      <c r="BU54">
        <f>SUMIF(DeadRaw!$B:$B,$B54,DeadRaw!BW:BW)</f>
        <v>0</v>
      </c>
    </row>
    <row r="55" spans="1:73" ht="15" thickBot="1" x14ac:dyDescent="0.35">
      <c r="A55" s="168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0</v>
      </c>
      <c r="BQ55">
        <f>SUMIF(DeadRaw!$B:$B,$B55,DeadRaw!BS:BS)</f>
        <v>0</v>
      </c>
      <c r="BR55">
        <f>SUMIF(DeadRaw!$B:$B,$B55,DeadRaw!BT:BT)</f>
        <v>0</v>
      </c>
      <c r="BS55">
        <f>SUMIF(DeadRaw!$B:$B,$B55,DeadRaw!BU:BU)</f>
        <v>0</v>
      </c>
      <c r="BT55">
        <f>SUMIF(DeadRaw!$B:$B,$B55,DeadRaw!BV:BV)</f>
        <v>0</v>
      </c>
      <c r="BU55">
        <f>SUMIF(DeadRaw!$B:$B,$B55,DeadRaw!BW:BW)</f>
        <v>0</v>
      </c>
    </row>
    <row r="56" spans="1:73" ht="15" thickBot="1" x14ac:dyDescent="0.35">
      <c r="A56" s="168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0</v>
      </c>
      <c r="BQ56">
        <f>SUMIF(DeadRaw!$B:$B,$B56,DeadRaw!BS:BS)</f>
        <v>0</v>
      </c>
      <c r="BR56">
        <f>SUMIF(DeadRaw!$B:$B,$B56,DeadRaw!BT:BT)</f>
        <v>0</v>
      </c>
      <c r="BS56">
        <f>SUMIF(DeadRaw!$B:$B,$B56,DeadRaw!BU:BU)</f>
        <v>0</v>
      </c>
      <c r="BT56">
        <f>SUMIF(DeadRaw!$B:$B,$B56,DeadRaw!BV:BV)</f>
        <v>0</v>
      </c>
      <c r="BU56">
        <f>SUMIF(DeadRaw!$B:$B,$B56,DeadRaw!BW:BW)</f>
        <v>0</v>
      </c>
    </row>
    <row r="57" spans="1:73" ht="15" thickBot="1" x14ac:dyDescent="0.35">
      <c r="A57" s="168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0</v>
      </c>
      <c r="BQ57">
        <f>SUMIF(DeadRaw!$B:$B,$B57,DeadRaw!BS:BS)</f>
        <v>0</v>
      </c>
      <c r="BR57">
        <f>SUMIF(DeadRaw!$B:$B,$B57,DeadRaw!BT:BT)</f>
        <v>0</v>
      </c>
      <c r="BS57">
        <f>SUMIF(DeadRaw!$B:$B,$B57,DeadRaw!BU:BU)</f>
        <v>0</v>
      </c>
      <c r="BT57">
        <f>SUMIF(DeadRaw!$B:$B,$B57,DeadRaw!BV:BV)</f>
        <v>0</v>
      </c>
      <c r="BU57">
        <f>SUMIF(DeadRaw!$B:$B,$B57,DeadRaw!BW:BW)</f>
        <v>0</v>
      </c>
    </row>
    <row r="58" spans="1:73" ht="15" thickBot="1" x14ac:dyDescent="0.35">
      <c r="A58" s="168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0</v>
      </c>
    </row>
    <row r="59" spans="1:73" ht="15" thickBot="1" x14ac:dyDescent="0.35">
      <c r="A59" s="168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0</v>
      </c>
      <c r="BQ59">
        <f>SUMIF(DeadRaw!$B:$B,$B59,DeadRaw!BS:BS)</f>
        <v>0</v>
      </c>
      <c r="BR59">
        <f>SUMIF(DeadRaw!$B:$B,$B59,DeadRaw!BT:BT)</f>
        <v>0</v>
      </c>
      <c r="BS59">
        <f>SUMIF(DeadRaw!$B:$B,$B59,DeadRaw!BU:BU)</f>
        <v>0</v>
      </c>
      <c r="BT59">
        <f>SUMIF(DeadRaw!$B:$B,$B59,DeadRaw!BV:BV)</f>
        <v>0</v>
      </c>
      <c r="BU59">
        <f>SUMIF(DeadRaw!$B:$B,$B59,DeadRaw!BW:BW)</f>
        <v>0</v>
      </c>
    </row>
    <row r="60" spans="1:73" ht="15" thickBot="1" x14ac:dyDescent="0.35">
      <c r="A60" s="168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0</v>
      </c>
      <c r="BQ60">
        <f>SUMIF(DeadRaw!$B:$B,$B60,DeadRaw!BS:BS)</f>
        <v>0</v>
      </c>
      <c r="BR60">
        <f>SUMIF(DeadRaw!$B:$B,$B60,DeadRaw!BT:BT)</f>
        <v>0</v>
      </c>
      <c r="BS60">
        <f>SUMIF(DeadRaw!$B:$B,$B60,DeadRaw!BU:BU)</f>
        <v>0</v>
      </c>
      <c r="BT60">
        <f>SUMIF(DeadRaw!$B:$B,$B60,DeadRaw!BV:BV)</f>
        <v>0</v>
      </c>
      <c r="BU60">
        <f>SUMIF(DeadRaw!$B:$B,$B60,DeadRaw!BW:BW)</f>
        <v>0</v>
      </c>
    </row>
    <row r="61" spans="1:73" ht="15" thickBot="1" x14ac:dyDescent="0.35">
      <c r="A61" s="168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0</v>
      </c>
      <c r="BQ61">
        <f>SUMIF(DeadRaw!$B:$B,$B61,DeadRaw!BS:BS)</f>
        <v>0</v>
      </c>
      <c r="BR61">
        <f>SUMIF(DeadRaw!$B:$B,$B61,DeadRaw!BT:BT)</f>
        <v>0</v>
      </c>
      <c r="BS61">
        <f>SUMIF(DeadRaw!$B:$B,$B61,DeadRaw!BU:BU)</f>
        <v>0</v>
      </c>
      <c r="BT61">
        <f>SUMIF(DeadRaw!$B:$B,$B61,DeadRaw!BV:BV)</f>
        <v>0</v>
      </c>
      <c r="BU61">
        <f>SUMIF(DeadRaw!$B:$B,$B61,DeadRaw!BW:BW)</f>
        <v>0</v>
      </c>
    </row>
    <row r="62" spans="1:73" ht="15" thickBot="1" x14ac:dyDescent="0.35">
      <c r="A62" s="168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0</v>
      </c>
      <c r="BU62">
        <f>SUMIF(DeadRaw!$B:$B,$B62,DeadRaw!BW:BW)</f>
        <v>0</v>
      </c>
    </row>
    <row r="63" spans="1:73" ht="15" thickBot="1" x14ac:dyDescent="0.35">
      <c r="A63" s="168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0</v>
      </c>
      <c r="BQ63">
        <f>SUMIF(DeadRaw!$B:$B,$B63,DeadRaw!BS:BS)</f>
        <v>0</v>
      </c>
      <c r="BR63">
        <f>SUMIF(DeadRaw!$B:$B,$B63,DeadRaw!BT:BT)</f>
        <v>0</v>
      </c>
      <c r="BS63">
        <f>SUMIF(DeadRaw!$B:$B,$B63,DeadRaw!BU:BU)</f>
        <v>0</v>
      </c>
      <c r="BT63">
        <f>SUMIF(DeadRaw!$B:$B,$B63,DeadRaw!BV:BV)</f>
        <v>0</v>
      </c>
      <c r="BU63">
        <f>SUMIF(DeadRaw!$B:$B,$B63,DeadRaw!BW:BW)</f>
        <v>0</v>
      </c>
    </row>
    <row r="64" spans="1:73" ht="15" thickBot="1" x14ac:dyDescent="0.35">
      <c r="A64" s="168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0</v>
      </c>
      <c r="BQ64">
        <f>SUMIF(DeadRaw!$B:$B,$B64,DeadRaw!BS:BS)</f>
        <v>0</v>
      </c>
      <c r="BR64">
        <f>SUMIF(DeadRaw!$B:$B,$B64,DeadRaw!BT:BT)</f>
        <v>0</v>
      </c>
      <c r="BS64">
        <f>SUMIF(DeadRaw!$B:$B,$B64,DeadRaw!BU:BU)</f>
        <v>0</v>
      </c>
      <c r="BT64">
        <f>SUMIF(DeadRaw!$B:$B,$B64,DeadRaw!BV:BV)</f>
        <v>0</v>
      </c>
      <c r="BU64">
        <f>SUMIF(DeadRaw!$B:$B,$B64,DeadRaw!BW:BW)</f>
        <v>0</v>
      </c>
    </row>
    <row r="65" spans="1:73" ht="15" thickBot="1" x14ac:dyDescent="0.35">
      <c r="A65" s="168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</row>
    <row r="66" spans="1:73" ht="15" thickBot="1" x14ac:dyDescent="0.35">
      <c r="A66" s="168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0</v>
      </c>
      <c r="BQ66">
        <f>SUMIF(DeadRaw!$B:$B,$B66,DeadRaw!BS:BS)</f>
        <v>0</v>
      </c>
      <c r="BR66">
        <f>SUMIF(DeadRaw!$B:$B,$B66,DeadRaw!BT:BT)</f>
        <v>0</v>
      </c>
      <c r="BS66">
        <f>SUMIF(DeadRaw!$B:$B,$B66,DeadRaw!BU:BU)</f>
        <v>0</v>
      </c>
      <c r="BT66">
        <f>SUMIF(DeadRaw!$B:$B,$B66,DeadRaw!BV:BV)</f>
        <v>0</v>
      </c>
      <c r="BU66">
        <f>SUMIF(DeadRaw!$B:$B,$B66,DeadRaw!BW:BW)</f>
        <v>0</v>
      </c>
    </row>
    <row r="67" spans="1:73" ht="15" thickBot="1" x14ac:dyDescent="0.35">
      <c r="A67" s="168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0</v>
      </c>
      <c r="BQ67">
        <f>SUMIF(DeadRaw!$B:$B,$B67,DeadRaw!BS:BS)</f>
        <v>0</v>
      </c>
      <c r="BR67">
        <f>SUMIF(DeadRaw!$B:$B,$B67,DeadRaw!BT:BT)</f>
        <v>0</v>
      </c>
      <c r="BS67">
        <f>SUMIF(DeadRaw!$B:$B,$B67,DeadRaw!BU:BU)</f>
        <v>0</v>
      </c>
      <c r="BT67">
        <f>SUMIF(DeadRaw!$B:$B,$B67,DeadRaw!BV:BV)</f>
        <v>0</v>
      </c>
      <c r="BU67">
        <f>SUMIF(DeadRaw!$B:$B,$B67,DeadRaw!BW:BW)</f>
        <v>0</v>
      </c>
    </row>
    <row r="68" spans="1:73" ht="15" thickBot="1" x14ac:dyDescent="0.35">
      <c r="A68" s="168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0</v>
      </c>
      <c r="BQ68">
        <f>SUMIF(DeadRaw!$B:$B,$B68,DeadRaw!BS:BS)</f>
        <v>0</v>
      </c>
      <c r="BR68">
        <f>SUMIF(DeadRaw!$B:$B,$B68,DeadRaw!BT:BT)</f>
        <v>0</v>
      </c>
      <c r="BS68">
        <f>SUMIF(DeadRaw!$B:$B,$B68,DeadRaw!BU:BU)</f>
        <v>0</v>
      </c>
      <c r="BT68">
        <f>SUMIF(DeadRaw!$B:$B,$B68,DeadRaw!BV:BV)</f>
        <v>0</v>
      </c>
      <c r="BU68">
        <f>SUMIF(DeadRaw!$B:$B,$B68,DeadRaw!BW:BW)</f>
        <v>0</v>
      </c>
    </row>
    <row r="69" spans="1:73" ht="15" thickBot="1" x14ac:dyDescent="0.35">
      <c r="A69" s="168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0</v>
      </c>
      <c r="BQ69">
        <f>SUMIF(DeadRaw!$B:$B,$B69,DeadRaw!BS:BS)</f>
        <v>0</v>
      </c>
      <c r="BR69">
        <f>SUMIF(DeadRaw!$B:$B,$B69,DeadRaw!BT:BT)</f>
        <v>0</v>
      </c>
      <c r="BS69">
        <f>SUMIF(DeadRaw!$B:$B,$B69,DeadRaw!BU:BU)</f>
        <v>0</v>
      </c>
      <c r="BT69">
        <f>SUMIF(DeadRaw!$B:$B,$B69,DeadRaw!BV:BV)</f>
        <v>0</v>
      </c>
      <c r="BU69">
        <f>SUMIF(DeadRaw!$B:$B,$B69,DeadRaw!BW:BW)</f>
        <v>0</v>
      </c>
    </row>
    <row r="70" spans="1:73" ht="15" thickBot="1" x14ac:dyDescent="0.35">
      <c r="A70" s="168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0</v>
      </c>
      <c r="BU70">
        <f>SUMIF(DeadRaw!$B:$B,$B70,DeadRaw!BW:BW)</f>
        <v>0</v>
      </c>
    </row>
    <row r="71" spans="1:73" ht="15" thickBot="1" x14ac:dyDescent="0.35">
      <c r="A71" s="168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0</v>
      </c>
      <c r="BQ71">
        <f>SUMIF(DeadRaw!$B:$B,$B71,DeadRaw!BS:BS)</f>
        <v>0</v>
      </c>
      <c r="BR71">
        <f>SUMIF(DeadRaw!$B:$B,$B71,DeadRaw!BT:BT)</f>
        <v>0</v>
      </c>
      <c r="BS71">
        <f>SUMIF(DeadRaw!$B:$B,$B71,DeadRaw!BU:BU)</f>
        <v>0</v>
      </c>
      <c r="BT71">
        <f>SUMIF(DeadRaw!$B:$B,$B71,DeadRaw!BV:BV)</f>
        <v>0</v>
      </c>
      <c r="BU71">
        <f>SUMIF(DeadRaw!$B:$B,$B71,DeadRaw!BW:BW)</f>
        <v>0</v>
      </c>
    </row>
    <row r="72" spans="1:73" ht="15" thickBot="1" x14ac:dyDescent="0.35">
      <c r="A72" s="168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</row>
    <row r="73" spans="1:73" ht="15" thickBot="1" x14ac:dyDescent="0.35">
      <c r="A73" s="168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0</v>
      </c>
      <c r="BQ73">
        <f>SUMIF(DeadRaw!$B:$B,$B73,DeadRaw!BS:BS)</f>
        <v>0</v>
      </c>
      <c r="BR73">
        <f>SUMIF(DeadRaw!$B:$B,$B73,DeadRaw!BT:BT)</f>
        <v>0</v>
      </c>
      <c r="BS73">
        <f>SUMIF(DeadRaw!$B:$B,$B73,DeadRaw!BU:BU)</f>
        <v>0</v>
      </c>
      <c r="BT73">
        <f>SUMIF(DeadRaw!$B:$B,$B73,DeadRaw!BV:BV)</f>
        <v>0</v>
      </c>
      <c r="BU73">
        <f>SUMIF(DeadRaw!$B:$B,$B73,DeadRaw!BW:BW)</f>
        <v>0</v>
      </c>
    </row>
    <row r="74" spans="1:73" ht="15" thickBot="1" x14ac:dyDescent="0.35">
      <c r="A74" s="168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0</v>
      </c>
      <c r="BQ74">
        <f>SUMIF(DeadRaw!$B:$B,$B74,DeadRaw!BS:BS)</f>
        <v>0</v>
      </c>
      <c r="BR74">
        <f>SUMIF(DeadRaw!$B:$B,$B74,DeadRaw!BT:BT)</f>
        <v>0</v>
      </c>
      <c r="BS74">
        <f>SUMIF(DeadRaw!$B:$B,$B74,DeadRaw!BU:BU)</f>
        <v>0</v>
      </c>
      <c r="BT74">
        <f>SUMIF(DeadRaw!$B:$B,$B74,DeadRaw!BV:BV)</f>
        <v>0</v>
      </c>
      <c r="BU74">
        <f>SUMIF(DeadRaw!$B:$B,$B74,DeadRaw!BW:BW)</f>
        <v>0</v>
      </c>
    </row>
    <row r="75" spans="1:73" ht="15" thickBot="1" x14ac:dyDescent="0.35">
      <c r="A75" s="168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0</v>
      </c>
      <c r="BQ75">
        <f>SUMIF(DeadRaw!$B:$B,$B75,DeadRaw!BS:BS)</f>
        <v>0</v>
      </c>
      <c r="BR75">
        <f>SUMIF(DeadRaw!$B:$B,$B75,DeadRaw!BT:BT)</f>
        <v>0</v>
      </c>
      <c r="BS75">
        <f>SUMIF(DeadRaw!$B:$B,$B75,DeadRaw!BU:BU)</f>
        <v>0</v>
      </c>
      <c r="BT75">
        <f>SUMIF(DeadRaw!$B:$B,$B75,DeadRaw!BV:BV)</f>
        <v>0</v>
      </c>
      <c r="BU75">
        <f>SUMIF(DeadRaw!$B:$B,$B75,DeadRaw!BW:BW)</f>
        <v>0</v>
      </c>
    </row>
    <row r="76" spans="1:73" ht="15" thickBot="1" x14ac:dyDescent="0.35">
      <c r="A76" s="168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0</v>
      </c>
      <c r="BQ76">
        <f>SUMIF(DeadRaw!$B:$B,$B76,DeadRaw!BS:BS)</f>
        <v>0</v>
      </c>
      <c r="BR76">
        <f>SUMIF(DeadRaw!$B:$B,$B76,DeadRaw!BT:BT)</f>
        <v>0</v>
      </c>
      <c r="BS76">
        <f>SUMIF(DeadRaw!$B:$B,$B76,DeadRaw!BU:BU)</f>
        <v>0</v>
      </c>
      <c r="BT76">
        <f>SUMIF(DeadRaw!$B:$B,$B76,DeadRaw!BV:BV)</f>
        <v>0</v>
      </c>
      <c r="BU76">
        <f>SUMIF(DeadRaw!$B:$B,$B76,DeadRaw!BW:BW)</f>
        <v>0</v>
      </c>
    </row>
    <row r="77" spans="1:73" ht="15" thickBot="1" x14ac:dyDescent="0.35">
      <c r="A77" s="168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0</v>
      </c>
      <c r="BQ77">
        <f>SUMIF(DeadRaw!$B:$B,$B77,DeadRaw!BS:BS)</f>
        <v>0</v>
      </c>
      <c r="BR77">
        <f>SUMIF(DeadRaw!$B:$B,$B77,DeadRaw!BT:BT)</f>
        <v>0</v>
      </c>
      <c r="BS77">
        <f>SUMIF(DeadRaw!$B:$B,$B77,DeadRaw!BU:BU)</f>
        <v>0</v>
      </c>
      <c r="BT77">
        <f>SUMIF(DeadRaw!$B:$B,$B77,DeadRaw!BV:BV)</f>
        <v>0</v>
      </c>
      <c r="BU77">
        <f>SUMIF(DeadRaw!$B:$B,$B77,DeadRaw!BW:BW)</f>
        <v>0</v>
      </c>
    </row>
    <row r="78" spans="1:73" ht="15" thickBot="1" x14ac:dyDescent="0.35">
      <c r="A78" s="168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0</v>
      </c>
      <c r="BQ78">
        <f>SUMIF(DeadRaw!$B:$B,$B78,DeadRaw!BS:BS)</f>
        <v>0</v>
      </c>
      <c r="BR78">
        <f>SUMIF(DeadRaw!$B:$B,$B78,DeadRaw!BT:BT)</f>
        <v>0</v>
      </c>
      <c r="BS78">
        <f>SUMIF(DeadRaw!$B:$B,$B78,DeadRaw!BU:BU)</f>
        <v>0</v>
      </c>
      <c r="BT78">
        <f>SUMIF(DeadRaw!$B:$B,$B78,DeadRaw!BV:BV)</f>
        <v>0</v>
      </c>
      <c r="BU78">
        <f>SUMIF(DeadRaw!$B:$B,$B78,DeadRaw!BW:BW)</f>
        <v>0</v>
      </c>
    </row>
    <row r="79" spans="1:73" ht="15" thickBot="1" x14ac:dyDescent="0.35">
      <c r="A79" s="168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</row>
    <row r="80" spans="1:73" ht="15" thickBot="1" x14ac:dyDescent="0.35">
      <c r="A80" s="168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1</v>
      </c>
      <c r="BJ80">
        <f>SUMIF(DeadRaw!$B:$B,$B80,DeadRaw!BL:BL)</f>
        <v>2</v>
      </c>
      <c r="BK80">
        <f>SUMIF(DeadRaw!$B:$B,$B80,DeadRaw!BM:BM)</f>
        <v>2</v>
      </c>
      <c r="BL80">
        <f>SUMIF(DeadRaw!$B:$B,$B80,DeadRaw!BN:BN)</f>
        <v>3</v>
      </c>
      <c r="BM80">
        <f>SUMIF(DeadRaw!$B:$B,$B80,DeadRaw!BO:BO)</f>
        <v>4</v>
      </c>
      <c r="BN80">
        <f>SUMIF(DeadRaw!$B:$B,$B80,DeadRaw!BP:BP)</f>
        <v>5</v>
      </c>
      <c r="BO80">
        <f>SUMIF(DeadRaw!$B:$B,$B80,DeadRaw!BQ:BQ)</f>
        <v>6</v>
      </c>
      <c r="BP80">
        <f>SUMIF(DeadRaw!$B:$B,$B80,DeadRaw!BR:BR)</f>
        <v>0</v>
      </c>
      <c r="BQ80">
        <f>SUMIF(DeadRaw!$B:$B,$B80,DeadRaw!BS:BS)</f>
        <v>0</v>
      </c>
      <c r="BR80">
        <f>SUMIF(DeadRaw!$B:$B,$B80,DeadRaw!BT:BT)</f>
        <v>0</v>
      </c>
      <c r="BS80">
        <f>SUMIF(DeadRaw!$B:$B,$B80,DeadRaw!BU:BU)</f>
        <v>0</v>
      </c>
      <c r="BT80">
        <f>SUMIF(DeadRaw!$B:$B,$B80,DeadRaw!BV:BV)</f>
        <v>0</v>
      </c>
      <c r="BU80">
        <f>SUMIF(DeadRaw!$B:$B,$B80,DeadRaw!BW:BW)</f>
        <v>0</v>
      </c>
    </row>
    <row r="81" spans="1:73" ht="15" thickBot="1" x14ac:dyDescent="0.35">
      <c r="A81" s="168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0</v>
      </c>
    </row>
    <row r="82" spans="1:73" ht="15" thickBot="1" x14ac:dyDescent="0.35">
      <c r="A82" s="168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</row>
    <row r="83" spans="1:73" ht="15" thickBot="1" x14ac:dyDescent="0.35">
      <c r="A83" s="168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0</v>
      </c>
      <c r="BQ83">
        <f>SUMIF(DeadRaw!$B:$B,$B83,DeadRaw!BS:BS)</f>
        <v>0</v>
      </c>
      <c r="BR83">
        <f>SUMIF(DeadRaw!$B:$B,$B83,DeadRaw!BT:BT)</f>
        <v>0</v>
      </c>
      <c r="BS83">
        <f>SUMIF(DeadRaw!$B:$B,$B83,DeadRaw!BU:BU)</f>
        <v>0</v>
      </c>
      <c r="BT83">
        <f>SUMIF(DeadRaw!$B:$B,$B83,DeadRaw!BV:BV)</f>
        <v>0</v>
      </c>
      <c r="BU83">
        <f>SUMIF(DeadRaw!$B:$B,$B83,DeadRaw!BW:BW)</f>
        <v>0</v>
      </c>
    </row>
    <row r="84" spans="1:73" ht="15" thickBot="1" x14ac:dyDescent="0.35">
      <c r="A84" s="168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0</v>
      </c>
      <c r="BQ84">
        <f>SUMIF(DeadRaw!$B:$B,$B84,DeadRaw!BS:BS)</f>
        <v>0</v>
      </c>
      <c r="BR84">
        <f>SUMIF(DeadRaw!$B:$B,$B84,DeadRaw!BT:BT)</f>
        <v>0</v>
      </c>
      <c r="BS84">
        <f>SUMIF(DeadRaw!$B:$B,$B84,DeadRaw!BU:BU)</f>
        <v>0</v>
      </c>
      <c r="BT84">
        <f>SUMIF(DeadRaw!$B:$B,$B84,DeadRaw!BV:BV)</f>
        <v>0</v>
      </c>
      <c r="BU84">
        <f>SUMIF(DeadRaw!$B:$B,$B84,DeadRaw!BW:BW)</f>
        <v>0</v>
      </c>
    </row>
    <row r="85" spans="1:73" ht="15" thickBot="1" x14ac:dyDescent="0.35">
      <c r="A85" s="168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0</v>
      </c>
      <c r="BQ85">
        <f>SUMIF(DeadRaw!$B:$B,$B85,DeadRaw!BS:BS)</f>
        <v>0</v>
      </c>
      <c r="BR85">
        <f>SUMIF(DeadRaw!$B:$B,$B85,DeadRaw!BT:BT)</f>
        <v>0</v>
      </c>
      <c r="BS85">
        <f>SUMIF(DeadRaw!$B:$B,$B85,DeadRaw!BU:BU)</f>
        <v>0</v>
      </c>
      <c r="BT85">
        <f>SUMIF(DeadRaw!$B:$B,$B85,DeadRaw!BV:BV)</f>
        <v>0</v>
      </c>
      <c r="BU85">
        <f>SUMIF(DeadRaw!$B:$B,$B85,DeadRaw!BW:BW)</f>
        <v>0</v>
      </c>
    </row>
    <row r="86" spans="1:73" ht="15" thickBot="1" x14ac:dyDescent="0.35">
      <c r="A86" s="168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0</v>
      </c>
      <c r="BQ86">
        <f>SUMIF(DeadRaw!$B:$B,$B86,DeadRaw!BS:BS)</f>
        <v>0</v>
      </c>
      <c r="BR86">
        <f>SUMIF(DeadRaw!$B:$B,$B86,DeadRaw!BT:BT)</f>
        <v>0</v>
      </c>
      <c r="BS86">
        <f>SUMIF(DeadRaw!$B:$B,$B86,DeadRaw!BU:BU)</f>
        <v>0</v>
      </c>
      <c r="BT86">
        <f>SUMIF(DeadRaw!$B:$B,$B86,DeadRaw!BV:BV)</f>
        <v>0</v>
      </c>
      <c r="BU86">
        <f>SUMIF(DeadRaw!$B:$B,$B86,DeadRaw!BW:BW)</f>
        <v>0</v>
      </c>
    </row>
    <row r="87" spans="1:73" ht="15" thickBot="1" x14ac:dyDescent="0.35">
      <c r="A87" s="168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0</v>
      </c>
      <c r="BQ87">
        <f>SUMIF(DeadRaw!$B:$B,$B87,DeadRaw!BS:BS)</f>
        <v>0</v>
      </c>
      <c r="BR87">
        <f>SUMIF(DeadRaw!$B:$B,$B87,DeadRaw!BT:BT)</f>
        <v>0</v>
      </c>
      <c r="BS87">
        <f>SUMIF(DeadRaw!$B:$B,$B87,DeadRaw!BU:BU)</f>
        <v>0</v>
      </c>
      <c r="BT87">
        <f>SUMIF(DeadRaw!$B:$B,$B87,DeadRaw!BV:BV)</f>
        <v>0</v>
      </c>
      <c r="BU87">
        <f>SUMIF(DeadRaw!$B:$B,$B87,DeadRaw!BW:BW)</f>
        <v>0</v>
      </c>
    </row>
    <row r="88" spans="1:73" ht="15" thickBot="1" x14ac:dyDescent="0.35">
      <c r="A88" s="168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0</v>
      </c>
      <c r="BQ88">
        <f>SUMIF(DeadRaw!$B:$B,$B88,DeadRaw!BS:BS)</f>
        <v>0</v>
      </c>
      <c r="BR88">
        <f>SUMIF(DeadRaw!$B:$B,$B88,DeadRaw!BT:BT)</f>
        <v>0</v>
      </c>
      <c r="BS88">
        <f>SUMIF(DeadRaw!$B:$B,$B88,DeadRaw!BU:BU)</f>
        <v>0</v>
      </c>
      <c r="BT88">
        <f>SUMIF(DeadRaw!$B:$B,$B88,DeadRaw!BV:BV)</f>
        <v>0</v>
      </c>
      <c r="BU88">
        <f>SUMIF(DeadRaw!$B:$B,$B88,DeadRaw!BW:BW)</f>
        <v>0</v>
      </c>
    </row>
    <row r="89" spans="1:73" ht="15" thickBot="1" x14ac:dyDescent="0.35">
      <c r="A89" s="168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0</v>
      </c>
      <c r="BQ89">
        <f>SUMIF(DeadRaw!$B:$B,$B89,DeadRaw!BS:BS)</f>
        <v>0</v>
      </c>
      <c r="BR89">
        <f>SUMIF(DeadRaw!$B:$B,$B89,DeadRaw!BT:BT)</f>
        <v>0</v>
      </c>
      <c r="BS89">
        <f>SUMIF(DeadRaw!$B:$B,$B89,DeadRaw!BU:BU)</f>
        <v>0</v>
      </c>
      <c r="BT89">
        <f>SUMIF(DeadRaw!$B:$B,$B89,DeadRaw!BV:BV)</f>
        <v>0</v>
      </c>
      <c r="BU89">
        <f>SUMIF(DeadRaw!$B:$B,$B89,DeadRaw!BW:BW)</f>
        <v>0</v>
      </c>
    </row>
    <row r="90" spans="1:73" ht="15" thickBot="1" x14ac:dyDescent="0.35">
      <c r="A90" s="168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0</v>
      </c>
      <c r="BR90">
        <f>SUMIF(DeadRaw!$B:$B,$B90,DeadRaw!BT:BT)</f>
        <v>0</v>
      </c>
      <c r="BS90">
        <f>SUMIF(DeadRaw!$B:$B,$B90,DeadRaw!BU:BU)</f>
        <v>0</v>
      </c>
      <c r="BT90">
        <f>SUMIF(DeadRaw!$B:$B,$B90,DeadRaw!BV:BV)</f>
        <v>0</v>
      </c>
      <c r="BU90">
        <f>SUMIF(DeadRaw!$B:$B,$B90,DeadRaw!BW:BW)</f>
        <v>0</v>
      </c>
    </row>
    <row r="91" spans="1:73" ht="15" thickBot="1" x14ac:dyDescent="0.35">
      <c r="A91" s="168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</row>
    <row r="92" spans="1:73" ht="15" thickBot="1" x14ac:dyDescent="0.35">
      <c r="A92" s="168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0</v>
      </c>
      <c r="BQ92">
        <f>SUMIF(DeadRaw!$B:$B,$B92,DeadRaw!BS:BS)</f>
        <v>0</v>
      </c>
      <c r="BR92">
        <f>SUMIF(DeadRaw!$B:$B,$B92,DeadRaw!BT:BT)</f>
        <v>0</v>
      </c>
      <c r="BS92">
        <f>SUMIF(DeadRaw!$B:$B,$B92,DeadRaw!BU:BU)</f>
        <v>0</v>
      </c>
      <c r="BT92">
        <f>SUMIF(DeadRaw!$B:$B,$B92,DeadRaw!BV:BV)</f>
        <v>0</v>
      </c>
      <c r="BU92">
        <f>SUMIF(DeadRaw!$B:$B,$B92,DeadRaw!BW:BW)</f>
        <v>0</v>
      </c>
    </row>
    <row r="93" spans="1:73" ht="15" thickBot="1" x14ac:dyDescent="0.35">
      <c r="A93" s="168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</row>
    <row r="94" spans="1:73" ht="15" thickBot="1" x14ac:dyDescent="0.35">
      <c r="A94" s="168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0</v>
      </c>
      <c r="BS94">
        <f>SUMIF(DeadRaw!$B:$B,$B94,DeadRaw!BU:BU)</f>
        <v>0</v>
      </c>
      <c r="BT94">
        <f>SUMIF(DeadRaw!$B:$B,$B94,DeadRaw!BV:BV)</f>
        <v>0</v>
      </c>
      <c r="BU94">
        <f>SUMIF(DeadRaw!$B:$B,$B94,DeadRaw!BW:BW)</f>
        <v>0</v>
      </c>
    </row>
    <row r="95" spans="1:73" ht="15" thickBot="1" x14ac:dyDescent="0.35">
      <c r="A95" s="168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</row>
    <row r="96" spans="1:73" ht="15" thickBot="1" x14ac:dyDescent="0.35">
      <c r="A96" s="168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0</v>
      </c>
      <c r="BQ96">
        <f>SUMIF(DeadRaw!$B:$B,$B96,DeadRaw!BS:BS)</f>
        <v>0</v>
      </c>
      <c r="BR96">
        <f>SUMIF(DeadRaw!$B:$B,$B96,DeadRaw!BT:BT)</f>
        <v>0</v>
      </c>
      <c r="BS96">
        <f>SUMIF(DeadRaw!$B:$B,$B96,DeadRaw!BU:BU)</f>
        <v>0</v>
      </c>
      <c r="BT96">
        <f>SUMIF(DeadRaw!$B:$B,$B96,DeadRaw!BV:BV)</f>
        <v>0</v>
      </c>
      <c r="BU96">
        <f>SUMIF(DeadRaw!$B:$B,$B96,DeadRaw!BW:BW)</f>
        <v>0</v>
      </c>
    </row>
    <row r="97" spans="1:73" ht="15" thickBot="1" x14ac:dyDescent="0.35">
      <c r="A97" s="168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0</v>
      </c>
      <c r="BQ97">
        <f>SUMIF(DeadRaw!$B:$B,$B97,DeadRaw!BS:BS)</f>
        <v>0</v>
      </c>
      <c r="BR97">
        <f>SUMIF(DeadRaw!$B:$B,$B97,DeadRaw!BT:BT)</f>
        <v>0</v>
      </c>
      <c r="BS97">
        <f>SUMIF(DeadRaw!$B:$B,$B97,DeadRaw!BU:BU)</f>
        <v>0</v>
      </c>
      <c r="BT97">
        <f>SUMIF(DeadRaw!$B:$B,$B97,DeadRaw!BV:BV)</f>
        <v>0</v>
      </c>
      <c r="BU97">
        <f>SUMIF(DeadRaw!$B:$B,$B97,DeadRaw!BW:BW)</f>
        <v>0</v>
      </c>
    </row>
    <row r="98" spans="1:73" ht="15" thickBot="1" x14ac:dyDescent="0.35">
      <c r="A98" s="168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0</v>
      </c>
      <c r="BQ98">
        <f>SUMIF(DeadRaw!$B:$B,$B98,DeadRaw!BS:BS)</f>
        <v>0</v>
      </c>
      <c r="BR98">
        <f>SUMIF(DeadRaw!$B:$B,$B98,DeadRaw!BT:BT)</f>
        <v>0</v>
      </c>
      <c r="BS98">
        <f>SUMIF(DeadRaw!$B:$B,$B98,DeadRaw!BU:BU)</f>
        <v>0</v>
      </c>
      <c r="BT98">
        <f>SUMIF(DeadRaw!$B:$B,$B98,DeadRaw!BV:BV)</f>
        <v>0</v>
      </c>
      <c r="BU98">
        <f>SUMIF(DeadRaw!$B:$B,$B98,DeadRaw!BW:BW)</f>
        <v>0</v>
      </c>
    </row>
    <row r="99" spans="1:73" ht="15" thickBot="1" x14ac:dyDescent="0.35">
      <c r="A99" s="168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0</v>
      </c>
      <c r="BQ99">
        <f>SUMIF(DeadRaw!$B:$B,$B99,DeadRaw!BS:BS)</f>
        <v>0</v>
      </c>
      <c r="BR99">
        <f>SUMIF(DeadRaw!$B:$B,$B99,DeadRaw!BT:BT)</f>
        <v>0</v>
      </c>
      <c r="BS99">
        <f>SUMIF(DeadRaw!$B:$B,$B99,DeadRaw!BU:BU)</f>
        <v>0</v>
      </c>
      <c r="BT99">
        <f>SUMIF(DeadRaw!$B:$B,$B99,DeadRaw!BV:BV)</f>
        <v>0</v>
      </c>
      <c r="BU99">
        <f>SUMIF(DeadRaw!$B:$B,$B99,DeadRaw!BW:BW)</f>
        <v>0</v>
      </c>
    </row>
    <row r="100" spans="1:73" ht="15" thickBot="1" x14ac:dyDescent="0.35">
      <c r="A100" s="168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0</v>
      </c>
      <c r="BS100">
        <f>SUMIF(DeadRaw!$B:$B,$B100,DeadRaw!BU:BU)</f>
        <v>0</v>
      </c>
      <c r="BT100">
        <f>SUMIF(DeadRaw!$B:$B,$B100,DeadRaw!BV:BV)</f>
        <v>0</v>
      </c>
      <c r="BU100">
        <f>SUMIF(DeadRaw!$B:$B,$B100,DeadRaw!BW:BW)</f>
        <v>0</v>
      </c>
    </row>
    <row r="101" spans="1:73" ht="15" thickBot="1" x14ac:dyDescent="0.35">
      <c r="A101" s="168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</row>
    <row r="102" spans="1:73" ht="15" thickBot="1" x14ac:dyDescent="0.35">
      <c r="A102" s="168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0</v>
      </c>
      <c r="BQ102">
        <f>SUMIF(DeadRaw!$B:$B,$B102,DeadRaw!BS:BS)</f>
        <v>0</v>
      </c>
      <c r="BR102">
        <f>SUMIF(DeadRaw!$B:$B,$B102,DeadRaw!BT:BT)</f>
        <v>0</v>
      </c>
      <c r="BS102">
        <f>SUMIF(DeadRaw!$B:$B,$B102,DeadRaw!BU:BU)</f>
        <v>0</v>
      </c>
      <c r="BT102">
        <f>SUMIF(DeadRaw!$B:$B,$B102,DeadRaw!BV:BV)</f>
        <v>0</v>
      </c>
      <c r="BU102">
        <f>SUMIF(DeadRaw!$B:$B,$B102,DeadRaw!BW:BW)</f>
        <v>0</v>
      </c>
    </row>
    <row r="103" spans="1:73" ht="15" thickBot="1" x14ac:dyDescent="0.35">
      <c r="A103" s="168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</row>
    <row r="104" spans="1:73" ht="15" thickBot="1" x14ac:dyDescent="0.35">
      <c r="A104" s="168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0</v>
      </c>
      <c r="BQ104">
        <f>SUMIF(DeadRaw!$B:$B,$B104,DeadRaw!BS:BS)</f>
        <v>0</v>
      </c>
      <c r="BR104">
        <f>SUMIF(DeadRaw!$B:$B,$B104,DeadRaw!BT:BT)</f>
        <v>0</v>
      </c>
      <c r="BS104">
        <f>SUMIF(DeadRaw!$B:$B,$B104,DeadRaw!BU:BU)</f>
        <v>0</v>
      </c>
      <c r="BT104">
        <f>SUMIF(DeadRaw!$B:$B,$B104,DeadRaw!BV:BV)</f>
        <v>0</v>
      </c>
      <c r="BU104">
        <f>SUMIF(DeadRaw!$B:$B,$B104,DeadRaw!BW:BW)</f>
        <v>0</v>
      </c>
    </row>
    <row r="105" spans="1:73" ht="15" thickBot="1" x14ac:dyDescent="0.35">
      <c r="A105" s="168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0</v>
      </c>
      <c r="BQ105">
        <f>SUMIF(DeadRaw!$B:$B,$B105,DeadRaw!BS:BS)</f>
        <v>0</v>
      </c>
      <c r="BR105">
        <f>SUMIF(DeadRaw!$B:$B,$B105,DeadRaw!BT:BT)</f>
        <v>0</v>
      </c>
      <c r="BS105">
        <f>SUMIF(DeadRaw!$B:$B,$B105,DeadRaw!BU:BU)</f>
        <v>0</v>
      </c>
      <c r="BT105">
        <f>SUMIF(DeadRaw!$B:$B,$B105,DeadRaw!BV:BV)</f>
        <v>0</v>
      </c>
      <c r="BU105">
        <f>SUMIF(DeadRaw!$B:$B,$B105,DeadRaw!BW:BW)</f>
        <v>0</v>
      </c>
    </row>
    <row r="106" spans="1:73" ht="15" thickBot="1" x14ac:dyDescent="0.35">
      <c r="A106" s="168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0</v>
      </c>
      <c r="BQ106">
        <f>SUMIF(DeadRaw!$B:$B,$B106,DeadRaw!BS:BS)</f>
        <v>0</v>
      </c>
      <c r="BR106">
        <f>SUMIF(DeadRaw!$B:$B,$B106,DeadRaw!BT:BT)</f>
        <v>0</v>
      </c>
      <c r="BS106">
        <f>SUMIF(DeadRaw!$B:$B,$B106,DeadRaw!BU:BU)</f>
        <v>0</v>
      </c>
      <c r="BT106">
        <f>SUMIF(DeadRaw!$B:$B,$B106,DeadRaw!BV:BV)</f>
        <v>0</v>
      </c>
      <c r="BU106">
        <f>SUMIF(DeadRaw!$B:$B,$B106,DeadRaw!BW:BW)</f>
        <v>0</v>
      </c>
    </row>
    <row r="107" spans="1:73" ht="15" thickBot="1" x14ac:dyDescent="0.35">
      <c r="A107" s="168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0</v>
      </c>
      <c r="BQ107">
        <f>SUMIF(DeadRaw!$B:$B,$B107,DeadRaw!BS:BS)</f>
        <v>0</v>
      </c>
      <c r="BR107">
        <f>SUMIF(DeadRaw!$B:$B,$B107,DeadRaw!BT:BT)</f>
        <v>0</v>
      </c>
      <c r="BS107">
        <f>SUMIF(DeadRaw!$B:$B,$B107,DeadRaw!BU:BU)</f>
        <v>0</v>
      </c>
      <c r="BT107">
        <f>SUMIF(DeadRaw!$B:$B,$B107,DeadRaw!BV:BV)</f>
        <v>0</v>
      </c>
      <c r="BU107">
        <f>SUMIF(DeadRaw!$B:$B,$B107,DeadRaw!BW:BW)</f>
        <v>0</v>
      </c>
    </row>
    <row r="108" spans="1:73" ht="15" thickBot="1" x14ac:dyDescent="0.35">
      <c r="A108" s="168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0</v>
      </c>
      <c r="BS108">
        <f>SUMIF(DeadRaw!$B:$B,$B108,DeadRaw!BU:BU)</f>
        <v>0</v>
      </c>
      <c r="BT108">
        <f>SUMIF(DeadRaw!$B:$B,$B108,DeadRaw!BV:BV)</f>
        <v>0</v>
      </c>
      <c r="BU108">
        <f>SUMIF(DeadRaw!$B:$B,$B108,DeadRaw!BW:BW)</f>
        <v>0</v>
      </c>
    </row>
    <row r="109" spans="1:73" ht="15" thickBot="1" x14ac:dyDescent="0.35">
      <c r="A109" s="168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0</v>
      </c>
      <c r="BQ109">
        <f>SUMIF(DeadRaw!$B:$B,$B109,DeadRaw!BS:BS)</f>
        <v>0</v>
      </c>
      <c r="BR109">
        <f>SUMIF(DeadRaw!$B:$B,$B109,DeadRaw!BT:BT)</f>
        <v>0</v>
      </c>
      <c r="BS109">
        <f>SUMIF(DeadRaw!$B:$B,$B109,DeadRaw!BU:BU)</f>
        <v>0</v>
      </c>
      <c r="BT109">
        <f>SUMIF(DeadRaw!$B:$B,$B109,DeadRaw!BV:BV)</f>
        <v>0</v>
      </c>
      <c r="BU109">
        <f>SUMIF(DeadRaw!$B:$B,$B109,DeadRaw!BW:BW)</f>
        <v>0</v>
      </c>
    </row>
    <row r="110" spans="1:73" ht="15" thickBot="1" x14ac:dyDescent="0.35">
      <c r="A110" s="168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0</v>
      </c>
      <c r="BQ110">
        <f>SUMIF(DeadRaw!$B:$B,$B110,DeadRaw!BS:BS)</f>
        <v>0</v>
      </c>
      <c r="BR110">
        <f>SUMIF(DeadRaw!$B:$B,$B110,DeadRaw!BT:BT)</f>
        <v>0</v>
      </c>
      <c r="BS110">
        <f>SUMIF(DeadRaw!$B:$B,$B110,DeadRaw!BU:BU)</f>
        <v>0</v>
      </c>
      <c r="BT110">
        <f>SUMIF(DeadRaw!$B:$B,$B110,DeadRaw!BV:BV)</f>
        <v>0</v>
      </c>
      <c r="BU110">
        <f>SUMIF(DeadRaw!$B:$B,$B110,DeadRaw!BW:BW)</f>
        <v>0</v>
      </c>
    </row>
    <row r="111" spans="1:73" ht="15" thickBot="1" x14ac:dyDescent="0.35">
      <c r="A111" s="168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</row>
    <row r="112" spans="1:73" ht="15" thickBot="1" x14ac:dyDescent="0.35">
      <c r="A112" s="168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</row>
    <row r="113" spans="1:73" ht="15" thickBot="1" x14ac:dyDescent="0.35">
      <c r="A113" s="168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</row>
    <row r="114" spans="1:73" ht="15" thickBot="1" x14ac:dyDescent="0.35">
      <c r="A114" s="168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0</v>
      </c>
      <c r="BS114">
        <f>SUMIF(DeadRaw!$B:$B,$B114,DeadRaw!BU:BU)</f>
        <v>0</v>
      </c>
      <c r="BT114">
        <f>SUMIF(DeadRaw!$B:$B,$B114,DeadRaw!BV:BV)</f>
        <v>0</v>
      </c>
      <c r="BU114">
        <f>SUMIF(DeadRaw!$B:$B,$B114,DeadRaw!BW:BW)</f>
        <v>0</v>
      </c>
    </row>
    <row r="115" spans="1:73" ht="15" thickBot="1" x14ac:dyDescent="0.35">
      <c r="A115" s="168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</row>
    <row r="116" spans="1:73" ht="15" thickBot="1" x14ac:dyDescent="0.35">
      <c r="A116" s="168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</row>
    <row r="117" spans="1:73" ht="15" thickBot="1" x14ac:dyDescent="0.35">
      <c r="A117" s="168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</row>
    <row r="118" spans="1:73" ht="15" thickBot="1" x14ac:dyDescent="0.35">
      <c r="A118" s="168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0</v>
      </c>
      <c r="BQ118">
        <f>SUMIF(DeadRaw!$B:$B,$B118,DeadRaw!BS:BS)</f>
        <v>0</v>
      </c>
      <c r="BR118">
        <f>SUMIF(DeadRaw!$B:$B,$B118,DeadRaw!BT:BT)</f>
        <v>0</v>
      </c>
      <c r="BS118">
        <f>SUMIF(DeadRaw!$B:$B,$B118,DeadRaw!BU:BU)</f>
        <v>0</v>
      </c>
      <c r="BT118">
        <f>SUMIF(DeadRaw!$B:$B,$B118,DeadRaw!BV:BV)</f>
        <v>0</v>
      </c>
      <c r="BU118">
        <f>SUMIF(DeadRaw!$B:$B,$B118,DeadRaw!BW:BW)</f>
        <v>0</v>
      </c>
    </row>
    <row r="119" spans="1:73" ht="15" thickBot="1" x14ac:dyDescent="0.35">
      <c r="A119" s="168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</row>
    <row r="120" spans="1:73" ht="15" thickBot="1" x14ac:dyDescent="0.35">
      <c r="A120" s="168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0</v>
      </c>
      <c r="BQ120">
        <f>SUMIF(DeadRaw!$B:$B,$B120,DeadRaw!BS:BS)</f>
        <v>0</v>
      </c>
      <c r="BR120">
        <f>SUMIF(DeadRaw!$B:$B,$B120,DeadRaw!BT:BT)</f>
        <v>0</v>
      </c>
      <c r="BS120">
        <f>SUMIF(DeadRaw!$B:$B,$B120,DeadRaw!BU:BU)</f>
        <v>0</v>
      </c>
      <c r="BT120">
        <f>SUMIF(DeadRaw!$B:$B,$B120,DeadRaw!BV:BV)</f>
        <v>0</v>
      </c>
      <c r="BU120">
        <f>SUMIF(DeadRaw!$B:$B,$B120,DeadRaw!BW:BW)</f>
        <v>0</v>
      </c>
    </row>
    <row r="121" spans="1:73" ht="15" thickBot="1" x14ac:dyDescent="0.35">
      <c r="A121" s="168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0</v>
      </c>
      <c r="BQ121">
        <f>SUMIF(DeadRaw!$B:$B,$B121,DeadRaw!BS:BS)</f>
        <v>0</v>
      </c>
      <c r="BR121">
        <f>SUMIF(DeadRaw!$B:$B,$B121,DeadRaw!BT:BT)</f>
        <v>0</v>
      </c>
      <c r="BS121">
        <f>SUMIF(DeadRaw!$B:$B,$B121,DeadRaw!BU:BU)</f>
        <v>0</v>
      </c>
      <c r="BT121">
        <f>SUMIF(DeadRaw!$B:$B,$B121,DeadRaw!BV:BV)</f>
        <v>0</v>
      </c>
      <c r="BU121">
        <f>SUMIF(DeadRaw!$B:$B,$B121,DeadRaw!BW:BW)</f>
        <v>0</v>
      </c>
    </row>
    <row r="122" spans="1:73" ht="15" thickBot="1" x14ac:dyDescent="0.35">
      <c r="A122" s="168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</row>
    <row r="123" spans="1:73" ht="15" thickBot="1" x14ac:dyDescent="0.35">
      <c r="A123" s="168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</row>
    <row r="124" spans="1:73" ht="15" thickBot="1" x14ac:dyDescent="0.35">
      <c r="A124" s="168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</row>
    <row r="125" spans="1:73" ht="15" thickBot="1" x14ac:dyDescent="0.35">
      <c r="A125" s="168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0</v>
      </c>
      <c r="BQ125">
        <f>SUMIF(DeadRaw!$B:$B,$B125,DeadRaw!BS:BS)</f>
        <v>0</v>
      </c>
      <c r="BR125">
        <f>SUMIF(DeadRaw!$B:$B,$B125,DeadRaw!BT:BT)</f>
        <v>0</v>
      </c>
      <c r="BS125">
        <f>SUMIF(DeadRaw!$B:$B,$B125,DeadRaw!BU:BU)</f>
        <v>0</v>
      </c>
      <c r="BT125">
        <f>SUMIF(DeadRaw!$B:$B,$B125,DeadRaw!BV:BV)</f>
        <v>0</v>
      </c>
      <c r="BU125">
        <f>SUMIF(DeadRaw!$B:$B,$B125,DeadRaw!BW:BW)</f>
        <v>0</v>
      </c>
    </row>
    <row r="126" spans="1:73" ht="15" thickBot="1" x14ac:dyDescent="0.35">
      <c r="A126" s="168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0</v>
      </c>
      <c r="BQ126">
        <f>SUMIF(DeadRaw!$B:$B,$B126,DeadRaw!BS:BS)</f>
        <v>0</v>
      </c>
      <c r="BR126">
        <f>SUMIF(DeadRaw!$B:$B,$B126,DeadRaw!BT:BT)</f>
        <v>0</v>
      </c>
      <c r="BS126">
        <f>SUMIF(DeadRaw!$B:$B,$B126,DeadRaw!BU:BU)</f>
        <v>0</v>
      </c>
      <c r="BT126">
        <f>SUMIF(DeadRaw!$B:$B,$B126,DeadRaw!BV:BV)</f>
        <v>0</v>
      </c>
      <c r="BU126">
        <f>SUMIF(DeadRaw!$B:$B,$B126,DeadRaw!BW:BW)</f>
        <v>0</v>
      </c>
    </row>
    <row r="127" spans="1:73" x14ac:dyDescent="0.3">
      <c r="A127" s="168"/>
      <c r="B127" s="2" t="s">
        <v>606</v>
      </c>
      <c r="C127">
        <f>SUM(C2:C126)</f>
        <v>17</v>
      </c>
      <c r="D127">
        <f>SUM(D2:D126)</f>
        <v>18</v>
      </c>
      <c r="E127">
        <f>SUM(E2:E126)</f>
        <v>26</v>
      </c>
      <c r="F127">
        <f>SUM(F2:F126)</f>
        <v>42</v>
      </c>
      <c r="G127">
        <f>SUM(G2:G126)</f>
        <v>56</v>
      </c>
      <c r="H127">
        <f>SUM(H2:H126)</f>
        <v>82</v>
      </c>
      <c r="I127">
        <f>SUM(I2:I126)</f>
        <v>131</v>
      </c>
      <c r="J127">
        <f>SUM(J2:J126)</f>
        <v>133</v>
      </c>
      <c r="K127">
        <f>SUM(K2:K126)</f>
        <v>171</v>
      </c>
      <c r="L127">
        <f>SUM(L2:L126)</f>
        <v>213</v>
      </c>
      <c r="M127">
        <f>SUM(M2:M126)</f>
        <v>259</v>
      </c>
      <c r="N127">
        <f>SUM(N2:N126)</f>
        <v>362</v>
      </c>
      <c r="O127">
        <f>SUM(O2:O126)</f>
        <v>426</v>
      </c>
      <c r="P127">
        <f>SUM(P2:P126)</f>
        <v>492</v>
      </c>
      <c r="Q127">
        <f>SUM(Q2:Q126)</f>
        <v>564</v>
      </c>
      <c r="R127">
        <f>SUM(R2:R126)</f>
        <v>634</v>
      </c>
      <c r="S127">
        <f>SUM(S2:S126)</f>
        <v>719</v>
      </c>
      <c r="T127">
        <f>SUM(T2:T126)</f>
        <v>806</v>
      </c>
      <c r="U127">
        <f>SUM(U2:U126)</f>
        <v>906</v>
      </c>
      <c r="V127">
        <f>SUM(V2:V126)</f>
        <v>1013</v>
      </c>
      <c r="W127">
        <f>SUM(W2:W126)</f>
        <v>1113</v>
      </c>
      <c r="X127">
        <f>SUM(X2:X126)</f>
        <v>1118</v>
      </c>
      <c r="Y127">
        <f>SUM(Y2:Y126)</f>
        <v>1371</v>
      </c>
      <c r="Z127">
        <f>SUM(Z2:Z126)</f>
        <v>1523</v>
      </c>
      <c r="AA127">
        <f>SUM(AA2:AA126)</f>
        <v>1666</v>
      </c>
      <c r="AB127">
        <f>SUM(AB2:AB126)</f>
        <v>1770</v>
      </c>
      <c r="AC127">
        <f>SUM(AC2:AC126)</f>
        <v>1868</v>
      </c>
      <c r="AD127">
        <f>SUM(AD2:AD126)</f>
        <v>2007</v>
      </c>
      <c r="AE127">
        <f>SUM(AE2:AE126)</f>
        <v>2122</v>
      </c>
      <c r="AF127">
        <f>SUM(AF2:AF126)</f>
        <v>2245</v>
      </c>
      <c r="AG127">
        <f>SUM(AG2:AG126)</f>
        <v>2249</v>
      </c>
      <c r="AH127">
        <f>SUM(AH2:AH126)</f>
        <v>2456</v>
      </c>
      <c r="AI127">
        <f>SUM(AI2:AI126)</f>
        <v>2466</v>
      </c>
      <c r="AJ127">
        <f>SUM(AJ2:AJ126)</f>
        <v>2626</v>
      </c>
      <c r="AK127">
        <f>SUM(AK2:AK126)</f>
        <v>2705</v>
      </c>
      <c r="AL127">
        <f>SUM(AL2:AL126)</f>
        <v>2766</v>
      </c>
      <c r="AM127">
        <f>SUM(AM2:AM126)</f>
        <v>2810</v>
      </c>
      <c r="AN127">
        <f>SUM(AN2:AN126)</f>
        <v>2866</v>
      </c>
      <c r="AO127">
        <f>SUM(AO2:AO126)</f>
        <v>2935</v>
      </c>
      <c r="AP127">
        <f>SUM(AP2:AP126)</f>
        <v>2990</v>
      </c>
      <c r="AQ127">
        <f>SUM(AQ2:AQ126)</f>
        <v>3079</v>
      </c>
      <c r="AR127">
        <f>SUM(AR2:AR126)</f>
        <v>3154</v>
      </c>
      <c r="AS127">
        <f>SUM(AS2:AS126)</f>
        <v>3248</v>
      </c>
      <c r="AT127">
        <f>SUM(AT2:AT126)</f>
        <v>3342</v>
      </c>
      <c r="AU127">
        <f>SUM(AU2:AU126)</f>
        <v>3454</v>
      </c>
      <c r="AV127">
        <f>SUM(AV2:AV126)</f>
        <v>3552</v>
      </c>
      <c r="AW127">
        <f>SUM(AW2:AW126)</f>
        <v>3796</v>
      </c>
      <c r="AX127">
        <f>SUM(AX2:AX126)</f>
        <v>3982</v>
      </c>
      <c r="AY127">
        <f>SUM(AY2:AY126)</f>
        <v>4256</v>
      </c>
      <c r="AZ127">
        <f>SUM(AZ2:AZ126)</f>
        <v>4608</v>
      </c>
      <c r="BA127">
        <f>SUM(BA2:BA126)</f>
        <v>4948</v>
      </c>
      <c r="BB127">
        <f>SUM(BB2:BB126)</f>
        <v>5400</v>
      </c>
      <c r="BC127">
        <f>SUM(BC2:BC126)</f>
        <v>5812</v>
      </c>
      <c r="BD127">
        <f>SUM(BD2:BD126)</f>
        <v>6483</v>
      </c>
      <c r="BE127">
        <f>SUM(BE2:BE126)</f>
        <v>7118</v>
      </c>
      <c r="BF127">
        <f>SUM(BF2:BF126)</f>
        <v>7938</v>
      </c>
      <c r="BG127">
        <f>SUM(BG2:BG126)</f>
        <v>8872</v>
      </c>
      <c r="BH127">
        <f>SUM(BH2:BH126)</f>
        <v>9987</v>
      </c>
      <c r="BI127">
        <f>SUM(BI2:BI126)</f>
        <v>11290</v>
      </c>
      <c r="BJ127">
        <f>SUM(BJ2:BJ126)</f>
        <v>12961</v>
      </c>
      <c r="BK127">
        <f>SUM(BK2:BK126)</f>
        <v>14638</v>
      </c>
      <c r="BL127">
        <f>SUM(BL2:BL126)</f>
        <v>16488</v>
      </c>
      <c r="BM127">
        <f>SUM(BM2:BM126)</f>
        <v>18605</v>
      </c>
      <c r="BN127">
        <f>SUM(BN2:BN126)</f>
        <v>21157</v>
      </c>
      <c r="BO127">
        <f>SUM(BO2:BO126)</f>
        <v>23944</v>
      </c>
      <c r="BP127">
        <f>SUM(BP2:BP126)</f>
        <v>0</v>
      </c>
      <c r="BQ127">
        <f>SUM(BQ2:BQ126)</f>
        <v>0</v>
      </c>
      <c r="BR127">
        <f>SUM(BR2:BR126)</f>
        <v>0</v>
      </c>
      <c r="BS127">
        <f>SUM(BS2:BS126)</f>
        <v>0</v>
      </c>
      <c r="BT127">
        <f>SUM(BT2:BT126)</f>
        <v>0</v>
      </c>
      <c r="BU127">
        <f>SUM(BU2:BU126)</f>
        <v>0</v>
      </c>
    </row>
    <row r="128" spans="1:73" x14ac:dyDescent="0.3">
      <c r="A128" s="168"/>
      <c r="B128" s="2" t="s">
        <v>608</v>
      </c>
      <c r="C128">
        <f>SUMIFS(C$2:C$126,$A$2:$A$126,$B128)</f>
        <v>17</v>
      </c>
      <c r="D128">
        <f>SUMIFS(D$2:D$126,$A$2:$A$126,$B128)</f>
        <v>18</v>
      </c>
      <c r="E128">
        <f>SUMIFS(E$2:E$126,$A$2:$A$126,$B128)</f>
        <v>26</v>
      </c>
      <c r="F128">
        <f>SUMIFS(F$2:F$126,$A$2:$A$126,$B128)</f>
        <v>42</v>
      </c>
      <c r="G128">
        <f>SUMIFS(G$2:G$126,$A$2:$A$126,$B128)</f>
        <v>56</v>
      </c>
      <c r="H128">
        <f>SUMIFS(H$2:H$126,$A$2:$A$126,$B128)</f>
        <v>82</v>
      </c>
      <c r="I128">
        <f>SUMIFS(I$2:I$126,$A$2:$A$126,$B128)</f>
        <v>131</v>
      </c>
      <c r="J128">
        <f>SUMIFS(J$2:J$126,$A$2:$A$126,$B128)</f>
        <v>133</v>
      </c>
      <c r="K128">
        <f>SUMIFS(K$2:K$126,$A$2:$A$126,$B128)</f>
        <v>171</v>
      </c>
      <c r="L128">
        <f>SUMIFS(L$2:L$126,$A$2:$A$126,$B128)</f>
        <v>213</v>
      </c>
      <c r="M128">
        <f>SUMIFS(M$2:M$126,$A$2:$A$126,$B128)</f>
        <v>259</v>
      </c>
      <c r="N128">
        <f>SUMIFS(N$2:N$126,$A$2:$A$126,$B128)</f>
        <v>362</v>
      </c>
      <c r="O128">
        <f>SUMIFS(O$2:O$126,$A$2:$A$126,$B128)</f>
        <v>426</v>
      </c>
      <c r="P128">
        <f>SUMIFS(P$2:P$126,$A$2:$A$126,$B128)</f>
        <v>492</v>
      </c>
      <c r="Q128">
        <f>SUMIFS(Q$2:Q$126,$A$2:$A$126,$B128)</f>
        <v>564</v>
      </c>
      <c r="R128">
        <f>SUMIFS(R$2:R$126,$A$2:$A$126,$B128)</f>
        <v>634</v>
      </c>
      <c r="S128">
        <f>SUMIFS(S$2:S$126,$A$2:$A$126,$B128)</f>
        <v>719</v>
      </c>
      <c r="T128">
        <f>SUMIFS(T$2:T$126,$A$2:$A$126,$B128)</f>
        <v>806</v>
      </c>
      <c r="U128">
        <f>SUMIFS(U$2:U$126,$A$2:$A$126,$B128)</f>
        <v>906</v>
      </c>
      <c r="V128">
        <f>SUMIFS(V$2:V$126,$A$2:$A$126,$B128)</f>
        <v>1013</v>
      </c>
      <c r="W128">
        <f>SUMIFS(W$2:W$126,$A$2:$A$126,$B128)</f>
        <v>1113</v>
      </c>
      <c r="X128">
        <f>SUMIFS(X$2:X$126,$A$2:$A$126,$B128)</f>
        <v>1118</v>
      </c>
      <c r="Y128">
        <f>SUMIFS(Y$2:Y$126,$A$2:$A$126,$B128)</f>
        <v>1371</v>
      </c>
      <c r="Z128">
        <f>SUMIFS(Z$2:Z$126,$A$2:$A$126,$B128)</f>
        <v>1523</v>
      </c>
      <c r="AA128">
        <f>SUMIFS(AA$2:AA$126,$A$2:$A$126,$B128)</f>
        <v>1665</v>
      </c>
      <c r="AB128">
        <f>SUMIFS(AB$2:AB$126,$A$2:$A$126,$B128)</f>
        <v>1769</v>
      </c>
      <c r="AC128">
        <f>SUMIFS(AC$2:AC$126,$A$2:$A$126,$B128)</f>
        <v>1867</v>
      </c>
      <c r="AD128">
        <f>SUMIFS(AD$2:AD$126,$A$2:$A$126,$B128)</f>
        <v>2006</v>
      </c>
      <c r="AE128">
        <f>SUMIFS(AE$2:AE$126,$A$2:$A$126,$B128)</f>
        <v>2119</v>
      </c>
      <c r="AF128">
        <f>SUMIFS(AF$2:AF$126,$A$2:$A$126,$B128)</f>
        <v>2242</v>
      </c>
      <c r="AG128">
        <f>SUMIFS(AG$2:AG$126,$A$2:$A$126,$B128)</f>
        <v>2243</v>
      </c>
      <c r="AH128">
        <f>SUMIFS(AH$2:AH$126,$A$2:$A$126,$B128)</f>
        <v>2448</v>
      </c>
      <c r="AI128">
        <f>SUMIFS(AI$2:AI$126,$A$2:$A$126,$B128)</f>
        <v>2454</v>
      </c>
      <c r="AJ128">
        <f>SUMIFS(AJ$2:AJ$126,$A$2:$A$126,$B128)</f>
        <v>2606</v>
      </c>
      <c r="AK128">
        <f>SUMIFS(AK$2:AK$126,$A$2:$A$126,$B128)</f>
        <v>2678</v>
      </c>
      <c r="AL128">
        <f>SUMIFS(AL$2:AL$126,$A$2:$A$126,$B128)</f>
        <v>2733</v>
      </c>
      <c r="AM128">
        <f>SUMIFS(AM$2:AM$126,$A$2:$A$126,$B128)</f>
        <v>2765</v>
      </c>
      <c r="AN128">
        <f>SUMIFS(AN$2:AN$126,$A$2:$A$126,$B128)</f>
        <v>2809</v>
      </c>
      <c r="AO128">
        <f>SUMIFS(AO$2:AO$126,$A$2:$A$126,$B128)</f>
        <v>2860</v>
      </c>
      <c r="AP128">
        <f>SUMIFS(AP$2:AP$126,$A$2:$A$126,$B128)</f>
        <v>2898</v>
      </c>
      <c r="AQ128">
        <f>SUMIFS(AQ$2:AQ$126,$A$2:$A$126,$B128)</f>
        <v>2951</v>
      </c>
      <c r="AR128">
        <f>SUMIFS(AR$2:AR$126,$A$2:$A$126,$B128)</f>
        <v>2984</v>
      </c>
      <c r="AS128">
        <f>SUMIFS(AS$2:AS$126,$A$2:$A$126,$B128)</f>
        <v>3027</v>
      </c>
      <c r="AT128">
        <f>SUMIFS(AT$2:AT$126,$A$2:$A$126,$B128)</f>
        <v>3059</v>
      </c>
      <c r="AU128">
        <f>SUMIFS(AU$2:AU$126,$A$2:$A$126,$B128)</f>
        <v>3095</v>
      </c>
      <c r="AV128">
        <f>SUMIFS(AV$2:AV$126,$A$2:$A$126,$B128)</f>
        <v>3125</v>
      </c>
      <c r="AW128">
        <f>SUMIFS(AW$2:AW$126,$A$2:$A$126,$B128)</f>
        <v>3159</v>
      </c>
      <c r="AX128">
        <f>SUMIFS(AX$2:AX$126,$A$2:$A$126,$B128)</f>
        <v>3189</v>
      </c>
      <c r="AY128">
        <f>SUMIFS(AY$2:AY$126,$A$2:$A$126,$B128)</f>
        <v>3206</v>
      </c>
      <c r="AZ128">
        <f>SUMIFS(AZ$2:AZ$126,$A$2:$A$126,$B128)</f>
        <v>3241</v>
      </c>
      <c r="BA128">
        <f>SUMIFS(BA$2:BA$126,$A$2:$A$126,$B128)</f>
        <v>3260</v>
      </c>
      <c r="BB128">
        <f>SUMIFS(BB$2:BB$126,$A$2:$A$126,$B128)</f>
        <v>3279</v>
      </c>
      <c r="BC128">
        <f>SUMIFS(BC$2:BC$126,$A$2:$A$126,$B128)</f>
        <v>3305</v>
      </c>
      <c r="BD128">
        <f>SUMIFS(BD$2:BD$126,$A$2:$A$126,$B128)</f>
        <v>3321</v>
      </c>
      <c r="BE128">
        <f>SUMIFS(BE$2:BE$126,$A$2:$A$126,$B128)</f>
        <v>3341</v>
      </c>
      <c r="BF128">
        <f>SUMIFS(BF$2:BF$126,$A$2:$A$126,$B128)</f>
        <v>3365</v>
      </c>
      <c r="BG128">
        <f>SUMIFS(BG$2:BG$126,$A$2:$A$126,$B128)</f>
        <v>3401</v>
      </c>
      <c r="BH128">
        <f>SUMIFS(BH$2:BH$126,$A$2:$A$126,$B128)</f>
        <v>3424</v>
      </c>
      <c r="BI128">
        <f>SUMIFS(BI$2:BI$126,$A$2:$A$126,$B128)</f>
        <v>3450</v>
      </c>
      <c r="BJ128">
        <f>SUMIFS(BJ$2:BJ$126,$A$2:$A$126,$B128)</f>
        <v>3473</v>
      </c>
      <c r="BK128">
        <f>SUMIFS(BK$2:BK$126,$A$2:$A$126,$B128)</f>
        <v>3530</v>
      </c>
      <c r="BL128">
        <f>SUMIFS(BL$2:BL$126,$A$2:$A$126,$B128)</f>
        <v>3549</v>
      </c>
      <c r="BM128">
        <f>SUMIFS(BM$2:BM$126,$A$2:$A$126,$B128)</f>
        <v>3581</v>
      </c>
      <c r="BN128">
        <f>SUMIFS(BN$2:BN$126,$A$2:$A$126,$B128)</f>
        <v>3610</v>
      </c>
      <c r="BO128">
        <f>SUMIFS(BO$2:BO$126,$A$2:$A$126,$B128)</f>
        <v>3664</v>
      </c>
      <c r="BP128">
        <f>SUMIFS(BP$2:BP$126,$A$2:$A$126,$B128)</f>
        <v>0</v>
      </c>
      <c r="BQ128">
        <f>SUMIFS(BQ$2:BQ$126,$A$2:$A$126,$B128)</f>
        <v>0</v>
      </c>
      <c r="BR128">
        <f>SUMIFS(BR$2:BR$126,$A$2:$A$126,$B128)</f>
        <v>0</v>
      </c>
      <c r="BS128">
        <f>SUMIFS(BS$2:BS$126,$A$2:$A$126,$B128)</f>
        <v>0</v>
      </c>
      <c r="BT128">
        <f>SUMIFS(BT$2:BT$126,$A$2:$A$126,$B128)</f>
        <v>0</v>
      </c>
      <c r="BU128">
        <f>SUMIFS(BU$2:BU$126,$A$2:$A$126,$B128)</f>
        <v>0</v>
      </c>
    </row>
    <row r="129" spans="1:73" x14ac:dyDescent="0.3">
      <c r="A129" s="168"/>
      <c r="B129" s="2" t="s">
        <v>609</v>
      </c>
      <c r="C129">
        <f>SUMIFS(C$2:C$126,$A$2:$A$126,$B129)</f>
        <v>0</v>
      </c>
      <c r="D129">
        <f>SUMIFS(D$2:D$126,$A$2:$A$126,$B129)</f>
        <v>0</v>
      </c>
      <c r="E129">
        <f>SUMIFS(E$2:E$126,$A$2:$A$126,$B129)</f>
        <v>0</v>
      </c>
      <c r="F129">
        <f>SUMIFS(F$2:F$126,$A$2:$A$126,$B129)</f>
        <v>0</v>
      </c>
      <c r="G129">
        <f>SUMIFS(G$2:G$126,$A$2:$A$126,$B129)</f>
        <v>0</v>
      </c>
      <c r="H129">
        <f>SUMIFS(H$2:H$126,$A$2:$A$126,$B129)</f>
        <v>0</v>
      </c>
      <c r="I129">
        <f>SUMIFS(I$2:I$126,$A$2:$A$126,$B129)</f>
        <v>0</v>
      </c>
      <c r="J129">
        <f>SUMIFS(J$2:J$126,$A$2:$A$126,$B129)</f>
        <v>0</v>
      </c>
      <c r="K129">
        <f>SUMIFS(K$2:K$126,$A$2:$A$126,$B129)</f>
        <v>0</v>
      </c>
      <c r="L129">
        <f>SUMIFS(L$2:L$126,$A$2:$A$126,$B129)</f>
        <v>0</v>
      </c>
      <c r="M129">
        <f>SUMIFS(M$2:M$126,$A$2:$A$126,$B129)</f>
        <v>0</v>
      </c>
      <c r="N129">
        <f>SUMIFS(N$2:N$126,$A$2:$A$126,$B129)</f>
        <v>0</v>
      </c>
      <c r="O129">
        <f>SUMIFS(O$2:O$126,$A$2:$A$126,$B129)</f>
        <v>0</v>
      </c>
      <c r="P129">
        <f>SUMIFS(P$2:P$126,$A$2:$A$126,$B129)</f>
        <v>0</v>
      </c>
      <c r="Q129">
        <f>SUMIFS(Q$2:Q$126,$A$2:$A$126,$B129)</f>
        <v>0</v>
      </c>
      <c r="R129">
        <f>SUMIFS(R$2:R$126,$A$2:$A$126,$B129)</f>
        <v>0</v>
      </c>
      <c r="S129">
        <f>SUMIFS(S$2:S$126,$A$2:$A$126,$B129)</f>
        <v>0</v>
      </c>
      <c r="T129">
        <f>SUMIFS(T$2:T$126,$A$2:$A$126,$B129)</f>
        <v>0</v>
      </c>
      <c r="U129">
        <f>SUMIFS(U$2:U$126,$A$2:$A$126,$B129)</f>
        <v>0</v>
      </c>
      <c r="V129">
        <f>SUMIFS(V$2:V$126,$A$2:$A$126,$B129)</f>
        <v>0</v>
      </c>
      <c r="W129">
        <f>SUMIFS(W$2:W$126,$A$2:$A$126,$B129)</f>
        <v>0</v>
      </c>
      <c r="X129">
        <f>SUMIFS(X$2:X$126,$A$2:$A$126,$B129)</f>
        <v>0</v>
      </c>
      <c r="Y129">
        <f>SUMIFS(Y$2:Y$126,$A$2:$A$126,$B129)</f>
        <v>0</v>
      </c>
      <c r="Z129">
        <f>SUMIFS(Z$2:Z$126,$A$2:$A$126,$B129)</f>
        <v>0</v>
      </c>
      <c r="AA129">
        <f>SUMIFS(AA$2:AA$126,$A$2:$A$126,$B129)</f>
        <v>1</v>
      </c>
      <c r="AB129">
        <f>SUMIFS(AB$2:AB$126,$A$2:$A$126,$B129)</f>
        <v>1</v>
      </c>
      <c r="AC129">
        <f>SUMIFS(AC$2:AC$126,$A$2:$A$126,$B129)</f>
        <v>1</v>
      </c>
      <c r="AD129">
        <f>SUMIFS(AD$2:AD$126,$A$2:$A$126,$B129)</f>
        <v>1</v>
      </c>
      <c r="AE129">
        <f>SUMIFS(AE$2:AE$126,$A$2:$A$126,$B129)</f>
        <v>1</v>
      </c>
      <c r="AF129">
        <f>SUMIFS(AF$2:AF$126,$A$2:$A$126,$B129)</f>
        <v>1</v>
      </c>
      <c r="AG129">
        <f>SUMIFS(AG$2:AG$126,$A$2:$A$126,$B129)</f>
        <v>2</v>
      </c>
      <c r="AH129">
        <f>SUMIFS(AH$2:AH$126,$A$2:$A$126,$B129)</f>
        <v>3</v>
      </c>
      <c r="AI129">
        <f>SUMIFS(AI$2:AI$126,$A$2:$A$126,$B129)</f>
        <v>4</v>
      </c>
      <c r="AJ129">
        <f>SUMIFS(AJ$2:AJ$126,$A$2:$A$126,$B129)</f>
        <v>8</v>
      </c>
      <c r="AK129">
        <f>SUMIFS(AK$2:AK$126,$A$2:$A$126,$B129)</f>
        <v>11</v>
      </c>
      <c r="AL129">
        <f>SUMIFS(AL$2:AL$126,$A$2:$A$126,$B129)</f>
        <v>14</v>
      </c>
      <c r="AM129">
        <f>SUMIFS(AM$2:AM$126,$A$2:$A$126,$B129)</f>
        <v>19</v>
      </c>
      <c r="AN129">
        <f>SUMIFS(AN$2:AN$126,$A$2:$A$126,$B129)</f>
        <v>23</v>
      </c>
      <c r="AO129">
        <f>SUMIFS(AO$2:AO$126,$A$2:$A$126,$B129)</f>
        <v>31</v>
      </c>
      <c r="AP129">
        <f>SUMIFS(AP$2:AP$126,$A$2:$A$126,$B129)</f>
        <v>36</v>
      </c>
      <c r="AQ129">
        <f>SUMIFS(AQ$2:AQ$126,$A$2:$A$126,$B129)</f>
        <v>55</v>
      </c>
      <c r="AR129">
        <f>SUMIFS(AR$2:AR$126,$A$2:$A$126,$B129)</f>
        <v>85</v>
      </c>
      <c r="AS129">
        <f>SUMIFS(AS$2:AS$126,$A$2:$A$126,$B129)</f>
        <v>114</v>
      </c>
      <c r="AT129">
        <f>SUMIFS(AT$2:AT$126,$A$2:$A$126,$B129)</f>
        <v>160</v>
      </c>
      <c r="AU129">
        <f>SUMIFS(AU$2:AU$126,$A$2:$A$126,$B129)</f>
        <v>216</v>
      </c>
      <c r="AV129">
        <f>SUMIFS(AV$2:AV$126,$A$2:$A$126,$B129)</f>
        <v>259</v>
      </c>
      <c r="AW129">
        <f>SUMIFS(AW$2:AW$126,$A$2:$A$126,$B129)</f>
        <v>411</v>
      </c>
      <c r="AX129">
        <f>SUMIFS(AX$2:AX$126,$A$2:$A$126,$B129)</f>
        <v>522</v>
      </c>
      <c r="AY129">
        <f>SUMIFS(AY$2:AY$126,$A$2:$A$126,$B129)</f>
        <v>716</v>
      </c>
      <c r="AZ129">
        <f>SUMIFS(AZ$2:AZ$126,$A$2:$A$126,$B129)</f>
        <v>959</v>
      </c>
      <c r="BA129">
        <f>SUMIFS(BA$2:BA$126,$A$2:$A$126,$B129)</f>
        <v>1198</v>
      </c>
      <c r="BB129">
        <f>SUMIFS(BB$2:BB$126,$A$2:$A$126,$B129)</f>
        <v>1534</v>
      </c>
      <c r="BC129">
        <f>SUMIFS(BC$2:BC$126,$A$2:$A$126,$B129)</f>
        <v>1812</v>
      </c>
      <c r="BD129">
        <f>SUMIFS(BD$2:BD$126,$A$2:$A$126,$B129)</f>
        <v>2344</v>
      </c>
      <c r="BE129">
        <f>SUMIFS(BE$2:BE$126,$A$2:$A$126,$B129)</f>
        <v>2804</v>
      </c>
      <c r="BF129">
        <f>SUMIFS(BF$2:BF$126,$A$2:$A$126,$B129)</f>
        <v>3433</v>
      </c>
      <c r="BG129">
        <f>SUMIFS(BG$2:BG$126,$A$2:$A$126,$B129)</f>
        <v>4160</v>
      </c>
      <c r="BH129">
        <f>SUMIFS(BH$2:BH$126,$A$2:$A$126,$B129)</f>
        <v>5006</v>
      </c>
      <c r="BI129">
        <f>SUMIFS(BI$2:BI$126,$A$2:$A$126,$B129)</f>
        <v>6065</v>
      </c>
      <c r="BJ129">
        <f>SUMIFS(BJ$2:BJ$126,$A$2:$A$126,$B129)</f>
        <v>7499</v>
      </c>
      <c r="BK129">
        <f>SUMIFS(BK$2:BK$126,$A$2:$A$126,$B129)</f>
        <v>8839</v>
      </c>
      <c r="BL129">
        <f>SUMIFS(BL$2:BL$126,$A$2:$A$126,$B129)</f>
        <v>10371</v>
      </c>
      <c r="BM129">
        <f>SUMIFS(BM$2:BM$126,$A$2:$A$126,$B129)</f>
        <v>12139</v>
      </c>
      <c r="BN129">
        <f>SUMIFS(BN$2:BN$126,$A$2:$A$126,$B129)</f>
        <v>14236</v>
      </c>
      <c r="BO129">
        <f>SUMIFS(BO$2:BO$126,$A$2:$A$126,$B129)</f>
        <v>16470</v>
      </c>
      <c r="BP129">
        <f>SUMIFS(BP$2:BP$126,$A$2:$A$126,$B129)</f>
        <v>0</v>
      </c>
      <c r="BQ129">
        <f>SUMIFS(BQ$2:BQ$126,$A$2:$A$126,$B129)</f>
        <v>0</v>
      </c>
      <c r="BR129">
        <f>SUMIFS(BR$2:BR$126,$A$2:$A$126,$B129)</f>
        <v>0</v>
      </c>
      <c r="BS129">
        <f>SUMIFS(BS$2:BS$126,$A$2:$A$126,$B129)</f>
        <v>0</v>
      </c>
      <c r="BT129">
        <f>SUMIFS(BT$2:BT$126,$A$2:$A$126,$B129)</f>
        <v>0</v>
      </c>
      <c r="BU129">
        <f>SUMIFS(BU$2:BU$126,$A$2:$A$126,$B129)</f>
        <v>0</v>
      </c>
    </row>
    <row r="130" spans="1:73" x14ac:dyDescent="0.3">
      <c r="A130" s="168"/>
      <c r="B130" s="2" t="s">
        <v>611</v>
      </c>
      <c r="C130">
        <f>SUMIFS(C$2:C$126,$A$2:$A$126,$B130)</f>
        <v>0</v>
      </c>
      <c r="D130">
        <f>SUMIFS(D$2:D$126,$A$2:$A$126,$B130)</f>
        <v>0</v>
      </c>
      <c r="E130">
        <f>SUMIFS(E$2:E$126,$A$2:$A$126,$B130)</f>
        <v>0</v>
      </c>
      <c r="F130">
        <f>SUMIFS(F$2:F$126,$A$2:$A$126,$B130)</f>
        <v>0</v>
      </c>
      <c r="G130">
        <f>SUMIFS(G$2:G$126,$A$2:$A$126,$B130)</f>
        <v>0</v>
      </c>
      <c r="H130">
        <f>SUMIFS(H$2:H$126,$A$2:$A$126,$B130)</f>
        <v>0</v>
      </c>
      <c r="I130">
        <f>SUMIFS(I$2:I$126,$A$2:$A$126,$B130)</f>
        <v>0</v>
      </c>
      <c r="J130">
        <f>SUMIFS(J$2:J$126,$A$2:$A$126,$B130)</f>
        <v>0</v>
      </c>
      <c r="K130">
        <f>SUMIFS(K$2:K$126,$A$2:$A$126,$B130)</f>
        <v>0</v>
      </c>
      <c r="L130">
        <f>SUMIFS(L$2:L$126,$A$2:$A$126,$B130)</f>
        <v>0</v>
      </c>
      <c r="M130">
        <f>SUMIFS(M$2:M$126,$A$2:$A$126,$B130)</f>
        <v>0</v>
      </c>
      <c r="N130">
        <f>SUMIFS(N$2:N$126,$A$2:$A$126,$B130)</f>
        <v>0</v>
      </c>
      <c r="O130">
        <f>SUMIFS(O$2:O$126,$A$2:$A$126,$B130)</f>
        <v>0</v>
      </c>
      <c r="P130">
        <f>SUMIFS(P$2:P$126,$A$2:$A$126,$B130)</f>
        <v>0</v>
      </c>
      <c r="Q130">
        <f>SUMIFS(Q$2:Q$126,$A$2:$A$126,$B130)</f>
        <v>0</v>
      </c>
      <c r="R130">
        <f>SUMIFS(R$2:R$126,$A$2:$A$126,$B130)</f>
        <v>0</v>
      </c>
      <c r="S130">
        <f>SUMIFS(S$2:S$126,$A$2:$A$126,$B130)</f>
        <v>0</v>
      </c>
      <c r="T130">
        <f>SUMIFS(T$2:T$126,$A$2:$A$126,$B130)</f>
        <v>0</v>
      </c>
      <c r="U130">
        <f>SUMIFS(U$2:U$126,$A$2:$A$126,$B130)</f>
        <v>0</v>
      </c>
      <c r="V130">
        <f>SUMIFS(V$2:V$126,$A$2:$A$126,$B130)</f>
        <v>0</v>
      </c>
      <c r="W130">
        <f>SUMIFS(W$2:W$126,$A$2:$A$126,$B130)</f>
        <v>0</v>
      </c>
      <c r="X130">
        <f>SUMIFS(X$2:X$126,$A$2:$A$126,$B130)</f>
        <v>0</v>
      </c>
      <c r="Y130">
        <f>SUMIFS(Y$2:Y$126,$A$2:$A$126,$B130)</f>
        <v>0</v>
      </c>
      <c r="Z130">
        <f>SUMIFS(Z$2:Z$126,$A$2:$A$126,$B130)</f>
        <v>0</v>
      </c>
      <c r="AA130">
        <f>SUMIFS(AA$2:AA$126,$A$2:$A$126,$B130)</f>
        <v>0</v>
      </c>
      <c r="AB130">
        <f>SUMIFS(AB$2:AB$126,$A$2:$A$126,$B130)</f>
        <v>0</v>
      </c>
      <c r="AC130">
        <f>SUMIFS(AC$2:AC$126,$A$2:$A$126,$B130)</f>
        <v>0</v>
      </c>
      <c r="AD130">
        <f>SUMIFS(AD$2:AD$126,$A$2:$A$126,$B130)</f>
        <v>0</v>
      </c>
      <c r="AE130">
        <f>SUMIFS(AE$2:AE$126,$A$2:$A$126,$B130)</f>
        <v>0</v>
      </c>
      <c r="AF130">
        <f>SUMIFS(AF$2:AF$126,$A$2:$A$126,$B130)</f>
        <v>0</v>
      </c>
      <c r="AG130">
        <f>SUMIFS(AG$2:AG$126,$A$2:$A$126,$B130)</f>
        <v>0</v>
      </c>
      <c r="AH130">
        <f>SUMIFS(AH$2:AH$126,$A$2:$A$126,$B130)</f>
        <v>0</v>
      </c>
      <c r="AI130">
        <f>SUMIFS(AI$2:AI$126,$A$2:$A$126,$B130)</f>
        <v>0</v>
      </c>
      <c r="AJ130">
        <f>SUMIFS(AJ$2:AJ$126,$A$2:$A$126,$B130)</f>
        <v>0</v>
      </c>
      <c r="AK130">
        <f>SUMIFS(AK$2:AK$126,$A$2:$A$126,$B130)</f>
        <v>0</v>
      </c>
      <c r="AL130">
        <f>SUMIFS(AL$2:AL$126,$A$2:$A$126,$B130)</f>
        <v>0</v>
      </c>
      <c r="AM130">
        <f>SUMIFS(AM$2:AM$126,$A$2:$A$126,$B130)</f>
        <v>0</v>
      </c>
      <c r="AN130">
        <f>SUMIFS(AN$2:AN$126,$A$2:$A$126,$B130)</f>
        <v>0</v>
      </c>
      <c r="AO130">
        <f>SUMIFS(AO$2:AO$126,$A$2:$A$126,$B130)</f>
        <v>1</v>
      </c>
      <c r="AP130">
        <f>SUMIFS(AP$2:AP$126,$A$2:$A$126,$B130)</f>
        <v>1</v>
      </c>
      <c r="AQ130">
        <f>SUMIFS(AQ$2:AQ$126,$A$2:$A$126,$B130)</f>
        <v>6</v>
      </c>
      <c r="AR130">
        <f>SUMIFS(AR$2:AR$126,$A$2:$A$126,$B130)</f>
        <v>7</v>
      </c>
      <c r="AS130">
        <f>SUMIFS(AS$2:AS$126,$A$2:$A$126,$B130)</f>
        <v>11</v>
      </c>
      <c r="AT130">
        <f>SUMIFS(AT$2:AT$126,$A$2:$A$126,$B130)</f>
        <v>12</v>
      </c>
      <c r="AU130">
        <f>SUMIFS(AU$2:AU$126,$A$2:$A$126,$B130)</f>
        <v>14</v>
      </c>
      <c r="AV130">
        <f>SUMIFS(AV$2:AV$126,$A$2:$A$126,$B130)</f>
        <v>17</v>
      </c>
      <c r="AW130">
        <f>SUMIFS(AW$2:AW$126,$A$2:$A$126,$B130)</f>
        <v>21</v>
      </c>
      <c r="AX130">
        <f>SUMIFS(AX$2:AX$126,$A$2:$A$126,$B130)</f>
        <v>23</v>
      </c>
      <c r="AY130">
        <f>SUMIFS(AY$2:AY$126,$A$2:$A$126,$B130)</f>
        <v>29</v>
      </c>
      <c r="AZ130">
        <f>SUMIFS(AZ$2:AZ$126,$A$2:$A$126,$B130)</f>
        <v>38</v>
      </c>
      <c r="BA130">
        <f>SUMIFS(BA$2:BA$126,$A$2:$A$126,$B130)</f>
        <v>42</v>
      </c>
      <c r="BB130">
        <f>SUMIFS(BB$2:BB$126,$A$2:$A$126,$B130)</f>
        <v>49</v>
      </c>
      <c r="BC130">
        <f>SUMIFS(BC$2:BC$126,$A$2:$A$126,$B130)</f>
        <v>56</v>
      </c>
      <c r="BD130">
        <f>SUMIFS(BD$2:BD$126,$A$2:$A$126,$B130)</f>
        <v>65</v>
      </c>
      <c r="BE130">
        <f>SUMIFS(BE$2:BE$126,$A$2:$A$126,$B130)</f>
        <v>90</v>
      </c>
      <c r="BF130">
        <f>SUMIFS(BF$2:BF$126,$A$2:$A$126,$B130)</f>
        <v>114</v>
      </c>
      <c r="BG130">
        <f>SUMIFS(BG$2:BG$126,$A$2:$A$126,$B130)</f>
        <v>128</v>
      </c>
      <c r="BH130">
        <f>SUMIFS(BH$2:BH$126,$A$2:$A$126,$B130)</f>
        <v>214</v>
      </c>
      <c r="BI130">
        <f>SUMIFS(BI$2:BI$126,$A$2:$A$126,$B130)</f>
        <v>261</v>
      </c>
      <c r="BJ130">
        <f>SUMIFS(BJ$2:BJ$126,$A$2:$A$126,$B130)</f>
        <v>333</v>
      </c>
      <c r="BK130">
        <f>SUMIFS(BK$2:BK$126,$A$2:$A$126,$B130)</f>
        <v>447</v>
      </c>
      <c r="BL130">
        <f>SUMIFS(BL$2:BL$126,$A$2:$A$126,$B130)</f>
        <v>595</v>
      </c>
      <c r="BM130">
        <f>SUMIFS(BM$2:BM$126,$A$2:$A$126,$B130)</f>
        <v>746</v>
      </c>
      <c r="BN130">
        <f>SUMIFS(BN$2:BN$126,$A$2:$A$126,$B130)</f>
        <v>989</v>
      </c>
      <c r="BO130">
        <f>SUMIFS(BO$2:BO$126,$A$2:$A$126,$B130)</f>
        <v>1266</v>
      </c>
      <c r="BP130">
        <f>SUMIFS(BP$2:BP$126,$A$2:$A$126,$B130)</f>
        <v>0</v>
      </c>
      <c r="BQ130">
        <f>SUMIFS(BQ$2:BQ$126,$A$2:$A$126,$B130)</f>
        <v>0</v>
      </c>
      <c r="BR130">
        <f>SUMIFS(BR$2:BR$126,$A$2:$A$126,$B130)</f>
        <v>0</v>
      </c>
      <c r="BS130">
        <f>SUMIFS(BS$2:BS$126,$A$2:$A$126,$B130)</f>
        <v>0</v>
      </c>
      <c r="BT130">
        <f>SUMIFS(BT$2:BT$126,$A$2:$A$126,$B130)</f>
        <v>0</v>
      </c>
      <c r="BU130">
        <f>SUMIFS(BU$2:BU$126,$A$2:$A$126,$B130)</f>
        <v>0</v>
      </c>
    </row>
    <row r="131" spans="1:73" x14ac:dyDescent="0.3">
      <c r="A131" s="168"/>
      <c r="B131" s="2" t="s">
        <v>612</v>
      </c>
      <c r="C131">
        <f>SUMIFS(C$2:C$126,$A$2:$A$126,$B131)</f>
        <v>0</v>
      </c>
      <c r="D131">
        <f>SUMIFS(D$2:D$126,$A$2:$A$126,$B131)</f>
        <v>0</v>
      </c>
      <c r="E131">
        <f>SUMIFS(E$2:E$126,$A$2:$A$126,$B131)</f>
        <v>0</v>
      </c>
      <c r="F131">
        <f>SUMIFS(F$2:F$126,$A$2:$A$126,$B131)</f>
        <v>0</v>
      </c>
      <c r="G131">
        <f>SUMIFS(G$2:G$126,$A$2:$A$126,$B131)</f>
        <v>0</v>
      </c>
      <c r="H131">
        <f>SUMIFS(H$2:H$126,$A$2:$A$126,$B131)</f>
        <v>0</v>
      </c>
      <c r="I131">
        <f>SUMIFS(I$2:I$126,$A$2:$A$126,$B131)</f>
        <v>0</v>
      </c>
      <c r="J131">
        <f>SUMIFS(J$2:J$126,$A$2:$A$126,$B131)</f>
        <v>0</v>
      </c>
      <c r="K131">
        <f>SUMIFS(K$2:K$126,$A$2:$A$126,$B131)</f>
        <v>0</v>
      </c>
      <c r="L131">
        <f>SUMIFS(L$2:L$126,$A$2:$A$126,$B131)</f>
        <v>0</v>
      </c>
      <c r="M131">
        <f>SUMIFS(M$2:M$126,$A$2:$A$126,$B131)</f>
        <v>0</v>
      </c>
      <c r="N131">
        <f>SUMIFS(N$2:N$126,$A$2:$A$126,$B131)</f>
        <v>0</v>
      </c>
      <c r="O131">
        <f>SUMIFS(O$2:O$126,$A$2:$A$126,$B131)</f>
        <v>0</v>
      </c>
      <c r="P131">
        <f>SUMIFS(P$2:P$126,$A$2:$A$126,$B131)</f>
        <v>0</v>
      </c>
      <c r="Q131">
        <f>SUMIFS(Q$2:Q$126,$A$2:$A$126,$B131)</f>
        <v>0</v>
      </c>
      <c r="R131">
        <f>SUMIFS(R$2:R$126,$A$2:$A$126,$B131)</f>
        <v>0</v>
      </c>
      <c r="S131">
        <f>SUMIFS(S$2:S$126,$A$2:$A$126,$B131)</f>
        <v>0</v>
      </c>
      <c r="T131">
        <f>SUMIFS(T$2:T$126,$A$2:$A$126,$B131)</f>
        <v>0</v>
      </c>
      <c r="U131">
        <f>SUMIFS(U$2:U$126,$A$2:$A$126,$B131)</f>
        <v>0</v>
      </c>
      <c r="V131">
        <f>SUMIFS(V$2:V$126,$A$2:$A$126,$B131)</f>
        <v>0</v>
      </c>
      <c r="W131">
        <f>SUMIFS(W$2:W$126,$A$2:$A$126,$B131)</f>
        <v>0</v>
      </c>
      <c r="X131">
        <f>SUMIFS(X$2:X$126,$A$2:$A$126,$B131)</f>
        <v>0</v>
      </c>
      <c r="Y131">
        <f>SUMIFS(Y$2:Y$126,$A$2:$A$126,$B131)</f>
        <v>0</v>
      </c>
      <c r="Z131">
        <f>SUMIFS(Z$2:Z$126,$A$2:$A$126,$B131)</f>
        <v>0</v>
      </c>
      <c r="AA131">
        <f>SUMIFS(AA$2:AA$126,$A$2:$A$126,$B131)</f>
        <v>0</v>
      </c>
      <c r="AB131">
        <f>SUMIFS(AB$2:AB$126,$A$2:$A$126,$B131)</f>
        <v>0</v>
      </c>
      <c r="AC131">
        <f>SUMIFS(AC$2:AC$126,$A$2:$A$126,$B131)</f>
        <v>0</v>
      </c>
      <c r="AD131">
        <f>SUMIFS(AD$2:AD$126,$A$2:$A$126,$B131)</f>
        <v>0</v>
      </c>
      <c r="AE131">
        <f>SUMIFS(AE$2:AE$126,$A$2:$A$126,$B131)</f>
        <v>0</v>
      </c>
      <c r="AF131">
        <f>SUMIFS(AF$2:AF$126,$A$2:$A$126,$B131)</f>
        <v>0</v>
      </c>
      <c r="AG131">
        <f>SUMIFS(AG$2:AG$126,$A$2:$A$126,$B131)</f>
        <v>0</v>
      </c>
      <c r="AH131">
        <f>SUMIFS(AH$2:AH$126,$A$2:$A$126,$B131)</f>
        <v>0</v>
      </c>
      <c r="AI131">
        <f>SUMIFS(AI$2:AI$126,$A$2:$A$126,$B131)</f>
        <v>0</v>
      </c>
      <c r="AJ131">
        <f>SUMIFS(AJ$2:AJ$126,$A$2:$A$126,$B131)</f>
        <v>0</v>
      </c>
      <c r="AK131">
        <f>SUMIFS(AK$2:AK$126,$A$2:$A$126,$B131)</f>
        <v>0</v>
      </c>
      <c r="AL131">
        <f>SUMIFS(AL$2:AL$126,$A$2:$A$126,$B131)</f>
        <v>0</v>
      </c>
      <c r="AM131">
        <f>SUMIFS(AM$2:AM$126,$A$2:$A$126,$B131)</f>
        <v>0</v>
      </c>
      <c r="AN131">
        <f>SUMIFS(AN$2:AN$126,$A$2:$A$126,$B131)</f>
        <v>0</v>
      </c>
      <c r="AO131">
        <f>SUMIFS(AO$2:AO$126,$A$2:$A$126,$B131)</f>
        <v>0</v>
      </c>
      <c r="AP131">
        <f>SUMIFS(AP$2:AP$126,$A$2:$A$126,$B131)</f>
        <v>0</v>
      </c>
      <c r="AQ131">
        <f>SUMIFS(AQ$2:AQ$126,$A$2:$A$126,$B131)</f>
        <v>0</v>
      </c>
      <c r="AR131">
        <f>SUMIFS(AR$2:AR$126,$A$2:$A$126,$B131)</f>
        <v>0</v>
      </c>
      <c r="AS131">
        <f>SUMIFS(AS$2:AS$126,$A$2:$A$126,$B131)</f>
        <v>0</v>
      </c>
      <c r="AT131">
        <f>SUMIFS(AT$2:AT$126,$A$2:$A$126,$B131)</f>
        <v>0</v>
      </c>
      <c r="AU131">
        <f>SUMIFS(AU$2:AU$126,$A$2:$A$126,$B131)</f>
        <v>0</v>
      </c>
      <c r="AV131">
        <f>SUMIFS(AV$2:AV$126,$A$2:$A$126,$B131)</f>
        <v>0</v>
      </c>
      <c r="AW131">
        <f>SUMIFS(AW$2:AW$126,$A$2:$A$126,$B131)</f>
        <v>1</v>
      </c>
      <c r="AX131">
        <f>SUMIFS(AX$2:AX$126,$A$2:$A$126,$B131)</f>
        <v>1</v>
      </c>
      <c r="AY131">
        <f>SUMIFS(AY$2:AY$126,$A$2:$A$126,$B131)</f>
        <v>1</v>
      </c>
      <c r="AZ131">
        <f>SUMIFS(AZ$2:AZ$126,$A$2:$A$126,$B131)</f>
        <v>1</v>
      </c>
      <c r="BA131">
        <f>SUMIFS(BA$2:BA$126,$A$2:$A$126,$B131)</f>
        <v>2</v>
      </c>
      <c r="BB131">
        <f>SUMIFS(BB$2:BB$126,$A$2:$A$126,$B131)</f>
        <v>3</v>
      </c>
      <c r="BC131">
        <f>SUMIFS(BC$2:BC$126,$A$2:$A$126,$B131)</f>
        <v>5</v>
      </c>
      <c r="BD131">
        <f>SUMIFS(BD$2:BD$126,$A$2:$A$126,$B131)</f>
        <v>5</v>
      </c>
      <c r="BE131">
        <f>SUMIFS(BE$2:BE$126,$A$2:$A$126,$B131)</f>
        <v>5</v>
      </c>
      <c r="BF131">
        <f>SUMIFS(BF$2:BF$126,$A$2:$A$126,$B131)</f>
        <v>7</v>
      </c>
      <c r="BG131">
        <f>SUMIFS(BG$2:BG$126,$A$2:$A$126,$B131)</f>
        <v>9</v>
      </c>
      <c r="BH131">
        <f>SUMIFS(BH$2:BH$126,$A$2:$A$126,$B131)</f>
        <v>15</v>
      </c>
      <c r="BI131">
        <f>SUMIFS(BI$2:BI$126,$A$2:$A$126,$B131)</f>
        <v>25</v>
      </c>
      <c r="BJ131">
        <f>SUMIFS(BJ$2:BJ$126,$A$2:$A$126,$B131)</f>
        <v>35</v>
      </c>
      <c r="BK131">
        <f>SUMIFS(BK$2:BK$126,$A$2:$A$126,$B131)</f>
        <v>56</v>
      </c>
      <c r="BL131">
        <f>SUMIFS(BL$2:BL$126,$A$2:$A$126,$B131)</f>
        <v>71</v>
      </c>
      <c r="BM131">
        <f>SUMIFS(BM$2:BM$126,$A$2:$A$126,$B131)</f>
        <v>100</v>
      </c>
      <c r="BN131">
        <f>SUMIFS(BN$2:BN$126,$A$2:$A$126,$B131)</f>
        <v>125</v>
      </c>
      <c r="BO131">
        <f>SUMIFS(BO$2:BO$126,$A$2:$A$126,$B131)</f>
        <v>154</v>
      </c>
      <c r="BP131">
        <f>SUMIFS(BP$2:BP$126,$A$2:$A$126,$B131)</f>
        <v>0</v>
      </c>
      <c r="BQ131">
        <f>SUMIFS(BQ$2:BQ$126,$A$2:$A$126,$B131)</f>
        <v>0</v>
      </c>
      <c r="BR131">
        <f>SUMIFS(BR$2:BR$126,$A$2:$A$126,$B131)</f>
        <v>0</v>
      </c>
      <c r="BS131">
        <f>SUMIFS(BS$2:BS$126,$A$2:$A$126,$B131)</f>
        <v>0</v>
      </c>
      <c r="BT131">
        <f>SUMIFS(BT$2:BT$126,$A$2:$A$126,$B131)</f>
        <v>0</v>
      </c>
      <c r="BU131">
        <f>SUMIFS(BU$2:BU$126,$A$2:$A$126,$B131)</f>
        <v>0</v>
      </c>
    </row>
    <row r="132" spans="1:73" x14ac:dyDescent="0.3">
      <c r="A132" s="168"/>
      <c r="B132" s="2" t="s">
        <v>613</v>
      </c>
      <c r="C132">
        <f>SUMIFS(C$2:C$126,$A$2:$A$126,$B132)</f>
        <v>0</v>
      </c>
      <c r="D132">
        <f>SUMIFS(D$2:D$126,$A$2:$A$126,$B132)</f>
        <v>0</v>
      </c>
      <c r="E132">
        <f>SUMIFS(E$2:E$126,$A$2:$A$126,$B132)</f>
        <v>0</v>
      </c>
      <c r="F132">
        <f>SUMIFS(F$2:F$126,$A$2:$A$126,$B132)</f>
        <v>0</v>
      </c>
      <c r="G132">
        <f>SUMIFS(G$2:G$126,$A$2:$A$126,$B132)</f>
        <v>0</v>
      </c>
      <c r="H132">
        <f>SUMIFS(H$2:H$126,$A$2:$A$126,$B132)</f>
        <v>0</v>
      </c>
      <c r="I132">
        <f>SUMIFS(I$2:I$126,$A$2:$A$126,$B132)</f>
        <v>0</v>
      </c>
      <c r="J132">
        <f>SUMIFS(J$2:J$126,$A$2:$A$126,$B132)</f>
        <v>0</v>
      </c>
      <c r="K132">
        <f>SUMIFS(K$2:K$126,$A$2:$A$126,$B132)</f>
        <v>0</v>
      </c>
      <c r="L132">
        <f>SUMIFS(L$2:L$126,$A$2:$A$126,$B132)</f>
        <v>0</v>
      </c>
      <c r="M132">
        <f>SUMIFS(M$2:M$126,$A$2:$A$126,$B132)</f>
        <v>0</v>
      </c>
      <c r="N132">
        <f>SUMIFS(N$2:N$126,$A$2:$A$126,$B132)</f>
        <v>0</v>
      </c>
      <c r="O132">
        <f>SUMIFS(O$2:O$126,$A$2:$A$126,$B132)</f>
        <v>0</v>
      </c>
      <c r="P132">
        <f>SUMIFS(P$2:P$126,$A$2:$A$126,$B132)</f>
        <v>0</v>
      </c>
      <c r="Q132">
        <f>SUMIFS(Q$2:Q$126,$A$2:$A$126,$B132)</f>
        <v>0</v>
      </c>
      <c r="R132">
        <f>SUMIFS(R$2:R$126,$A$2:$A$126,$B132)</f>
        <v>0</v>
      </c>
      <c r="S132">
        <f>SUMIFS(S$2:S$126,$A$2:$A$126,$B132)</f>
        <v>0</v>
      </c>
      <c r="T132">
        <f>SUMIFS(T$2:T$126,$A$2:$A$126,$B132)</f>
        <v>0</v>
      </c>
      <c r="U132">
        <f>SUMIFS(U$2:U$126,$A$2:$A$126,$B132)</f>
        <v>0</v>
      </c>
      <c r="V132">
        <f>SUMIFS(V$2:V$126,$A$2:$A$126,$B132)</f>
        <v>0</v>
      </c>
      <c r="W132">
        <f>SUMIFS(W$2:W$126,$A$2:$A$126,$B132)</f>
        <v>0</v>
      </c>
      <c r="X132">
        <f>SUMIFS(X$2:X$126,$A$2:$A$126,$B132)</f>
        <v>0</v>
      </c>
      <c r="Y132">
        <f>SUMIFS(Y$2:Y$126,$A$2:$A$126,$B132)</f>
        <v>0</v>
      </c>
      <c r="Z132">
        <f>SUMIFS(Z$2:Z$126,$A$2:$A$126,$B132)</f>
        <v>0</v>
      </c>
      <c r="AA132">
        <f>SUMIFS(AA$2:AA$126,$A$2:$A$126,$B132)</f>
        <v>0</v>
      </c>
      <c r="AB132">
        <f>SUMIFS(AB$2:AB$126,$A$2:$A$126,$B132)</f>
        <v>0</v>
      </c>
      <c r="AC132">
        <f>SUMIFS(AC$2:AC$126,$A$2:$A$126,$B132)</f>
        <v>0</v>
      </c>
      <c r="AD132">
        <f>SUMIFS(AD$2:AD$126,$A$2:$A$126,$B132)</f>
        <v>0</v>
      </c>
      <c r="AE132">
        <f>SUMIFS(AE$2:AE$126,$A$2:$A$126,$B132)</f>
        <v>0</v>
      </c>
      <c r="AF132">
        <f>SUMIFS(AF$2:AF$126,$A$2:$A$126,$B132)</f>
        <v>0</v>
      </c>
      <c r="AG132">
        <f>SUMIFS(AG$2:AG$126,$A$2:$A$126,$B132)</f>
        <v>0</v>
      </c>
      <c r="AH132">
        <f>SUMIFS(AH$2:AH$126,$A$2:$A$126,$B132)</f>
        <v>0</v>
      </c>
      <c r="AI132">
        <f>SUMIFS(AI$2:AI$126,$A$2:$A$126,$B132)</f>
        <v>0</v>
      </c>
      <c r="AJ132">
        <f>SUMIFS(AJ$2:AJ$126,$A$2:$A$126,$B132)</f>
        <v>0</v>
      </c>
      <c r="AK132">
        <f>SUMIFS(AK$2:AK$126,$A$2:$A$126,$B132)</f>
        <v>0</v>
      </c>
      <c r="AL132">
        <f>SUMIFS(AL$2:AL$126,$A$2:$A$126,$B132)</f>
        <v>0</v>
      </c>
      <c r="AM132">
        <f>SUMIFS(AM$2:AM$126,$A$2:$A$126,$B132)</f>
        <v>0</v>
      </c>
      <c r="AN132">
        <f>SUMIFS(AN$2:AN$126,$A$2:$A$126,$B132)</f>
        <v>0</v>
      </c>
      <c r="AO132">
        <f>SUMIFS(AO$2:AO$126,$A$2:$A$126,$B132)</f>
        <v>0</v>
      </c>
      <c r="AP132">
        <f>SUMIFS(AP$2:AP$126,$A$2:$A$126,$B132)</f>
        <v>0</v>
      </c>
      <c r="AQ132">
        <f>SUMIFS(AQ$2:AQ$126,$A$2:$A$126,$B132)</f>
        <v>0</v>
      </c>
      <c r="AR132">
        <f>SUMIFS(AR$2:AR$126,$A$2:$A$126,$B132)</f>
        <v>0</v>
      </c>
      <c r="AS132">
        <f>SUMIFS(AS$2:AS$126,$A$2:$A$126,$B132)</f>
        <v>0</v>
      </c>
      <c r="AT132">
        <f>SUMIFS(AT$2:AT$126,$A$2:$A$126,$B132)</f>
        <v>0</v>
      </c>
      <c r="AU132">
        <f>SUMIFS(AU$2:AU$126,$A$2:$A$126,$B132)</f>
        <v>0</v>
      </c>
      <c r="AV132">
        <f>SUMIFS(AV$2:AV$126,$A$2:$A$126,$B132)</f>
        <v>0</v>
      </c>
      <c r="AW132">
        <f>SUMIFS(AW$2:AW$126,$A$2:$A$126,$B132)</f>
        <v>1</v>
      </c>
      <c r="AX132">
        <f>SUMIFS(AX$2:AX$126,$A$2:$A$126,$B132)</f>
        <v>1</v>
      </c>
      <c r="AY132">
        <f>SUMIFS(AY$2:AY$126,$A$2:$A$126,$B132)</f>
        <v>2</v>
      </c>
      <c r="AZ132">
        <f>SUMIFS(AZ$2:AZ$126,$A$2:$A$126,$B132)</f>
        <v>2</v>
      </c>
      <c r="BA132">
        <f>SUMIFS(BA$2:BA$126,$A$2:$A$126,$B132)</f>
        <v>3</v>
      </c>
      <c r="BB132">
        <f>SUMIFS(BB$2:BB$126,$A$2:$A$126,$B132)</f>
        <v>6</v>
      </c>
      <c r="BC132">
        <f>SUMIFS(BC$2:BC$126,$A$2:$A$126,$B132)</f>
        <v>7</v>
      </c>
      <c r="BD132">
        <f>SUMIFS(BD$2:BD$126,$A$2:$A$126,$B132)</f>
        <v>8</v>
      </c>
      <c r="BE132">
        <f>SUMIFS(BE$2:BE$126,$A$2:$A$126,$B132)</f>
        <v>8</v>
      </c>
      <c r="BF132">
        <f>SUMIFS(BF$2:BF$126,$A$2:$A$126,$B132)</f>
        <v>11</v>
      </c>
      <c r="BG132">
        <f>SUMIFS(BG$2:BG$126,$A$2:$A$126,$B132)</f>
        <v>17</v>
      </c>
      <c r="BH132">
        <f>SUMIFS(BH$2:BH$126,$A$2:$A$126,$B132)</f>
        <v>20</v>
      </c>
      <c r="BI132">
        <f>SUMIFS(BI$2:BI$126,$A$2:$A$126,$B132)</f>
        <v>25</v>
      </c>
      <c r="BJ132">
        <f>SUMIFS(BJ$2:BJ$126,$A$2:$A$126,$B132)</f>
        <v>33</v>
      </c>
      <c r="BK132">
        <f>SUMIFS(BK$2:BK$126,$A$2:$A$126,$B132)</f>
        <v>44</v>
      </c>
      <c r="BL132">
        <f>SUMIFS(BL$2:BL$126,$A$2:$A$126,$B132)</f>
        <v>50</v>
      </c>
      <c r="BM132">
        <f>SUMIFS(BM$2:BM$126,$A$2:$A$126,$B132)</f>
        <v>56</v>
      </c>
      <c r="BN132">
        <f>SUMIFS(BN$2:BN$126,$A$2:$A$126,$B132)</f>
        <v>62</v>
      </c>
      <c r="BO132">
        <f>SUMIFS(BO$2:BO$126,$A$2:$A$126,$B132)</f>
        <v>80</v>
      </c>
      <c r="BP132">
        <f>SUMIFS(BP$2:BP$126,$A$2:$A$126,$B132)</f>
        <v>0</v>
      </c>
      <c r="BQ132">
        <f>SUMIFS(BQ$2:BQ$126,$A$2:$A$126,$B132)</f>
        <v>0</v>
      </c>
      <c r="BR132">
        <f>SUMIFS(BR$2:BR$126,$A$2:$A$126,$B132)</f>
        <v>0</v>
      </c>
      <c r="BS132">
        <f>SUMIFS(BS$2:BS$126,$A$2:$A$126,$B132)</f>
        <v>0</v>
      </c>
      <c r="BT132">
        <f>SUMIFS(BT$2:BT$126,$A$2:$A$126,$B132)</f>
        <v>0</v>
      </c>
      <c r="BU132">
        <f>SUMIFS(BU$2:BU$126,$A$2:$A$126,$B132)</f>
        <v>0</v>
      </c>
    </row>
    <row r="133" spans="1:73" x14ac:dyDescent="0.3">
      <c r="A133" s="168"/>
      <c r="B133" s="2" t="s">
        <v>610</v>
      </c>
      <c r="C133">
        <f>SUMIFS(C$2:C$126,$A$2:$A$126,$B133)</f>
        <v>0</v>
      </c>
      <c r="D133">
        <f>SUMIFS(D$2:D$126,$A$2:$A$126,$B133)</f>
        <v>0</v>
      </c>
      <c r="E133">
        <f>SUMIFS(E$2:E$126,$A$2:$A$126,$B133)</f>
        <v>0</v>
      </c>
      <c r="F133">
        <f>SUMIFS(F$2:F$126,$A$2:$A$126,$B133)</f>
        <v>0</v>
      </c>
      <c r="G133">
        <f>SUMIFS(G$2:G$126,$A$2:$A$126,$B133)</f>
        <v>0</v>
      </c>
      <c r="H133">
        <f>SUMIFS(H$2:H$126,$A$2:$A$126,$B133)</f>
        <v>0</v>
      </c>
      <c r="I133">
        <f>SUMIFS(I$2:I$126,$A$2:$A$126,$B133)</f>
        <v>0</v>
      </c>
      <c r="J133">
        <f>SUMIFS(J$2:J$126,$A$2:$A$126,$B133)</f>
        <v>0</v>
      </c>
      <c r="K133">
        <f>SUMIFS(K$2:K$126,$A$2:$A$126,$B133)</f>
        <v>0</v>
      </c>
      <c r="L133">
        <f>SUMIFS(L$2:L$126,$A$2:$A$126,$B133)</f>
        <v>0</v>
      </c>
      <c r="M133">
        <f>SUMIFS(M$2:M$126,$A$2:$A$126,$B133)</f>
        <v>0</v>
      </c>
      <c r="N133">
        <f>SUMIFS(N$2:N$126,$A$2:$A$126,$B133)</f>
        <v>0</v>
      </c>
      <c r="O133">
        <f>SUMIFS(O$2:O$126,$A$2:$A$126,$B133)</f>
        <v>0</v>
      </c>
      <c r="P133">
        <f>SUMIFS(P$2:P$126,$A$2:$A$126,$B133)</f>
        <v>0</v>
      </c>
      <c r="Q133">
        <f>SUMIFS(Q$2:Q$126,$A$2:$A$126,$B133)</f>
        <v>0</v>
      </c>
      <c r="R133">
        <f>SUMIFS(R$2:R$126,$A$2:$A$126,$B133)</f>
        <v>0</v>
      </c>
      <c r="S133">
        <f>SUMIFS(S$2:S$126,$A$2:$A$126,$B133)</f>
        <v>0</v>
      </c>
      <c r="T133">
        <f>SUMIFS(T$2:T$126,$A$2:$A$126,$B133)</f>
        <v>0</v>
      </c>
      <c r="U133">
        <f>SUMIFS(U$2:U$126,$A$2:$A$126,$B133)</f>
        <v>0</v>
      </c>
      <c r="V133">
        <f>SUMIFS(V$2:V$126,$A$2:$A$126,$B133)</f>
        <v>0</v>
      </c>
      <c r="W133">
        <f>SUMIFS(W$2:W$126,$A$2:$A$126,$B133)</f>
        <v>0</v>
      </c>
      <c r="X133">
        <f>SUMIFS(X$2:X$126,$A$2:$A$126,$B133)</f>
        <v>0</v>
      </c>
      <c r="Y133">
        <f>SUMIFS(Y$2:Y$126,$A$2:$A$126,$B133)</f>
        <v>0</v>
      </c>
      <c r="Z133">
        <f>SUMIFS(Z$2:Z$126,$A$2:$A$126,$B133)</f>
        <v>0</v>
      </c>
      <c r="AA133">
        <f>SUMIFS(AA$2:AA$126,$A$2:$A$126,$B133)</f>
        <v>0</v>
      </c>
      <c r="AB133">
        <f>SUMIFS(AB$2:AB$126,$A$2:$A$126,$B133)</f>
        <v>0</v>
      </c>
      <c r="AC133">
        <f>SUMIFS(AC$2:AC$126,$A$2:$A$126,$B133)</f>
        <v>0</v>
      </c>
      <c r="AD133">
        <f>SUMIFS(AD$2:AD$126,$A$2:$A$126,$B133)</f>
        <v>0</v>
      </c>
      <c r="AE133">
        <f>SUMIFS(AE$2:AE$126,$A$2:$A$126,$B133)</f>
        <v>2</v>
      </c>
      <c r="AF133">
        <f>SUMIFS(AF$2:AF$126,$A$2:$A$126,$B133)</f>
        <v>2</v>
      </c>
      <c r="AG133">
        <f>SUMIFS(AG$2:AG$126,$A$2:$A$126,$B133)</f>
        <v>4</v>
      </c>
      <c r="AH133">
        <f>SUMIFS(AH$2:AH$126,$A$2:$A$126,$B133)</f>
        <v>5</v>
      </c>
      <c r="AI133">
        <f>SUMIFS(AI$2:AI$126,$A$2:$A$126,$B133)</f>
        <v>8</v>
      </c>
      <c r="AJ133">
        <f>SUMIFS(AJ$2:AJ$126,$A$2:$A$126,$B133)</f>
        <v>12</v>
      </c>
      <c r="AK133">
        <f>SUMIFS(AK$2:AK$126,$A$2:$A$126,$B133)</f>
        <v>16</v>
      </c>
      <c r="AL133">
        <f>SUMIFS(AL$2:AL$126,$A$2:$A$126,$B133)</f>
        <v>19</v>
      </c>
      <c r="AM133">
        <f>SUMIFS(AM$2:AM$126,$A$2:$A$126,$B133)</f>
        <v>26</v>
      </c>
      <c r="AN133">
        <f>SUMIFS(AN$2:AN$126,$A$2:$A$126,$B133)</f>
        <v>34</v>
      </c>
      <c r="AO133">
        <f>SUMIFS(AO$2:AO$126,$A$2:$A$126,$B133)</f>
        <v>43</v>
      </c>
      <c r="AP133">
        <f>SUMIFS(AP$2:AP$126,$A$2:$A$126,$B133)</f>
        <v>54</v>
      </c>
      <c r="AQ133">
        <f>SUMIFS(AQ$2:AQ$126,$A$2:$A$126,$B133)</f>
        <v>66</v>
      </c>
      <c r="AR133">
        <f>SUMIFS(AR$2:AR$126,$A$2:$A$126,$B133)</f>
        <v>77</v>
      </c>
      <c r="AS133">
        <f>SUMIFS(AS$2:AS$126,$A$2:$A$126,$B133)</f>
        <v>94</v>
      </c>
      <c r="AT133">
        <f>SUMIFS(AT$2:AT$126,$A$2:$A$126,$B133)</f>
        <v>109</v>
      </c>
      <c r="AU133">
        <f>SUMIFS(AU$2:AU$126,$A$2:$A$126,$B133)</f>
        <v>127</v>
      </c>
      <c r="AV133">
        <f>SUMIFS(AV$2:AV$126,$A$2:$A$126,$B133)</f>
        <v>149</v>
      </c>
      <c r="AW133">
        <f>SUMIFS(AW$2:AW$126,$A$2:$A$126,$B133)</f>
        <v>200</v>
      </c>
      <c r="AX133">
        <f>SUMIFS(AX$2:AX$126,$A$2:$A$126,$B133)</f>
        <v>243</v>
      </c>
      <c r="AY133">
        <f>SUMIFS(AY$2:AY$126,$A$2:$A$126,$B133)</f>
        <v>299</v>
      </c>
      <c r="AZ133">
        <f>SUMIFS(AZ$2:AZ$126,$A$2:$A$126,$B133)</f>
        <v>364</v>
      </c>
      <c r="BA133">
        <f>SUMIFS(BA$2:BA$126,$A$2:$A$126,$B133)</f>
        <v>440</v>
      </c>
      <c r="BB133">
        <f>SUMIFS(BB$2:BB$126,$A$2:$A$126,$B133)</f>
        <v>526</v>
      </c>
      <c r="BC133">
        <f>SUMIFS(BC$2:BC$126,$A$2:$A$126,$B133)</f>
        <v>624</v>
      </c>
      <c r="BD133">
        <f>SUMIFS(BD$2:BD$126,$A$2:$A$126,$B133)</f>
        <v>737</v>
      </c>
      <c r="BE133">
        <f>SUMIFS(BE$2:BE$126,$A$2:$A$126,$B133)</f>
        <v>867</v>
      </c>
      <c r="BF133">
        <f>SUMIFS(BF$2:BF$126,$A$2:$A$126,$B133)</f>
        <v>1003</v>
      </c>
      <c r="BG133">
        <f>SUMIFS(BG$2:BG$126,$A$2:$A$126,$B133)</f>
        <v>1151</v>
      </c>
      <c r="BH133">
        <f>SUMIFS(BH$2:BH$126,$A$2:$A$126,$B133)</f>
        <v>1302</v>
      </c>
      <c r="BI133">
        <f>SUMIFS(BI$2:BI$126,$A$2:$A$126,$B133)</f>
        <v>1457</v>
      </c>
      <c r="BJ133">
        <f>SUMIFS(BJ$2:BJ$126,$A$2:$A$126,$B133)</f>
        <v>1581</v>
      </c>
      <c r="BK133">
        <f>SUMIFS(BK$2:BK$126,$A$2:$A$126,$B133)</f>
        <v>1715</v>
      </c>
      <c r="BL133">
        <f>SUMIFS(BL$2:BL$126,$A$2:$A$126,$B133)</f>
        <v>1845</v>
      </c>
      <c r="BM133">
        <f>SUMIFS(BM$2:BM$126,$A$2:$A$126,$B133)</f>
        <v>1975</v>
      </c>
      <c r="BN133">
        <f>SUMIFS(BN$2:BN$126,$A$2:$A$126,$B133)</f>
        <v>2127</v>
      </c>
      <c r="BO133">
        <f>SUMIFS(BO$2:BO$126,$A$2:$A$126,$B133)</f>
        <v>2297</v>
      </c>
      <c r="BP133">
        <f>SUMIFS(BP$2:BP$126,$A$2:$A$126,$B133)</f>
        <v>0</v>
      </c>
      <c r="BQ133">
        <f>SUMIFS(BQ$2:BQ$126,$A$2:$A$126,$B133)</f>
        <v>0</v>
      </c>
      <c r="BR133">
        <f>SUMIFS(BR$2:BR$126,$A$2:$A$126,$B133)</f>
        <v>0</v>
      </c>
      <c r="BS133">
        <f>SUMIFS(BS$2:BS$126,$A$2:$A$126,$B133)</f>
        <v>0</v>
      </c>
      <c r="BT133">
        <f>SUMIFS(BT$2:BT$126,$A$2:$A$126,$B133)</f>
        <v>0</v>
      </c>
      <c r="BU133">
        <f>SUMIFS(BU$2:BU$126,$A$2:$A$126,$B133)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456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457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458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459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460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461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462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463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464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467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468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470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471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472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473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485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484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481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482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480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483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510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486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520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469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521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522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523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524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525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526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530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531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532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533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534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535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536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537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538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553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554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555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556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557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560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561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562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563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564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463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575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469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456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576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577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436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578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579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580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Q249"/>
  <sheetViews>
    <sheetView workbookViewId="0">
      <selection sqref="A1:CA1000"/>
    </sheetView>
  </sheetViews>
  <sheetFormatPr defaultRowHeight="14.4" x14ac:dyDescent="0.3"/>
  <sheetData>
    <row r="1" spans="1:69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</row>
    <row r="2" spans="1:69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</row>
    <row r="3" spans="1:69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</row>
    <row r="4" spans="1:69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</row>
    <row r="5" spans="1:69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</row>
    <row r="6" spans="1:69" x14ac:dyDescent="0.3">
      <c r="B6" t="s">
        <v>532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</row>
    <row r="7" spans="1:69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</row>
    <row r="8" spans="1:69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</row>
    <row r="9" spans="1:69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</row>
    <row r="10" spans="1:69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</row>
    <row r="11" spans="1:69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</row>
    <row r="12" spans="1:69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</row>
    <row r="13" spans="1:69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</row>
    <row r="14" spans="1:69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</row>
    <row r="15" spans="1:69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</row>
    <row r="16" spans="1:69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</row>
    <row r="17" spans="1:69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</row>
    <row r="18" spans="1:69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</row>
    <row r="19" spans="1:69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</row>
    <row r="20" spans="1:69" x14ac:dyDescent="0.3">
      <c r="B20" t="s">
        <v>581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</row>
    <row r="21" spans="1:69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</row>
    <row r="22" spans="1:69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</row>
    <row r="23" spans="1:69" x14ac:dyDescent="0.3">
      <c r="B23" t="s">
        <v>485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</row>
    <row r="24" spans="1:69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</row>
    <row r="25" spans="1:69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</row>
    <row r="26" spans="1:69" x14ac:dyDescent="0.3">
      <c r="B26" t="s">
        <v>468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</row>
    <row r="27" spans="1:69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</row>
    <row r="28" spans="1:69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</row>
    <row r="29" spans="1:69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</row>
    <row r="30" spans="1:69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</row>
    <row r="31" spans="1:69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</row>
    <row r="32" spans="1:69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</row>
    <row r="33" spans="1:69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</row>
    <row r="34" spans="1:69" x14ac:dyDescent="0.3">
      <c r="B34" t="s">
        <v>533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</row>
    <row r="35" spans="1:69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</row>
    <row r="36" spans="1:69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</row>
    <row r="37" spans="1:69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</row>
    <row r="38" spans="1:69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</row>
    <row r="39" spans="1:69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</row>
    <row r="40" spans="1:69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</row>
    <row r="41" spans="1:69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</row>
    <row r="42" spans="1:69" x14ac:dyDescent="0.3">
      <c r="A42" t="s">
        <v>458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</row>
    <row r="43" spans="1:69" x14ac:dyDescent="0.3">
      <c r="A43" t="s">
        <v>467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</row>
    <row r="44" spans="1:69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</row>
    <row r="45" spans="1:69" x14ac:dyDescent="0.3">
      <c r="A45" t="s">
        <v>459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</row>
    <row r="46" spans="1:69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</row>
    <row r="47" spans="1:69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</row>
    <row r="48" spans="1:69" x14ac:dyDescent="0.3">
      <c r="B48" t="s">
        <v>460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</row>
    <row r="49" spans="1:69" x14ac:dyDescent="0.3">
      <c r="B49" t="s">
        <v>523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</row>
    <row r="50" spans="1:69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</row>
    <row r="51" spans="1:69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</row>
    <row r="52" spans="1:69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</row>
    <row r="53" spans="1:69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</row>
    <row r="54" spans="1:69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</row>
    <row r="55" spans="1:69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</row>
    <row r="56" spans="1:69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</row>
    <row r="57" spans="1:69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</row>
    <row r="58" spans="1:69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</row>
    <row r="59" spans="1:69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</row>
    <row r="60" spans="1:69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</row>
    <row r="61" spans="1:69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</row>
    <row r="62" spans="1:69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</row>
    <row r="63" spans="1:69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</row>
    <row r="64" spans="1:69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</row>
    <row r="65" spans="1:69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</row>
    <row r="66" spans="1:69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</row>
    <row r="67" spans="1:69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</row>
    <row r="68" spans="1:69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</row>
    <row r="69" spans="1:69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</row>
    <row r="70" spans="1:69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</row>
    <row r="71" spans="1:69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</row>
    <row r="72" spans="1:69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</row>
    <row r="73" spans="1:69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</row>
    <row r="74" spans="1:69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</row>
    <row r="75" spans="1:69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</row>
    <row r="76" spans="1:69" x14ac:dyDescent="0.3">
      <c r="A76" t="s">
        <v>27</v>
      </c>
      <c r="B76" t="s">
        <v>337</v>
      </c>
      <c r="C76">
        <v>31.201999999999899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</row>
    <row r="77" spans="1:69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</row>
    <row r="78" spans="1:69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</row>
    <row r="79" spans="1:69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</row>
    <row r="80" spans="1:69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</row>
    <row r="81" spans="1:69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</row>
    <row r="82" spans="1:69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</row>
    <row r="83" spans="1:69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</row>
    <row r="84" spans="1:69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</row>
    <row r="85" spans="1:69" x14ac:dyDescent="0.3">
      <c r="B85" t="s">
        <v>461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</row>
    <row r="86" spans="1:69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</row>
    <row r="87" spans="1:69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</row>
    <row r="88" spans="1:69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</row>
    <row r="89" spans="1:69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</row>
    <row r="90" spans="1:69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</row>
    <row r="91" spans="1:69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</row>
    <row r="92" spans="1:69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</row>
    <row r="93" spans="1:69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</row>
    <row r="94" spans="1:69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</row>
    <row r="95" spans="1:69" x14ac:dyDescent="0.3">
      <c r="A95" t="s">
        <v>469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</row>
    <row r="96" spans="1:69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</row>
    <row r="97" spans="1:69" x14ac:dyDescent="0.3">
      <c r="B97" t="s">
        <v>483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</row>
    <row r="98" spans="1:69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</row>
    <row r="99" spans="1:69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</row>
    <row r="100" spans="1:69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</row>
    <row r="101" spans="1:69" x14ac:dyDescent="0.3">
      <c r="B101" t="s">
        <v>524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</row>
    <row r="102" spans="1:69" x14ac:dyDescent="0.3">
      <c r="B102" t="s">
        <v>462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</row>
    <row r="103" spans="1:69" x14ac:dyDescent="0.3">
      <c r="B103" t="s">
        <v>556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</row>
    <row r="104" spans="1:69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</row>
    <row r="105" spans="1:69" x14ac:dyDescent="0.3">
      <c r="B105" t="s">
        <v>442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</row>
    <row r="106" spans="1:69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</row>
    <row r="107" spans="1:69" x14ac:dyDescent="0.3">
      <c r="B107" t="s">
        <v>525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</row>
    <row r="108" spans="1:69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</row>
    <row r="109" spans="1:69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</row>
    <row r="110" spans="1:69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</row>
    <row r="111" spans="1:69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</row>
    <row r="112" spans="1:69" x14ac:dyDescent="0.3">
      <c r="A112" t="s">
        <v>463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</row>
    <row r="113" spans="1:69" x14ac:dyDescent="0.3">
      <c r="A113" t="s">
        <v>521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</row>
    <row r="114" spans="1:69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</row>
    <row r="115" spans="1:69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</row>
    <row r="116" spans="1:69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</row>
    <row r="117" spans="1:69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</row>
    <row r="118" spans="1:69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</row>
    <row r="119" spans="1:69" x14ac:dyDescent="0.3">
      <c r="B119" t="s">
        <v>443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</row>
    <row r="120" spans="1:69" x14ac:dyDescent="0.3">
      <c r="B120" t="s">
        <v>582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</row>
    <row r="121" spans="1:69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</row>
    <row r="122" spans="1:69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</row>
    <row r="123" spans="1:69" x14ac:dyDescent="0.3">
      <c r="B123" t="s">
        <v>435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</row>
    <row r="124" spans="1:69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</row>
    <row r="125" spans="1:69" x14ac:dyDescent="0.3">
      <c r="B125" t="s">
        <v>444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</row>
    <row r="126" spans="1:69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</row>
    <row r="127" spans="1:69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</row>
    <row r="128" spans="1:69" x14ac:dyDescent="0.3">
      <c r="B128" t="s">
        <v>531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</row>
    <row r="129" spans="2:69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</row>
    <row r="130" spans="2:69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</row>
    <row r="131" spans="2:69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</row>
    <row r="132" spans="2:69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</row>
    <row r="133" spans="2:69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</row>
    <row r="134" spans="2:69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</row>
    <row r="135" spans="2:69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</row>
    <row r="136" spans="2:69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</row>
    <row r="137" spans="2:69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</row>
    <row r="138" spans="2:69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</row>
    <row r="139" spans="2:69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</row>
    <row r="140" spans="2:69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</row>
    <row r="141" spans="2:69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</row>
    <row r="142" spans="2:69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</row>
    <row r="143" spans="2:69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</row>
    <row r="144" spans="2:69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</row>
    <row r="145" spans="2:69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</row>
    <row r="146" spans="2:69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</row>
    <row r="147" spans="2:69" x14ac:dyDescent="0.3">
      <c r="B147" t="s">
        <v>481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</row>
    <row r="148" spans="2:69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</row>
    <row r="149" spans="2:69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</row>
    <row r="150" spans="2:69" x14ac:dyDescent="0.3">
      <c r="B150" t="s">
        <v>470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</row>
    <row r="151" spans="2:69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</row>
    <row r="152" spans="2:69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</row>
    <row r="153" spans="2:69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</row>
    <row r="154" spans="2:69" x14ac:dyDescent="0.3">
      <c r="B154" t="s">
        <v>530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</row>
    <row r="155" spans="2:69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</row>
    <row r="156" spans="2:69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</row>
    <row r="157" spans="2:69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</row>
    <row r="158" spans="2:69" x14ac:dyDescent="0.3">
      <c r="B158" t="s">
        <v>445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</row>
    <row r="159" spans="2:69" x14ac:dyDescent="0.3">
      <c r="B159" t="s">
        <v>482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</row>
    <row r="160" spans="2:69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  <c r="BQ160">
        <v>6</v>
      </c>
    </row>
    <row r="161" spans="1:69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</row>
    <row r="162" spans="1:69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</row>
    <row r="163" spans="1:69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</row>
    <row r="164" spans="1:69" x14ac:dyDescent="0.3">
      <c r="B164" t="s">
        <v>484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</row>
    <row r="165" spans="1:69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</row>
    <row r="166" spans="1:69" x14ac:dyDescent="0.3">
      <c r="B166" t="s">
        <v>437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</row>
    <row r="167" spans="1:69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</row>
    <row r="168" spans="1:69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</row>
    <row r="169" spans="1:69" x14ac:dyDescent="0.3">
      <c r="A169" t="s">
        <v>441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</row>
    <row r="170" spans="1:69" x14ac:dyDescent="0.3">
      <c r="A170" t="s">
        <v>534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</row>
    <row r="171" spans="1:69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</row>
    <row r="172" spans="1:69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</row>
    <row r="173" spans="1:69" x14ac:dyDescent="0.3">
      <c r="B173" t="s">
        <v>526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</row>
    <row r="174" spans="1:69" x14ac:dyDescent="0.3">
      <c r="B174" t="s">
        <v>535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</row>
    <row r="175" spans="1:69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</row>
    <row r="176" spans="1:69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</row>
    <row r="177" spans="2:69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</row>
    <row r="178" spans="2:69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</row>
    <row r="179" spans="2:69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</row>
    <row r="180" spans="2:69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</row>
    <row r="181" spans="2:69" x14ac:dyDescent="0.3">
      <c r="B181" t="s">
        <v>536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</row>
    <row r="182" spans="2:69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</row>
    <row r="183" spans="2:69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</row>
    <row r="184" spans="2:69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</row>
    <row r="185" spans="2:69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</row>
    <row r="186" spans="2:69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</row>
    <row r="187" spans="2:69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</row>
    <row r="188" spans="2:69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</row>
    <row r="189" spans="2:69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</row>
    <row r="190" spans="2:69" x14ac:dyDescent="0.3">
      <c r="B190" t="s">
        <v>446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</row>
    <row r="191" spans="2:69" x14ac:dyDescent="0.3">
      <c r="B191" t="s">
        <v>447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</row>
    <row r="192" spans="2:69" x14ac:dyDescent="0.3">
      <c r="B192" t="s">
        <v>448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</row>
    <row r="193" spans="2:69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</row>
    <row r="194" spans="2:69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</row>
    <row r="195" spans="2:69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</row>
    <row r="196" spans="2:69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</row>
    <row r="197" spans="2:69" x14ac:dyDescent="0.3">
      <c r="B197" t="s">
        <v>438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</row>
    <row r="198" spans="2:69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</row>
    <row r="199" spans="2:69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</row>
    <row r="200" spans="2:69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</row>
    <row r="201" spans="2:69" x14ac:dyDescent="0.3">
      <c r="B201" t="s">
        <v>471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</row>
    <row r="202" spans="2:69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</row>
    <row r="203" spans="2:69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</row>
    <row r="204" spans="2:69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</row>
    <row r="205" spans="2:69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</row>
    <row r="206" spans="2:69" x14ac:dyDescent="0.3">
      <c r="B206" t="s">
        <v>449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</row>
    <row r="207" spans="2:69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</row>
    <row r="208" spans="2:69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</row>
    <row r="209" spans="1:69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</row>
    <row r="210" spans="1:69" x14ac:dyDescent="0.3">
      <c r="B210" t="s">
        <v>472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</row>
    <row r="211" spans="1:69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</row>
    <row r="212" spans="1:69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</row>
    <row r="213" spans="1:69" x14ac:dyDescent="0.3">
      <c r="B213" t="s">
        <v>439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</row>
    <row r="214" spans="1:69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</row>
    <row r="215" spans="1:69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</row>
    <row r="216" spans="1:69" x14ac:dyDescent="0.3">
      <c r="B216" t="s">
        <v>557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</row>
    <row r="217" spans="1:69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</row>
    <row r="218" spans="1:69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</row>
    <row r="219" spans="1:69" x14ac:dyDescent="0.3">
      <c r="A219" t="s">
        <v>522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</row>
    <row r="220" spans="1:69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</row>
    <row r="221" spans="1:69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</row>
    <row r="222" spans="1:69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</row>
    <row r="223" spans="1:69" x14ac:dyDescent="0.3">
      <c r="A223" t="s">
        <v>537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</row>
    <row r="224" spans="1:69" x14ac:dyDescent="0.3">
      <c r="A224" t="s">
        <v>486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</row>
    <row r="225" spans="1:69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</row>
    <row r="226" spans="1:69" x14ac:dyDescent="0.3">
      <c r="B226" t="s">
        <v>434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</row>
    <row r="227" spans="1:69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</row>
    <row r="228" spans="1:69" x14ac:dyDescent="0.3">
      <c r="B228" t="s">
        <v>464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</row>
    <row r="229" spans="1:69" x14ac:dyDescent="0.3">
      <c r="B229" t="s">
        <v>440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</row>
    <row r="230" spans="1:69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</row>
    <row r="231" spans="1:69" x14ac:dyDescent="0.3">
      <c r="B231" t="s">
        <v>480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</row>
    <row r="232" spans="1:69" x14ac:dyDescent="0.3">
      <c r="B232" t="s">
        <v>538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</row>
    <row r="233" spans="1:69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</row>
    <row r="234" spans="1:69" x14ac:dyDescent="0.3">
      <c r="B234" t="s">
        <v>560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</row>
    <row r="235" spans="1:69" x14ac:dyDescent="0.3">
      <c r="B235" t="s">
        <v>561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</row>
    <row r="236" spans="1:69" x14ac:dyDescent="0.3">
      <c r="B236" t="s">
        <v>562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</row>
    <row r="237" spans="1:69" x14ac:dyDescent="0.3">
      <c r="B237" t="s">
        <v>563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</row>
    <row r="238" spans="1:69" x14ac:dyDescent="0.3">
      <c r="B238" t="s">
        <v>564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</row>
    <row r="239" spans="1:69" x14ac:dyDescent="0.3">
      <c r="B239" t="s">
        <v>583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</row>
    <row r="240" spans="1:69" x14ac:dyDescent="0.3">
      <c r="A240" t="s">
        <v>508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</row>
    <row r="241" spans="1:69" x14ac:dyDescent="0.3">
      <c r="B241" t="s">
        <v>592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</row>
    <row r="242" spans="1:69" x14ac:dyDescent="0.3">
      <c r="B242" t="s">
        <v>593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</row>
    <row r="243" spans="1:69" x14ac:dyDescent="0.3">
      <c r="B243" t="s">
        <v>597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</row>
    <row r="244" spans="1:69" x14ac:dyDescent="0.3">
      <c r="B244" t="s">
        <v>598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</row>
    <row r="245" spans="1:69" x14ac:dyDescent="0.3">
      <c r="B245" t="s">
        <v>599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</row>
    <row r="246" spans="1:69" x14ac:dyDescent="0.3">
      <c r="B246" t="s">
        <v>600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</row>
    <row r="247" spans="1:69" x14ac:dyDescent="0.3">
      <c r="A247" t="s">
        <v>553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</row>
    <row r="248" spans="1:69" x14ac:dyDescent="0.3">
      <c r="A248" t="s">
        <v>601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</row>
    <row r="249" spans="1:69" x14ac:dyDescent="0.3">
      <c r="B249" t="s">
        <v>457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Q249"/>
  <sheetViews>
    <sheetView workbookViewId="0">
      <selection sqref="A1:CA1000"/>
    </sheetView>
  </sheetViews>
  <sheetFormatPr defaultRowHeight="14.4" x14ac:dyDescent="0.3"/>
  <cols>
    <col min="5" max="62" width="10.5546875" bestFit="1" customWidth="1"/>
  </cols>
  <sheetData>
    <row r="1" spans="1:69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</row>
    <row r="2" spans="1:69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</row>
    <row r="3" spans="1:69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</row>
    <row r="4" spans="1:69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</row>
    <row r="5" spans="1:69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</row>
    <row r="6" spans="1:69" x14ac:dyDescent="0.3">
      <c r="B6" t="s">
        <v>532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</row>
    <row r="7" spans="1:69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</row>
    <row r="8" spans="1:69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</row>
    <row r="9" spans="1:69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</row>
    <row r="10" spans="1:69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</row>
    <row r="11" spans="1:69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</row>
    <row r="12" spans="1:69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</row>
    <row r="13" spans="1:69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</row>
    <row r="14" spans="1:69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</row>
    <row r="15" spans="1:69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</row>
    <row r="16" spans="1:69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</row>
    <row r="17" spans="1:69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</row>
    <row r="18" spans="1:69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</row>
    <row r="19" spans="1:69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</row>
    <row r="20" spans="1:69" x14ac:dyDescent="0.3">
      <c r="B20" t="s">
        <v>581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</row>
    <row r="21" spans="1:69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</row>
    <row r="22" spans="1:69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</row>
    <row r="23" spans="1:69" x14ac:dyDescent="0.3">
      <c r="B23" t="s">
        <v>485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</row>
    <row r="24" spans="1:69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</row>
    <row r="25" spans="1:69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</row>
    <row r="26" spans="1:69" x14ac:dyDescent="0.3">
      <c r="B26" t="s">
        <v>468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</row>
    <row r="27" spans="1:69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</row>
    <row r="28" spans="1:69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</row>
    <row r="29" spans="1:69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</row>
    <row r="30" spans="1:69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</row>
    <row r="31" spans="1:69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</row>
    <row r="32" spans="1:69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</row>
    <row r="33" spans="1:69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</row>
    <row r="34" spans="1:69" x14ac:dyDescent="0.3">
      <c r="B34" t="s">
        <v>533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</row>
    <row r="35" spans="1:69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</row>
    <row r="36" spans="1:69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</row>
    <row r="37" spans="1:69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</row>
    <row r="38" spans="1:69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</row>
    <row r="39" spans="1:69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</row>
    <row r="40" spans="1:69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</row>
    <row r="41" spans="1:69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</row>
    <row r="42" spans="1:69" x14ac:dyDescent="0.3">
      <c r="A42" t="s">
        <v>458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</row>
    <row r="43" spans="1:69" x14ac:dyDescent="0.3">
      <c r="A43" t="s">
        <v>467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</row>
    <row r="44" spans="1:69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</row>
    <row r="45" spans="1:69" x14ac:dyDescent="0.3">
      <c r="A45" t="s">
        <v>459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</row>
    <row r="46" spans="1:69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</row>
    <row r="47" spans="1:69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</row>
    <row r="48" spans="1:69" x14ac:dyDescent="0.3">
      <c r="B48" t="s">
        <v>460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</row>
    <row r="49" spans="1:69" x14ac:dyDescent="0.3">
      <c r="B49" t="s">
        <v>523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</row>
    <row r="50" spans="1:69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</row>
    <row r="51" spans="1:69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</row>
    <row r="52" spans="1:69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</row>
    <row r="53" spans="1:69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</row>
    <row r="54" spans="1:69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</row>
    <row r="55" spans="1:69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</row>
    <row r="56" spans="1:69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</row>
    <row r="57" spans="1:69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</row>
    <row r="58" spans="1:69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</row>
    <row r="59" spans="1:69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</row>
    <row r="60" spans="1:69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</row>
    <row r="61" spans="1:69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</row>
    <row r="62" spans="1:69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</row>
    <row r="63" spans="1:69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</row>
    <row r="64" spans="1:69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</row>
    <row r="65" spans="1:69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</row>
    <row r="66" spans="1:69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</row>
    <row r="67" spans="1:69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</row>
    <row r="68" spans="1:69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</row>
    <row r="69" spans="1:69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</row>
    <row r="70" spans="1:69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</row>
    <row r="71" spans="1:69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</row>
    <row r="72" spans="1:69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</row>
    <row r="73" spans="1:69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</row>
    <row r="74" spans="1:69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</row>
    <row r="75" spans="1:69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</row>
    <row r="76" spans="1:69" x14ac:dyDescent="0.3">
      <c r="A76" t="s">
        <v>27</v>
      </c>
      <c r="B76" t="s">
        <v>337</v>
      </c>
      <c r="C76">
        <v>31.201999999999899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</row>
    <row r="77" spans="1:69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</row>
    <row r="78" spans="1:69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</row>
    <row r="79" spans="1:69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</row>
    <row r="80" spans="1:69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</row>
    <row r="81" spans="1:69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</row>
    <row r="82" spans="1:69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</row>
    <row r="83" spans="1:69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</row>
    <row r="84" spans="1:69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</row>
    <row r="85" spans="1:69" x14ac:dyDescent="0.3">
      <c r="B85" t="s">
        <v>461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</row>
    <row r="86" spans="1:69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</row>
    <row r="87" spans="1:69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</row>
    <row r="88" spans="1:69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</row>
    <row r="89" spans="1:69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</row>
    <row r="90" spans="1:69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</row>
    <row r="91" spans="1:69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</row>
    <row r="92" spans="1:69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</row>
    <row r="93" spans="1:69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</row>
    <row r="94" spans="1:69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</row>
    <row r="95" spans="1:69" x14ac:dyDescent="0.3">
      <c r="A95" t="s">
        <v>469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</row>
    <row r="96" spans="1:69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</row>
    <row r="97" spans="1:69" x14ac:dyDescent="0.3">
      <c r="B97" t="s">
        <v>483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</row>
    <row r="98" spans="1:69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</row>
    <row r="99" spans="1:69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</row>
    <row r="100" spans="1:69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</row>
    <row r="101" spans="1:69" x14ac:dyDescent="0.3">
      <c r="B101" t="s">
        <v>524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</row>
    <row r="102" spans="1:69" x14ac:dyDescent="0.3">
      <c r="B102" t="s">
        <v>462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</row>
    <row r="103" spans="1:69" x14ac:dyDescent="0.3">
      <c r="B103" t="s">
        <v>556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</row>
    <row r="104" spans="1:69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</row>
    <row r="105" spans="1:69" x14ac:dyDescent="0.3">
      <c r="B105" t="s">
        <v>442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</row>
    <row r="106" spans="1:69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</row>
    <row r="107" spans="1:69" x14ac:dyDescent="0.3">
      <c r="B107" t="s">
        <v>525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</row>
    <row r="108" spans="1:69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</row>
    <row r="109" spans="1:69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</row>
    <row r="110" spans="1:69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</row>
    <row r="111" spans="1:69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</row>
    <row r="112" spans="1:69" x14ac:dyDescent="0.3">
      <c r="A112" t="s">
        <v>463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</row>
    <row r="113" spans="1:69" x14ac:dyDescent="0.3">
      <c r="A113" t="s">
        <v>521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</row>
    <row r="114" spans="1:69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</row>
    <row r="115" spans="1:69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</row>
    <row r="116" spans="1:69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</row>
    <row r="117" spans="1:69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</row>
    <row r="118" spans="1:69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</row>
    <row r="119" spans="1:69" x14ac:dyDescent="0.3">
      <c r="B119" t="s">
        <v>443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</row>
    <row r="120" spans="1:69" x14ac:dyDescent="0.3">
      <c r="B120" t="s">
        <v>582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</row>
    <row r="121" spans="1:69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</row>
    <row r="122" spans="1:69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</row>
    <row r="123" spans="1:69" x14ac:dyDescent="0.3">
      <c r="B123" t="s">
        <v>435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</row>
    <row r="124" spans="1:69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</row>
    <row r="125" spans="1:69" x14ac:dyDescent="0.3">
      <c r="B125" t="s">
        <v>444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</row>
    <row r="126" spans="1:69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</row>
    <row r="127" spans="1:69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</row>
    <row r="128" spans="1:69" x14ac:dyDescent="0.3">
      <c r="B128" t="s">
        <v>531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</row>
    <row r="129" spans="2:69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</row>
    <row r="130" spans="2:69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</row>
    <row r="131" spans="2:69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</row>
    <row r="132" spans="2:69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</row>
    <row r="133" spans="2:69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</row>
    <row r="134" spans="2:69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</row>
    <row r="135" spans="2:69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</row>
    <row r="136" spans="2:69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</row>
    <row r="137" spans="2:69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</row>
    <row r="138" spans="2:69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</row>
    <row r="139" spans="2:69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</row>
    <row r="140" spans="2:69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</row>
    <row r="141" spans="2:69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</row>
    <row r="142" spans="2:69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</row>
    <row r="143" spans="2:69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</row>
    <row r="144" spans="2:69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</row>
    <row r="145" spans="2:69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</row>
    <row r="146" spans="2:69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</row>
    <row r="147" spans="2:69" x14ac:dyDescent="0.3">
      <c r="B147" t="s">
        <v>481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</row>
    <row r="148" spans="2:69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</row>
    <row r="149" spans="2:69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</row>
    <row r="150" spans="2:69" x14ac:dyDescent="0.3">
      <c r="B150" t="s">
        <v>470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</row>
    <row r="151" spans="2:69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</row>
    <row r="152" spans="2:69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</row>
    <row r="153" spans="2:69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</row>
    <row r="154" spans="2:69" x14ac:dyDescent="0.3">
      <c r="B154" t="s">
        <v>530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</row>
    <row r="155" spans="2:69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</row>
    <row r="156" spans="2:69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</row>
    <row r="157" spans="2:69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</row>
    <row r="158" spans="2:69" x14ac:dyDescent="0.3">
      <c r="B158" t="s">
        <v>445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</row>
    <row r="159" spans="2:69" x14ac:dyDescent="0.3">
      <c r="B159" t="s">
        <v>482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</row>
    <row r="160" spans="2:69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  <c r="BQ160">
        <v>475</v>
      </c>
    </row>
    <row r="161" spans="1:69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</row>
    <row r="162" spans="1:69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</row>
    <row r="163" spans="1:69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</row>
    <row r="164" spans="1:69" x14ac:dyDescent="0.3">
      <c r="B164" t="s">
        <v>484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</row>
    <row r="165" spans="1:69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</row>
    <row r="166" spans="1:69" x14ac:dyDescent="0.3">
      <c r="B166" t="s">
        <v>437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</row>
    <row r="167" spans="1:69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</row>
    <row r="168" spans="1:69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</row>
    <row r="169" spans="1:69" x14ac:dyDescent="0.3">
      <c r="A169" t="s">
        <v>441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</row>
    <row r="170" spans="1:69" x14ac:dyDescent="0.3">
      <c r="A170" t="s">
        <v>534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</row>
    <row r="171" spans="1:69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</row>
    <row r="172" spans="1:69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</row>
    <row r="173" spans="1:69" x14ac:dyDescent="0.3">
      <c r="B173" t="s">
        <v>526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</row>
    <row r="174" spans="1:69" x14ac:dyDescent="0.3">
      <c r="B174" t="s">
        <v>535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</row>
    <row r="175" spans="1:69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</row>
    <row r="176" spans="1:69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</row>
    <row r="177" spans="2:69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</row>
    <row r="178" spans="2:69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</row>
    <row r="179" spans="2:69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</row>
    <row r="180" spans="2:69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</row>
    <row r="181" spans="2:69" x14ac:dyDescent="0.3">
      <c r="B181" t="s">
        <v>536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</row>
    <row r="182" spans="2:69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</row>
    <row r="183" spans="2:69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</row>
    <row r="184" spans="2:69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</row>
    <row r="185" spans="2:69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</row>
    <row r="186" spans="2:69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</row>
    <row r="187" spans="2:69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</row>
    <row r="188" spans="2:69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</row>
    <row r="189" spans="2:69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</row>
    <row r="190" spans="2:69" x14ac:dyDescent="0.3">
      <c r="B190" t="s">
        <v>446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</row>
    <row r="191" spans="2:69" x14ac:dyDescent="0.3">
      <c r="B191" t="s">
        <v>447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</row>
    <row r="192" spans="2:69" x14ac:dyDescent="0.3">
      <c r="B192" t="s">
        <v>448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</row>
    <row r="193" spans="2:69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</row>
    <row r="194" spans="2:69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</row>
    <row r="195" spans="2:69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</row>
    <row r="196" spans="2:69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</row>
    <row r="197" spans="2:69" x14ac:dyDescent="0.3">
      <c r="B197" t="s">
        <v>438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</row>
    <row r="198" spans="2:69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</row>
    <row r="199" spans="2:69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</row>
    <row r="200" spans="2:69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</row>
    <row r="201" spans="2:69" x14ac:dyDescent="0.3">
      <c r="B201" t="s">
        <v>471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</row>
    <row r="202" spans="2:69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</row>
    <row r="203" spans="2:69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</row>
    <row r="204" spans="2:69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</row>
    <row r="205" spans="2:69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</row>
    <row r="206" spans="2:69" x14ac:dyDescent="0.3">
      <c r="B206" t="s">
        <v>449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</row>
    <row r="207" spans="2:69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</row>
    <row r="208" spans="2:69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</row>
    <row r="209" spans="1:69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</row>
    <row r="210" spans="1:69" x14ac:dyDescent="0.3">
      <c r="B210" t="s">
        <v>472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</row>
    <row r="211" spans="1:69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</row>
    <row r="212" spans="1:69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</row>
    <row r="213" spans="1:69" x14ac:dyDescent="0.3">
      <c r="B213" t="s">
        <v>439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</row>
    <row r="214" spans="1:69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</row>
    <row r="215" spans="1:69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</row>
    <row r="216" spans="1:69" x14ac:dyDescent="0.3">
      <c r="B216" t="s">
        <v>557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</row>
    <row r="217" spans="1:69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</row>
    <row r="218" spans="1:69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</row>
    <row r="219" spans="1:69" x14ac:dyDescent="0.3">
      <c r="A219" t="s">
        <v>522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</row>
    <row r="220" spans="1:69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</row>
    <row r="221" spans="1:69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</row>
    <row r="222" spans="1:69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</row>
    <row r="223" spans="1:69" x14ac:dyDescent="0.3">
      <c r="A223" t="s">
        <v>537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</row>
    <row r="224" spans="1:69" x14ac:dyDescent="0.3">
      <c r="A224" t="s">
        <v>486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</row>
    <row r="225" spans="1:69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</row>
    <row r="226" spans="1:69" x14ac:dyDescent="0.3">
      <c r="B226" t="s">
        <v>434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</row>
    <row r="227" spans="1:69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13677</v>
      </c>
      <c r="BK227">
        <v>19100</v>
      </c>
      <c r="BL227">
        <v>25489</v>
      </c>
      <c r="BM227">
        <v>33276</v>
      </c>
      <c r="BN227">
        <v>43847</v>
      </c>
      <c r="BO227">
        <v>53740</v>
      </c>
      <c r="BP227">
        <v>65778</v>
      </c>
      <c r="BQ227">
        <v>83836</v>
      </c>
    </row>
    <row r="228" spans="1:69" x14ac:dyDescent="0.3">
      <c r="B228" t="s">
        <v>464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</row>
    <row r="229" spans="1:69" x14ac:dyDescent="0.3">
      <c r="B229" t="s">
        <v>440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</row>
    <row r="230" spans="1:69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</row>
    <row r="231" spans="1:69" x14ac:dyDescent="0.3">
      <c r="B231" t="s">
        <v>480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</row>
    <row r="232" spans="1:69" x14ac:dyDescent="0.3">
      <c r="B232" t="s">
        <v>538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</row>
    <row r="233" spans="1:69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</row>
    <row r="234" spans="1:69" x14ac:dyDescent="0.3">
      <c r="B234" t="s">
        <v>560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</row>
    <row r="235" spans="1:69" x14ac:dyDescent="0.3">
      <c r="B235" t="s">
        <v>561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</row>
    <row r="236" spans="1:69" x14ac:dyDescent="0.3">
      <c r="B236" t="s">
        <v>562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</row>
    <row r="237" spans="1:69" x14ac:dyDescent="0.3">
      <c r="B237" t="s">
        <v>563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</row>
    <row r="238" spans="1:69" x14ac:dyDescent="0.3">
      <c r="B238" t="s">
        <v>564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</row>
    <row r="239" spans="1:69" x14ac:dyDescent="0.3">
      <c r="B239" t="s">
        <v>583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</row>
    <row r="240" spans="1:69" x14ac:dyDescent="0.3">
      <c r="A240" t="s">
        <v>508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</row>
    <row r="241" spans="1:69" x14ac:dyDescent="0.3">
      <c r="B241" t="s">
        <v>592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</row>
    <row r="242" spans="1:69" x14ac:dyDescent="0.3">
      <c r="B242" t="s">
        <v>593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</row>
    <row r="243" spans="1:69" x14ac:dyDescent="0.3">
      <c r="B243" t="s">
        <v>597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</row>
    <row r="244" spans="1:69" x14ac:dyDescent="0.3">
      <c r="B244" t="s">
        <v>598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</row>
    <row r="245" spans="1:69" x14ac:dyDescent="0.3">
      <c r="B245" t="s">
        <v>599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</row>
    <row r="246" spans="1:69" x14ac:dyDescent="0.3">
      <c r="B246" t="s">
        <v>600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</row>
    <row r="247" spans="1:69" x14ac:dyDescent="0.3">
      <c r="A247" t="s">
        <v>553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</row>
    <row r="248" spans="1:69" x14ac:dyDescent="0.3">
      <c r="A248" t="s">
        <v>601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</row>
    <row r="249" spans="1:69" x14ac:dyDescent="0.3">
      <c r="B249" t="s">
        <v>457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24</vt:i4>
      </vt:variant>
    </vt:vector>
  </HeadingPairs>
  <TitlesOfParts>
    <vt:vector size="36" baseType="lpstr">
      <vt:lpstr>Projections</vt:lpstr>
      <vt:lpstr>Country_Rates</vt:lpstr>
      <vt:lpstr>Country_Comparison</vt:lpstr>
      <vt:lpstr>Projections_Data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country</vt:lpstr>
      <vt:lpstr>country_by_day_jpg</vt:lpstr>
      <vt:lpstr>country_jpg</vt:lpstr>
      <vt:lpstr>criticalcare</vt:lpstr>
      <vt:lpstr>death_by_day_jpg</vt:lpstr>
      <vt:lpstr>image_jpg</vt:lpstr>
      <vt:lpstr>image2_jpg</vt:lpstr>
      <vt:lpstr>Show</vt:lpstr>
      <vt:lpstr>xMax</vt:lpstr>
      <vt:lpstr>xMax2</vt:lpstr>
      <vt:lpstr>xMax3</vt:lpstr>
      <vt:lpstr>xMax4</vt:lpstr>
      <vt:lpstr>xMin</vt:lpstr>
      <vt:lpstr>xMin2</vt:lpstr>
      <vt:lpstr>xMin3</vt:lpstr>
      <vt:lpstr>xMin4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2020-03-27T11:40:40Z</dcterms:modified>
</cp:coreProperties>
</file>